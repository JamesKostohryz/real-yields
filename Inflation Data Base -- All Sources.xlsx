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030"/>
  <workbookPr showInkAnnotation="0" autoCompressPictures="0"/>
  <bookViews>
    <workbookView xWindow="21680" yWindow="0" windowWidth="15020" windowHeight="15500" tabRatio="994" firstSheet="1" activeTab="10"/>
  </bookViews>
  <sheets>
    <sheet name="Warren &amp; Pearson WPI" sheetId="1" r:id="rId1"/>
    <sheet name="NBER WPI 1899" sheetId="6" r:id="rId2"/>
    <sheet name="BLS PPI 1913 NSA" sheetId="2" r:id="rId3"/>
    <sheet name="PPI Mo 1947 SA" sheetId="3" r:id="rId4"/>
    <sheet name="McCusker Yr CPI 1665" sheetId="7" r:id="rId5"/>
    <sheet name="McCusker Yr CPI 1700" sheetId="4" r:id="rId6"/>
    <sheet name="McCluskey vs. BLS Yr CPI 1774" sheetId="5" r:id="rId7"/>
    <sheet name="Mitchell Yr CPI 1800" sheetId="8" r:id="rId8"/>
    <sheet name="Measuring Worth Yr CPI 1774" sheetId="9" r:id="rId9"/>
    <sheet name="Fed Yr CPI 1800" sheetId="10" r:id="rId10"/>
    <sheet name="US Mo General Price Level 1860" sheetId="11" r:id="rId11"/>
    <sheet name="Nelson and Plosser Yr CPI 1860" sheetId="12" r:id="rId12"/>
    <sheet name="BLS Mo CPI 1913 NSA" sheetId="14" r:id="rId13"/>
    <sheet name="BLS Mo CPI 1947 SA" sheetId="13" r:id="rId14"/>
    <sheet name="Minniapolis Fed CPI 1800" sheetId="15" r:id="rId15"/>
    <sheet name="David-Solar CPI" sheetId="16" r:id="rId16"/>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F23" i="1" l="1"/>
  <c r="F24" i="1"/>
  <c r="F29" i="1"/>
  <c r="F107" i="1"/>
  <c r="F119" i="1"/>
  <c r="F320"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404" i="1"/>
  <c r="D381" i="1"/>
  <c r="D370" i="1"/>
  <c r="D382" i="1"/>
  <c r="D371" i="1"/>
  <c r="D383" i="1"/>
  <c r="D372" i="1"/>
  <c r="D384" i="1"/>
  <c r="D373" i="1"/>
  <c r="D385" i="1"/>
  <c r="D374" i="1"/>
  <c r="D386" i="1"/>
  <c r="D375" i="1"/>
  <c r="D387" i="1"/>
  <c r="D376" i="1"/>
  <c r="D388" i="1"/>
  <c r="D377" i="1"/>
  <c r="D389" i="1"/>
  <c r="D378" i="1"/>
  <c r="D390" i="1"/>
  <c r="D379" i="1"/>
  <c r="D391" i="1"/>
  <c r="D380"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367" i="1"/>
  <c r="D368" i="1"/>
  <c r="D369" i="1"/>
  <c r="D362" i="1"/>
  <c r="D363" i="1"/>
  <c r="D365" i="1"/>
  <c r="D366" i="1"/>
  <c r="D364" i="1"/>
  <c r="B7" i="12"/>
  <c r="B4" i="12"/>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8" i="10"/>
  <c r="D9" i="10"/>
  <c r="D10" i="10"/>
  <c r="D11" i="10"/>
  <c r="D12" i="10"/>
  <c r="D6" i="10"/>
  <c r="D7" i="10"/>
  <c r="D5" i="10"/>
  <c r="G641" i="3"/>
  <c r="G646" i="3"/>
  <c r="H641" i="3"/>
  <c r="D641" i="3"/>
  <c r="H642" i="3"/>
  <c r="G642" i="3"/>
  <c r="F642" i="3"/>
  <c r="E642" i="3"/>
</calcChain>
</file>

<file path=xl/sharedStrings.xml><?xml version="1.0" encoding="utf-8"?>
<sst xmlns="http://schemas.openxmlformats.org/spreadsheetml/2006/main" count="3724" uniqueCount="1024">
  <si>
    <t>Year</t>
  </si>
  <si>
    <t>Month</t>
  </si>
  <si>
    <t>Index</t>
  </si>
  <si>
    <t>Value</t>
  </si>
  <si>
    <t>Average</t>
  </si>
  <si>
    <t>TABLE 1.---INDEX NUMBERS OF THE WHOLESALE PRICES OF ALL COMMODITIES, 1720 TO 1932*</t>
  </si>
  <si>
    <t>(1910-14 = 100)</t>
  </si>
  <si>
    <t>PRICES</t>
  </si>
  <si>
    <t>George F. Warren Ph.D. and Frank A. Pearson, Ph.D.</t>
  </si>
  <si>
    <t xml:space="preserve">Jan </t>
  </si>
  <si>
    <t>Feb</t>
  </si>
  <si>
    <t>Mar</t>
  </si>
  <si>
    <t>Apr</t>
  </si>
  <si>
    <t>May</t>
  </si>
  <si>
    <t>Jun</t>
  </si>
  <si>
    <t>Jul</t>
  </si>
  <si>
    <t>Aug</t>
  </si>
  <si>
    <t>Sep</t>
  </si>
  <si>
    <t>Oct</t>
  </si>
  <si>
    <t>Nov</t>
  </si>
  <si>
    <t>Dec</t>
  </si>
  <si>
    <t>Title:</t>
  </si>
  <si>
    <t>Producer Price Index: All Commodities</t>
  </si>
  <si>
    <t>Series ID:</t>
  </si>
  <si>
    <t>PPIACO</t>
  </si>
  <si>
    <t>Source:</t>
  </si>
  <si>
    <t>U.S. Department of Labor: Bureau of Labor Statistics</t>
  </si>
  <si>
    <t>Release:</t>
  </si>
  <si>
    <t>Producer Price Index</t>
  </si>
  <si>
    <t>Seasonal Adjustment:</t>
  </si>
  <si>
    <t>Not Seasonally Adjusted</t>
  </si>
  <si>
    <t>Frequency:</t>
  </si>
  <si>
    <t>Monthly</t>
  </si>
  <si>
    <t>Units:</t>
  </si>
  <si>
    <t>Index 1982=100</t>
  </si>
  <si>
    <t>Date Range:</t>
  </si>
  <si>
    <t>1913-01-01 to 2013-03-01</t>
  </si>
  <si>
    <t>Last Updated:</t>
  </si>
  <si>
    <t>2013-04-12 8:01 AM CDT</t>
  </si>
  <si>
    <t>Notes:</t>
  </si>
  <si>
    <t/>
  </si>
  <si>
    <t>DATE</t>
  </si>
  <si>
    <t>VALUE</t>
  </si>
  <si>
    <t>Producer Price Index: Finished Goods</t>
  </si>
  <si>
    <t>PPIFGS</t>
  </si>
  <si>
    <t>Seasonally Adjusted</t>
  </si>
  <si>
    <t>1947-04-01 to 2013-03-01</t>
  </si>
  <si>
    <t>Gold Low</t>
  </si>
  <si>
    <t>Average Prod cost</t>
  </si>
  <si>
    <t>Average Cash Cost</t>
  </si>
  <si>
    <t>Marginal Cash Cost</t>
  </si>
  <si>
    <t>McCusker's Composite Consumer Price Index</t>
  </si>
  <si>
    <t>[Source: John J. McCusker, How Much Is That in Real Money?</t>
  </si>
  <si>
    <t xml:space="preserve">[XLS] </t>
  </si>
  <si>
    <t>qrc.depaul.edu/Excel_Files/Prices/McCusker.xls</t>
  </si>
  <si>
    <t xml:space="preserve">"A Historical Price Index for Use as a Deflator of Money Values in the Economy of the United States",  </t>
  </si>
  <si>
    <t>McCusker's index - QRC</t>
  </si>
  <si>
    <r>
      <t xml:space="preserve">Proceedings of the American Antiquarian Society, </t>
    </r>
    <r>
      <rPr>
        <sz val="12"/>
        <color theme="1"/>
        <rFont val="Calibri"/>
        <family val="2"/>
        <scheme val="minor"/>
      </rPr>
      <t>Volume 101, Part 2, October 1991, pp. 297-373.]</t>
    </r>
  </si>
  <si>
    <t>qrc.depaul.edu/Excel_Files/Prices/McCusker.xlsShareFile Format: Microsoft Excel - View as HTML</t>
  </si>
  <si>
    <r>
      <t xml:space="preserve">Note: </t>
    </r>
    <r>
      <rPr>
        <sz val="12"/>
        <color theme="1"/>
        <rFont val="Calibri"/>
        <family val="2"/>
        <scheme val="minor"/>
      </rPr>
      <t>Data follows McCusker until 1991.  CPI-U-RS values are used to extend the index after 1991.</t>
    </r>
  </si>
  <si>
    <t>3, [Source: John J. McCusker, How Much Is That in Real Money? 4, "A Historical Price Index for Use as a Deflator of Money Values in the Economy of the United ...</t>
  </si>
  <si>
    <t>Conversion factors to convert current dollars from years 1774 to estimated 2019 to dollars of CPI (1982-84), 1995, 1996, 1997, 1998, 1999, 2000, 2001, 2002, 2003, 2004, 2005, 2006, 2007, 2008, estimated 2009, and two special CPI measures</t>
  </si>
  <si>
    <t>To convert dollars of any year 1774 to estimated 2019 to dollars of the base year (CPI [1982-84], 2007, or other year, DIVIDE that year's dollar amount by the conversion factor (CF) for that base year, rounded to no more than four decimal places (more cautious:  prior to 1913 round to 2 decimal places; for 1913 and later round to 3 decimal places).</t>
  </si>
  <si>
    <t>Suggestion:  Use (final) 2008 conversion factors instead of estimated 2009 conversion factors unless 2009 data are required.  If precise comparison is needed of dollar figures for years starting with 1947, use CPI-U-X1 or CPI-U-RS conversion factors.  (See notes at the bottom of the table.)</t>
  </si>
  <si>
    <t xml:space="preserve">            (The following examples round to THREE SIGNIFICANT DIGITS, e.g., $3378 becomes $3380)</t>
  </si>
  <si>
    <t xml:space="preserve">      For example, to convert $1000 dollars of 1960 to dollars of CPI (1982-84):  $1000/0.296 = $3380</t>
  </si>
  <si>
    <t xml:space="preserve">         To dollars of 1995:  $1000/0.194=$5150; 1996:  $1000/0.189=$5290; 1997:  $1000/0.184=$5430</t>
  </si>
  <si>
    <t xml:space="preserve">         To dollars of 1998:  $1000/0.182=$5490; 1999:  $1000/0.178=$5620; 2000:  $1000/0.172=$5810</t>
  </si>
  <si>
    <t xml:space="preserve">         To dollars of 2001:  $1000/0.167=$5990;  2002:  $1000/0.165=$6060</t>
  </si>
  <si>
    <t xml:space="preserve">         To dollars of 2003:  $1000/0.161=$6210; 2004:  $1000/0.157=$6370; 2005:  $1000/0.152=$6580</t>
  </si>
  <si>
    <t xml:space="preserve">         To dollars of 2006:  $1000/0.147=$6800; 2007:  $1000/0.143=$6990; 2008:  $1000/0.137=$7300; estimated 2009:  $1000/0.138</t>
  </si>
  <si>
    <t xml:space="preserve">         To dollars of estimated 2009:  $1000/0.138=$7450; CPI-U-X1 (2008$):  $1000/0.150 = 6670</t>
  </si>
  <si>
    <t xml:space="preserve">         To dollars of CPI-U-RS (experimental measure; 2008$):  $1000/0.161=$6210</t>
  </si>
  <si>
    <t xml:space="preserve">         Reminder:  All these have been rounded to three significant digits, e.g., $5586.50 becomes $5590.</t>
  </si>
  <si>
    <t xml:space="preserve">  Prior to 1913, suggest rounding to two digits, e.g., $1000 dollars in 1860 become $26,000 2008 dollars ($1000/0.039=$25,641)</t>
  </si>
  <si>
    <r>
      <t xml:space="preserve">Note:  </t>
    </r>
    <r>
      <rPr>
        <u/>
        <sz val="8"/>
        <color indexed="12"/>
        <rFont val="Arial"/>
        <family val="2"/>
      </rPr>
      <t>To reverse the process</t>
    </r>
    <r>
      <rPr>
        <sz val="8"/>
        <color indexed="12"/>
        <rFont val="Arial"/>
        <family val="2"/>
      </rPr>
      <t>, for example, to determine what a year 2008-dollar amount would be in dollars of another year, simply MULTIPLY the year 2008 amount by the conversion factor of that year.  For example, $1000 2008 dollars would equal in value about $65 in dollars of 1940 ($1000 x 0.065 = $65), again suggest rounding to 2 (before 1913) or 3 (starting 1913) decimal places.</t>
    </r>
  </si>
  <si>
    <r>
      <t xml:space="preserve">        </t>
    </r>
    <r>
      <rPr>
        <sz val="8"/>
        <rFont val="Arial"/>
        <family val="2"/>
      </rPr>
      <t/>
    </r>
  </si>
  <si>
    <t>Two columns provide conversion factors for 2007 for the CPI-U-X1 and CPI-U-RS series.  CPI-U-X1 applies the inflation measure introduced in 1983 to the period 1950 to 1982.  CPI-U-RS is an experimental series, with 1977 = 100, re-based here to 2007 = 1.000.  CPI-U-RS often results in lower measured inflation than either the CPI-U or the CPI-U-X1 series (see inflation-rate columns).</t>
  </si>
  <si>
    <t>Conversion factors are stated so that the conversion year = 1.000 instead of 100.0, to ease CF arithmetic calculations.</t>
  </si>
  <si>
    <r>
      <t>Reminder</t>
    </r>
    <r>
      <rPr>
        <sz val="8"/>
        <color indexed="10"/>
        <rFont val="Arial"/>
        <family val="2"/>
      </rPr>
      <t>:  If precise comparisons are needed for the period 1950 (or 1947) through the present, use CPI-U-X1 or CPI-U-RS.</t>
    </r>
  </si>
  <si>
    <r>
      <t>Inflation assumptions</t>
    </r>
    <r>
      <rPr>
        <b/>
        <sz val="8"/>
        <color indexed="10"/>
        <rFont val="Arial"/>
        <family val="2"/>
      </rPr>
      <t>:  Inflation conversion factors for 2009 and later years assume inflation of -0.65% in 2009, 1.50% in 2010 and 2011; 1.60% in 2012; and 1.65% each year 2013 to 2019.  These are the averages of OMB and CBO inflation estimates for each year as of March 2009.</t>
    </r>
  </si>
  <si>
    <r>
      <t xml:space="preserve">Note:  Conversion factor calculation prior to the 2008 revision used McCusker data, as identified at the bottom of the page, and began 1665.  Starting in 2008, with final 2007 conversion factors, calculation begins 1774 and uses more recent data from the </t>
    </r>
    <r>
      <rPr>
        <i/>
        <sz val="8"/>
        <color indexed="18"/>
        <rFont val="Arial"/>
        <family val="2"/>
      </rPr>
      <t>Historical Statistics of the United States Millennial Edition</t>
    </r>
    <r>
      <rPr>
        <sz val="8"/>
        <color indexed="18"/>
        <rFont val="Arial"/>
        <family val="2"/>
      </rPr>
      <t xml:space="preserve"> (see full citation at the bottom of the page), Calculation starting 1913 uses the CPI-U as the base, from the US Bureau of Labor Statistics.  Monthly and annual CPI data are available at the BLS web site:  </t>
    </r>
    <r>
      <rPr>
        <u/>
        <sz val="8"/>
        <color indexed="18"/>
        <rFont val="Arial"/>
        <family val="2"/>
      </rPr>
      <t>http://stats.bls.gov/cpi/home.htm#data</t>
    </r>
    <r>
      <rPr>
        <sz val="8"/>
        <color indexed="18"/>
        <rFont val="Arial"/>
        <family val="2"/>
      </rPr>
      <t xml:space="preserve"> (CPI-U = all urban consumers).</t>
    </r>
  </si>
  <si>
    <t xml:space="preserve">   </t>
  </si>
  <si>
    <t>CPI [1982-84] CF [McCluskey]</t>
  </si>
  <si>
    <t>CPI [1982-84] CF [BLS]</t>
  </si>
  <si>
    <t>1995$ CF</t>
  </si>
  <si>
    <t>1996$ CF</t>
  </si>
  <si>
    <t>1997$ CF</t>
  </si>
  <si>
    <t>1998$ CF</t>
  </si>
  <si>
    <t>1999$ CF</t>
  </si>
  <si>
    <t>2000$ CF</t>
  </si>
  <si>
    <t>2001$ CF</t>
  </si>
  <si>
    <t>2002$ CF</t>
  </si>
  <si>
    <t>2003$ CF</t>
  </si>
  <si>
    <t>2004$ CF</t>
  </si>
  <si>
    <t>2005$ CF</t>
  </si>
  <si>
    <t>2006$CF</t>
  </si>
  <si>
    <t>2007$ CF</t>
  </si>
  <si>
    <t>2008$ CF</t>
  </si>
  <si>
    <t>Estimated 2009$ CF</t>
  </si>
  <si>
    <t>X1 CF 2008$ [starts 1950]</t>
  </si>
  <si>
    <t>CPI-U-RS CF 2008$ [starts 1947]</t>
  </si>
  <si>
    <t>CPI-U Inflation Rate (%)</t>
  </si>
  <si>
    <t>CPI-U-X1 Inflation Rate (%) [starts 1950]</t>
  </si>
  <si>
    <t>CPI-U-RS Inflation Rate (%) [starts 1947]</t>
  </si>
  <si>
    <r>
      <t xml:space="preserve">Revised to 2008 January 16, 2009, using final 2008 inflation of 3.8 percent, CPI = 215.303.  Revised May 4 and June 2, 2009 for 2009 and later years and to provide conversion factors for estimated 2009, using the average of OMB and CBO inflation estimates for those years.  Note:  2008 CPI estimated February 2008 was 213.1, for an estimated 2008 inflation of 2.8 percent; actual (final) was 215.303, for an actual 2008 inflation of 3.8 percent.  Unlike 2006, when estimated and actual inflation were the same, in 2007 and 2008 the actual inflation was higher than the early-year estimates.  So the final conversion factors differ significantly from those estimated early in 2007 and 2008, based on the average of OMB and CBO inflation estimates for 2007.  The source of final 2008 CPI is </t>
    </r>
    <r>
      <rPr>
        <i/>
        <sz val="8"/>
        <color indexed="10"/>
        <rFont val="Arial"/>
        <family val="2"/>
      </rPr>
      <t>Consumer Price Index:  December 2008</t>
    </r>
    <r>
      <rPr>
        <sz val="8"/>
        <color indexed="10"/>
        <rFont val="Arial"/>
        <family val="2"/>
      </rPr>
      <t>, issued by the Bureau of Labor Statistics January 16, 2009, Table 1A, CPI-U,  entry for "all items annual average 2008".</t>
    </r>
  </si>
  <si>
    <r>
      <t>Important reminder</t>
    </r>
    <r>
      <rPr>
        <sz val="8"/>
        <color indexed="10"/>
        <rFont val="Arial"/>
        <family val="2"/>
      </rPr>
      <t>:  Data for years prior to 1913 should be considered estimates.</t>
    </r>
  </si>
  <si>
    <t>CPI is CPI-U, the broader measure for all urban consumers, using year-to-year averages, not December to December.  When careful comparison of dollar figures for the period since 1950 is required, the CPI-U-RS series or the CPI-U-X1 series should be used, which applies the post-1982 CPI to the period starting 1950.</t>
  </si>
  <si>
    <t>Conversion factors for the experimental CPI [CPI-U-RS] are supplied for the years starting 1947.   It can be used in place of CPI-U-X1 for careful comparison over years starting in 1947.  However, there are limits as well as strengths to this experimental measure (see link below for additional information).</t>
  </si>
  <si>
    <t>CPI conversion factors use CPI data, stated as 1982-84 = 1.000.</t>
  </si>
  <si>
    <t>1995 conversion factors are re-based from CPI using 1995 average (152.4)</t>
  </si>
  <si>
    <t>1996 conversion factors are re-based from CPI using 1996 average (156.9)</t>
  </si>
  <si>
    <t>1997 conversion factors are re-based from CPI using 1997 average (160.5)</t>
  </si>
  <si>
    <t>1998 conversion factors use the final 1998 CPI of 163.0; estimated 1998 CF assumed 164.0.</t>
  </si>
  <si>
    <t>1999 conversion factors use the final 1999 CPI of 166.6; estimated 1999 CF assumed 167.0.</t>
  </si>
  <si>
    <t>2000 conversion factors use the final 2000 CPI of 1.722; estimated 2000 CF [early 2000] assumed 1.7085.</t>
  </si>
  <si>
    <t>2001 conversion factors use the final 2001 CPI of 1.771; estimated 2001 CF [early 2001] assumed 1.765.</t>
  </si>
  <si>
    <t>2002 conversion factors use the final 2002 CPI of 1.799; estimated 2002 CF [early  2002] assumed 1.803 (inflation of 1.8%).</t>
  </si>
  <si>
    <t>2003 conversion factors use the final 2003 CPI of 1.840; estimated 2003 CF [early 2003] assumed CPI of 1.839 (inflation of 2.25%).</t>
  </si>
  <si>
    <t>2004 conversion factors use the final 2004 CPI of 1.889; estimated 2004 CF [early 2004] assumed CPI of 1.868 (inflation of 1.5%).</t>
  </si>
  <si>
    <t>2005 conversion factors use the final 2005 CPI of 1.953; estimated 2005 CF [early 2005] assumed CPI of 1.934 (inflation of 2.4%).</t>
  </si>
  <si>
    <t>2006 conversion factors use the final 2006 CPI of 2.016; estimated 2006 CF [early 2006] assumed CPI of 2.105; both the early-2006 estimate and final CPI round to 3.2% inflation in 2006.</t>
  </si>
  <si>
    <t>2007 conversion factors use the final 2007 CPI of 2.07342.  Estimated 2007 CF [early 2007] assumed final CPI of 2.056, 2.0 percent inflation; the final CPI of 2.07342 shows actual 2007 inflation of 2.85 percent.  As shown here, the BLS began in 2008 stating the CPI to more significant digits than in earlier years.</t>
  </si>
  <si>
    <t>2008 conversion factors use the final 2008 CPI of 215.303.  Estimated 2008 CF (early 2008) assumed 2.8 percent inflation in 2008, a CPI of 2.131, the average of OMB and CBO estimates in January and February 2008.</t>
  </si>
  <si>
    <t>2009 conversion factors use estimated 2009 inflation (-0.65%) and assume the inflation estimates at the top of the page, which are based on the average of Office of Management and Budget and Congressional Budget Office estimates as of March 2009.</t>
  </si>
  <si>
    <t>The 2009 to 2019 conversion factors assume inflation rates indicated at the top of this page, averaged from estimates by the Office of Management and Budget and Congressional Budget Office (all years), as of March 2009.</t>
  </si>
  <si>
    <r>
      <t>Points of Caution</t>
    </r>
    <r>
      <rPr>
        <sz val="8"/>
        <color indexed="18"/>
        <rFont val="Arial"/>
        <family val="2"/>
      </rPr>
      <t>: (1) Data for years prior to 1913 are estimates and should be considered approximations.</t>
    </r>
  </si>
  <si>
    <t>(2) Year 2009 conversion factors are based on early 2009 inflation estimates by the OMB and the Congressional Budget Office.  These will be revised in early 2010 with final 2009 CPI data.</t>
  </si>
  <si>
    <r>
      <t xml:space="preserve">(3) The CPI is changed periodically, so data for the entire series are not precisely comparable.  See the discussion in </t>
    </r>
    <r>
      <rPr>
        <i/>
        <sz val="8"/>
        <color indexed="18"/>
        <rFont val="Arial"/>
        <family val="2"/>
      </rPr>
      <t>Historical Statistics (1975)</t>
    </r>
    <r>
      <rPr>
        <sz val="8"/>
        <color indexed="18"/>
        <rFont val="Arial"/>
        <family val="2"/>
      </rPr>
      <t xml:space="preserve">, Volume I, pages 190 to 192, and in materials in the </t>
    </r>
    <r>
      <rPr>
        <i/>
        <sz val="8"/>
        <color indexed="18"/>
        <rFont val="Arial"/>
        <family val="2"/>
      </rPr>
      <t>Historical Statitics Milllennial Edition</t>
    </r>
    <r>
      <rPr>
        <sz val="8"/>
        <color indexed="18"/>
        <rFont val="Arial"/>
        <family val="2"/>
      </rPr>
      <t xml:space="preserve"> (citation above).  The major CPI change in 1983 effectively reduced the measured CPI by changing the way home ownership costs are measured.  To apply the CPI used starting 1983 to years 1950 to 1982, use the CPI-U-X1 series, as shown above, from </t>
    </r>
    <r>
      <rPr>
        <i/>
        <sz val="8"/>
        <color indexed="18"/>
        <rFont val="Arial"/>
        <family val="2"/>
      </rPr>
      <t>The Economic Report of the President 2006</t>
    </r>
    <r>
      <rPr>
        <sz val="8"/>
        <color indexed="18"/>
        <rFont val="Arial"/>
        <family val="2"/>
      </rPr>
      <t xml:space="preserve">, Tables B-60 to B-62, and tables in earlier editions of </t>
    </r>
    <r>
      <rPr>
        <i/>
        <sz val="8"/>
        <color indexed="18"/>
        <rFont val="Arial"/>
        <family val="2"/>
      </rPr>
      <t>Economic Report of the Presiden</t>
    </r>
    <r>
      <rPr>
        <sz val="8"/>
        <color indexed="18"/>
        <rFont val="Arial"/>
        <family val="2"/>
      </rPr>
      <t>t.  By definition, CPI-U-X1 is the same as CPI starting 1983.</t>
    </r>
  </si>
  <si>
    <t>(4) All CPI conversion factors are based on year-to-year averages, NOT December to December changes.</t>
  </si>
  <si>
    <r>
      <t xml:space="preserve">Detailed explanations of the CPI are available at the Bureau of Labor Statistics CPI web site: </t>
    </r>
    <r>
      <rPr>
        <u/>
        <sz val="8"/>
        <color indexed="18"/>
        <rFont val="Arial"/>
        <family val="2"/>
      </rPr>
      <t>http://stats.bls.gov/cpihome.htm</t>
    </r>
    <r>
      <rPr>
        <sz val="8"/>
        <color indexed="18"/>
        <rFont val="Arial"/>
        <family val="2"/>
      </rPr>
      <t xml:space="preserve">.  Discussion of the CPI-U-RS and its strengths and limits can be found at </t>
    </r>
    <r>
      <rPr>
        <u/>
        <sz val="8"/>
        <color indexed="18"/>
        <rFont val="Arial"/>
        <family val="2"/>
      </rPr>
      <t>http://www.bls.gov/cpi/cpirsdc.htm</t>
    </r>
    <r>
      <rPr>
        <sz val="8"/>
        <color indexed="18"/>
        <rFont val="Arial"/>
        <family val="2"/>
      </rPr>
      <t xml:space="preserve">  and at the Census Bureau site, </t>
    </r>
    <r>
      <rPr>
        <u/>
        <sz val="8"/>
        <color indexed="18"/>
        <rFont val="Arial"/>
        <family val="2"/>
      </rPr>
      <t>http://www.census.gov/hhes/income/income00/cpiurstxt.html</t>
    </r>
    <r>
      <rPr>
        <sz val="8"/>
        <color indexed="18"/>
        <rFont val="Arial"/>
        <family val="2"/>
      </rPr>
      <t xml:space="preserve">.  The CPI-U-RS data are from the Census Bureau, which uses the Bureau of Labor Statistics' experimental Consumer Price Index (CPI-U-RS) starting 1977.  The Census Bureau derived the CPI-U-RS for years before 1977 by applying the 1977 CPI-U-RS-to-CPI-U ratio to the 1947 to 1976 CPI-U.  The 1978 and later CPI-U-RS data are from </t>
    </r>
    <r>
      <rPr>
        <i/>
        <sz val="8"/>
        <color indexed="18"/>
        <rFont val="Arial"/>
        <family val="2"/>
      </rPr>
      <t xml:space="preserve">Economic Report of the President 2008 </t>
    </r>
    <r>
      <rPr>
        <sz val="8"/>
        <color indexed="18"/>
        <rFont val="Arial"/>
        <family val="2"/>
      </rPr>
      <t>[</t>
    </r>
    <r>
      <rPr>
        <u/>
        <sz val="8"/>
        <color indexed="18"/>
        <rFont val="Arial"/>
        <family val="2"/>
      </rPr>
      <t>http://origin.www.gpoaccess.gov/eop/2008/2008_erp.pdf</t>
    </r>
    <r>
      <rPr>
        <sz val="8"/>
        <color indexed="18"/>
        <rFont val="Arial"/>
        <family val="2"/>
      </rPr>
      <t>], Table B-62, page 298, and from earlier reports.</t>
    </r>
  </si>
  <si>
    <r>
      <t xml:space="preserve">The full citation for the </t>
    </r>
    <r>
      <rPr>
        <i/>
        <sz val="8"/>
        <color indexed="18"/>
        <rFont val="Arial"/>
        <family val="2"/>
      </rPr>
      <t>Historical Statistics Millennial Edition</t>
    </r>
    <r>
      <rPr>
        <sz val="8"/>
        <color indexed="18"/>
        <rFont val="Arial"/>
        <family val="2"/>
      </rPr>
      <t xml:space="preserve">, from which these conversion factors were calculated for years prior to 1913 is:  Lindert, Peter H., and Richard Sutch , “ Consumer price indexes, for all items: 1774–2003 .” Table Cc1-2 in </t>
    </r>
    <r>
      <rPr>
        <i/>
        <sz val="8"/>
        <color indexed="18"/>
        <rFont val="Arial"/>
        <family val="2"/>
      </rPr>
      <t>Historical Statistics of the United States, Earliest Times to the Present: Millennial Edition</t>
    </r>
    <r>
      <rPr>
        <sz val="8"/>
        <color indexed="18"/>
        <rFont val="Arial"/>
        <family val="2"/>
      </rPr>
      <t>, edited by Susan B. Carter, Scott Sigmund Gartner, Michael R. Haines, Alan L. Olmstead, Richard Sutch, and Gavin Wright. New York: Cambridge University Press, 2006. http://dx.doi.org/10.1017/ISBN-9780511132971.Cc1-6510.1017/ISBN-9780511132971.Cc1-65 (Copyright 2006--Cambridge University Press)</t>
    </r>
  </si>
  <si>
    <r>
      <t xml:space="preserve">Until the 2008 revision, conversion factors for years prior to 1913 began in 1665 and were re-based from data in John J. McCusker, "How Much Is That in Real Money?," Proceedings of the American Antiquarian Society (2001), Table A-1, Column 6.  (The McCusker data use 1860 as the base year, with 1860 = 1.00. To produce conversion factors for 1665-1912, the McCusker data are re-based, as indicated at the top of each CF column.)  McCusker's offprint How Much Is That In Real Money?, revised 2001 (ISBN 1-929545-01-1) is available from the American Antiquarian Society for $15 plus shipping and handling  through their web site:  </t>
    </r>
    <r>
      <rPr>
        <u/>
        <sz val="8"/>
        <color indexed="18"/>
        <rFont val="Arial"/>
        <family val="2"/>
      </rPr>
      <t>http://www.americanantiquarian.org/Offprints/order.htm</t>
    </r>
    <r>
      <rPr>
        <sz val="8"/>
        <color indexed="18"/>
        <rFont val="Arial"/>
        <family val="2"/>
      </rPr>
      <t>.  Note:  For those interested in differences between the McCusker data used prior to 2008 and starting in 1665 and the new data used beginning with the 2008 revision and starting in 1774, a pdf file is available on the inflation conversion factor page showing data for 1665 to 1912.  (Bureau of Labor Statistics data are used to produce the conversion factors starting 1913.)</t>
    </r>
  </si>
  <si>
    <t>The earliest versions of these conversion factors used pre-1913 CPI data for  1800 to 1912 CPI from Historical  Statistics of the United States (USGPO,  1975), Series E 135,     Vol I, pp 210-211 (1967 base) re-based to 1982-84 using 1967 = 0.334 in 1982-84 CPI-U base.  For reference, the earlier data, from Historical Statistics, are included as a column here,  though the earlier data are no longer used to produce these conversion factors.</t>
  </si>
  <si>
    <t xml:space="preserve">  Regarding questions or to suggest corrections or changes, please contact:</t>
  </si>
  <si>
    <t xml:space="preserve">      Professor Robert Sahr, Political Science Department, 307 Gilkey Hall, Oregon State University, Corvallis, OR  97331-6206</t>
  </si>
  <si>
    <r>
      <t xml:space="preserve">      Telephone:  (541) 737-6238 or 737-2811; Fax:  (541) 737-2289; e-mail:  </t>
    </r>
    <r>
      <rPr>
        <u/>
        <sz val="8"/>
        <color indexed="10"/>
        <rFont val="Arial"/>
        <family val="2"/>
      </rPr>
      <t>Robert.Sahr@oregonstate.edu</t>
    </r>
  </si>
  <si>
    <r>
      <t xml:space="preserve">The address of the inflation conversion factor web page is </t>
    </r>
    <r>
      <rPr>
        <b/>
        <u/>
        <sz val="8"/>
        <color indexed="10"/>
        <rFont val="Arial"/>
        <family val="2"/>
      </rPr>
      <t>http://oregonstate.edu/cla/polisci/faculty-research/sahr/sahr.htm</t>
    </r>
    <r>
      <rPr>
        <sz val="8"/>
        <color indexed="10"/>
        <rFont val="Arial"/>
        <family val="2"/>
      </rPr>
      <t>.</t>
    </r>
  </si>
  <si>
    <t>Index of Wholesale Prices for United States</t>
  </si>
  <si>
    <t>M04049USM052NNBR</t>
  </si>
  <si>
    <t>National Bureau of Economic Research</t>
  </si>
  <si>
    <t>NBER Macrohistory Database (Not a Press Release)</t>
  </si>
  <si>
    <t>Monthly, End of Month</t>
  </si>
  <si>
    <t>Dollars</t>
  </si>
  <si>
    <t>1899-01-01 to 1937-11-01</t>
  </si>
  <si>
    <t>2012-08-16 2:53 PM CDT</t>
  </si>
  <si>
    <t>This Series Is Concluded With The February, 1938 Issue Of Dun'S</t>
  </si>
  <si>
    <t>Review; November, 1937 Is The Last Available Datum (See January, 1938</t>
  </si>
  <si>
    <t>Issue, P.33). Quarterly Figures Are First Of Quarter Data. Source:</t>
  </si>
  <si>
    <t>Bradstreet'S, January 15, 1910 (P.42); January, 15, 1916 (P.40); May,</t>
  </si>
  <si>
    <t>5, 1923, (P.297); June 4, 1927 (P.377) And Succeeding Series. Dun And</t>
  </si>
  <si>
    <t>Bradstreet'S Monthly Review For April, 1933-December, 1936; Dun'S</t>
  </si>
  <si>
    <t>Review For 1937.</t>
  </si>
  <si>
    <t>This NBER data series m04049 appears on the NBER website in Chapter 4</t>
  </si>
  <si>
    <t>at http://www.nber.org/databases/macrohistory/contents/chapter04.html.</t>
  </si>
  <si>
    <t>NBER Indicator: m04049</t>
  </si>
  <si>
    <t>1899-01-01</t>
  </si>
  <si>
    <t>1899-02-01</t>
  </si>
  <si>
    <t>1899-03-01</t>
  </si>
  <si>
    <t>1899-04-01</t>
  </si>
  <si>
    <t>1899-05-01</t>
  </si>
  <si>
    <t>1899-06-01</t>
  </si>
  <si>
    <t>1899-07-01</t>
  </si>
  <si>
    <t>1899-08-01</t>
  </si>
  <si>
    <t>1899-09-01</t>
  </si>
  <si>
    <t>1899-10-01</t>
  </si>
  <si>
    <t>1899-11-01</t>
  </si>
  <si>
    <t>1899-12-01</t>
  </si>
  <si>
    <t>Conversion factors to convert current dollars from years 1665 to estimated 2017 to dollars of CPI (1982-84), 1995, 1996, 1997, 1998, 1999, 2000, 2001, 2002, 2003, 2004, 2005, 2006, estimated 2007, and two special CPI measures</t>
  </si>
  <si>
    <t>To convert dollars of any year 1665 to estimated 2017 to dollars of the base year (CPI [1982-84], 2005, or other years, DIVIDE that year's dollar amount by the conversion factor (CF) for that base year, rounded to no more than four decimal places (more cautious:  prior to 1913 round to 2 decimal places; for 1913 and later round to 3 decimal places).</t>
  </si>
  <si>
    <r>
      <t>Suggestion</t>
    </r>
    <r>
      <rPr>
        <sz val="8"/>
        <rFont val="Arial"/>
        <family val="2"/>
      </rPr>
      <t>:  Use (final) 2006 conversion factors instead of estimated 2007 conversion factors unless 2007 data are required.  If precise comparison is needed of dollar figures for years starting with 1947, use CPI-U-X1 or CPI-U-RS conversion factors.  (See notes at the bottom of the table.)</t>
    </r>
  </si>
  <si>
    <t xml:space="preserve">      For example, to convert $1000 dollars of 1960 to dollars of CPI (1982-84):  $1000/0.296 = $3380 (rounded to three digits)</t>
  </si>
  <si>
    <t xml:space="preserve">         Dollars of 1995:  $1000/0.194=$5150; 1996:  $1000/0.189=$5290; 1997:  $1000/0.184=$5430</t>
  </si>
  <si>
    <t xml:space="preserve">         Dollars of 1998:  $1000/0.182=$5490; 1999:  $1000/0.178=$5620; 2000:  $1000/0.172=$5810</t>
  </si>
  <si>
    <t xml:space="preserve">         Dollars of 2001:  $1000/0.167=$5990;  2002:  $1000/0.165=$6060</t>
  </si>
  <si>
    <t xml:space="preserve">         Dollars of 2003:  $1000/0.161=$6210; 2004:  $1000/0.157=$6370; 2005:  $1000/0.152=$6580</t>
  </si>
  <si>
    <t xml:space="preserve">         Dollars of estimated 2006:  $1000/0.147=$6800; CPI-U-X1 (2005$):  $1000/0.165=$6060</t>
  </si>
  <si>
    <t xml:space="preserve">         Dollars of estimated CPI-U-RS (experimental measure; 2005$):  $1000/0.179=$5590</t>
  </si>
  <si>
    <t xml:space="preserve">      Prior to 1913, suggest rounding to two digits, e.g., $1000 dollars in 1960 become $22,000 2005 dollars ($1000/0.045)</t>
  </si>
  <si>
    <r>
      <t xml:space="preserve">Note:  </t>
    </r>
    <r>
      <rPr>
        <u/>
        <sz val="8"/>
        <color indexed="12"/>
        <rFont val="Arial"/>
        <family val="2"/>
      </rPr>
      <t>To reverse the process</t>
    </r>
    <r>
      <rPr>
        <sz val="8"/>
        <color indexed="12"/>
        <rFont val="Arial"/>
        <family val="2"/>
      </rPr>
      <t>, for example, to determine what a year 2005-dollar amount would be in dollars of another year, simply multiply the year 2005 amount by the conversion factor of that year.  For example, $1000 2005 dollars would equal in value about $74 in dollars of 1940 ($1000 x 0.072 = $72), again suggest rounding to 2 (before 1913) or 3 (starting 1913) decimal places.</t>
    </r>
  </si>
  <si>
    <t>Two columns provide conversion factors for 2005 for the CPI-U-X1 and CPI-U-RS series.  CPI-U-X1 applies the inflation measure introduced in 1983 to the period 1950 to 1982.  CPI-U-RS is an experimental series, with 1977 = 100, re-based here to 2005 = 1.000.  CPI-U-RS often results in lower measured inflation than either the CPI-U or the CPI-U-X1 series (see inflation-rate columns).</t>
  </si>
  <si>
    <t xml:space="preserve">    Conversion factors are stated so that the conversion year = 1.000 instead of 100.0, to ease CF arithmetic calculations.</t>
  </si>
  <si>
    <r>
      <t>Reminder</t>
    </r>
    <r>
      <rPr>
        <sz val="8"/>
        <rFont val="Arial"/>
        <family val="2"/>
      </rPr>
      <t>:  If precise comparisons are needed for the period 1950 (or 1947) through the present, use CPI-U-X1 or CPI-U-RS.</t>
    </r>
  </si>
  <si>
    <r>
      <t>Inflation assumptions</t>
    </r>
    <r>
      <rPr>
        <b/>
        <sz val="8"/>
        <color indexed="10"/>
        <rFont val="Arial"/>
        <family val="2"/>
      </rPr>
      <t>:  Inflation conversion factors for 2007 and later years, assume, as of early 2007; 2.1 percent in 2007; 2.2 percent in 2008 through 2017; 2006-2012 are the average of OMB and CBO inflation estimates for each year as of early 2006; 2013-2017 are only from CBO because OMB did not project past 2012 in its 2007 Budget proposals.  These will be updated February 2008.</t>
    </r>
  </si>
  <si>
    <r>
      <t xml:space="preserve">Conversion factors are calculated using McCusker data for years to 1912, using 1982 CPI = 11.54 in 1860 dollars.  (The source of "McCusker data" is identified at the bottom of this table.)  Conversion factors for years starting 1913 use the CPI-U as the base, from the US Bureau of Labor Statistics.  Monthly and annual CPI data are available at the BLS web site:  </t>
    </r>
    <r>
      <rPr>
        <u/>
        <sz val="8"/>
        <rFont val="Arial"/>
        <family val="2"/>
      </rPr>
      <t>http://stats.bls.gov/cpi/home.htm#data</t>
    </r>
    <r>
      <rPr>
        <sz val="8"/>
        <rFont val="Arial"/>
        <family val="2"/>
      </rPr>
      <t xml:space="preserve"> (CPI-U = all urban consumers).  The conversion factor data used from McCusker and CPI for each year are shown above each CF column.</t>
    </r>
  </si>
  <si>
    <t>Prior to 1913 CPI derived from McCusker, using 1982 CPI = 11.54 in 1860$</t>
  </si>
  <si>
    <t>to 1912 18.22 in 1860$ and starting 1913 1.524 CPI in 1995</t>
  </si>
  <si>
    <t>18.76 in 1860$ and 1.569 CPI in 1996</t>
  </si>
  <si>
    <t>19.20 in 1860$ and 1.605 CPI in 1997</t>
  </si>
  <si>
    <t>19.49 in 1860$ and 1.630 CPI in 1998</t>
  </si>
  <si>
    <t>19.92 in 1860$ and 1.666 CPI in 1999</t>
  </si>
  <si>
    <t>20.59 in 1860$ and 1.722 CPI in 2000</t>
  </si>
  <si>
    <t>21.17 in 1860$ and 1.771 CPI in 2001</t>
  </si>
  <si>
    <t>21.52 in 1860$ and final 1.799 CPI in 2002</t>
  </si>
  <si>
    <t>22.01 in 1860$ and 1.840 CPI in 2003</t>
  </si>
  <si>
    <t>22.59 in 1860$ and 1.889 CPI in 2004</t>
  </si>
  <si>
    <t>23.35 in 1860$ and 1.953 CPI in 2005</t>
  </si>
  <si>
    <t>24.09 in 1860$ and final 2.016 CPI in 2006 [initial estimate: 2.015]</t>
  </si>
  <si>
    <t>24.09 in 1860$ and estimated 2.058 CPI in 2007 [early 2006 estimates]</t>
  </si>
  <si>
    <t>CPI [1982-84] CF</t>
  </si>
  <si>
    <t>Estimated 2007$ CF</t>
  </si>
  <si>
    <t>X1 CF 2005$ [starts 1950]</t>
  </si>
  <si>
    <t>CPI-U-RS CF 2005$ [starts 1947]</t>
  </si>
  <si>
    <t>Revised to 2006 January 18, 2007, using final 2006 inflation of 3.2 percent, CPI = 201.6.  Revised for 2006 and later years March 10, 2006, using the average of OMB and CBO inflation estimates for those years.  Also uses revised (2001) McCusker data.  Note:  2006 CPI estimated February 2006 was 201.5; actual (final) was 201.6.  Both of these round to 3.2 percent inflation.  So the final conversion factors differ insignificantly from those estimated early in 2006, based on the average of OMB and CBO inflation estimates for 2006.</t>
  </si>
  <si>
    <r>
      <t xml:space="preserve">Conversion factors for years prior to 1913 are re-based from data in John J. McCusker, "How Much Is That in Real Money?," Proceedings of the American Antiquarian Society (2001), Table A-1, Column 6.  (The McCusker data use 1860 as the base year, with 1860 = 1.00. To produce conversion factors for 1665-1912, the McCusker data are re-based, as indicated at the top of each CF column.)  McCusker's offprint How Much Is That In Real Money?, revised 2001 (ISBN 1-929545-01-1) is available from the American Antiquarian Society for $15 plus shipping and handling  through their web site:  </t>
    </r>
    <r>
      <rPr>
        <u/>
        <sz val="8"/>
        <rFont val="Arial"/>
        <family val="2"/>
      </rPr>
      <t>http://www.americanantiquarian.org/Offprints/order.htm</t>
    </r>
    <r>
      <rPr>
        <sz val="8"/>
        <rFont val="Arial"/>
        <family val="2"/>
      </rPr>
      <t>.</t>
    </r>
  </si>
  <si>
    <t>Earlier versions of these conversion factors used pre-1913 CPI data for  1800 to 1912 CPI from Historical  Statistics of the United States (USGPO,  1975), Series E 135,     Vol I, pp 210-211 (1967 base) re-based to 1982-84 using 1967 = 0.334 in 1982-84 CPI-U base.  For reference, the earlier data, from Historical Statistics, are included as a column here,  though the earlier data are no longer used to produce these conversion factors.</t>
  </si>
  <si>
    <t>Data for years prior to 1913 should be considered estimates.</t>
  </si>
  <si>
    <t>CPI is CPI-U, the broader measure for all urban consumers, using year-to-year averages, not December to December.  When careful comparison of dollar figures for the period since 1950 is required, the CPI-U-RS series or the CPI-U-X1 series should be used, which applies the post-1982 CPI to the period 1950 to 1982.</t>
  </si>
  <si>
    <t>2006 conversion factors use the final 2006 CPI of 2.016; estimated 2006 CF [early 2006] assumed CPI of 2.105; both estimate and final round to 3.2% inflation.</t>
  </si>
  <si>
    <t>2007 estimated conversion factors use the final 2006 CPI of 2.016 and assume 2.1 percent inflation in 2007, an estimated CPI of 2.058.</t>
  </si>
  <si>
    <t>The 2007 to 2017 conversion factors assume inflation rates indicated at the top of this page, averaged from estimates by the Office of Management and Budget (to 2012 only) and/or Congressional Budget Office (all years), as of January and February 2007.</t>
  </si>
  <si>
    <r>
      <t>Points of Caution</t>
    </r>
    <r>
      <rPr>
        <sz val="8"/>
        <rFont val="Arial"/>
        <family val="2"/>
      </rPr>
      <t>: (1) Data for years prior to 1913 are estimates and should be considered approximations.</t>
    </r>
  </si>
  <si>
    <t>(2) Year 2006 conversion factors are based on early 2006 inflation estimates by the OMB and the Congressional Budget Office.  These will be revised in early 2007 with final 2006 CPI data.</t>
  </si>
  <si>
    <r>
      <t xml:space="preserve">(3) The CPI is changed periodically, so data for the entire series are not precisely comparable.  See the discussion in </t>
    </r>
    <r>
      <rPr>
        <i/>
        <sz val="8"/>
        <rFont val="Arial"/>
        <family val="2"/>
      </rPr>
      <t>Historical Statistics (1975)</t>
    </r>
    <r>
      <rPr>
        <sz val="8"/>
        <rFont val="Arial"/>
        <family val="2"/>
      </rPr>
      <t xml:space="preserve">, Volume I, pages 190 to 192.  The major CPI change in 1983 effectively reduced the measured CPI by changing the way home ownership costs are measured.  To apply the CPI used starting 1983 to years 1950 to 1982, use the CPI-U-X1 series, as shown above, from </t>
    </r>
    <r>
      <rPr>
        <i/>
        <sz val="8"/>
        <rFont val="Arial"/>
        <family val="2"/>
      </rPr>
      <t>The Economic Report of the President 2006</t>
    </r>
    <r>
      <rPr>
        <sz val="8"/>
        <rFont val="Arial"/>
        <family val="2"/>
      </rPr>
      <t xml:space="preserve">, Tables B-60 to B-62, and tables in earlier editions of </t>
    </r>
    <r>
      <rPr>
        <i/>
        <sz val="8"/>
        <rFont val="Arial"/>
        <family val="2"/>
      </rPr>
      <t>Economic Report of the Presiden</t>
    </r>
    <r>
      <rPr>
        <sz val="8"/>
        <rFont val="Arial"/>
        <family val="2"/>
      </rPr>
      <t>t.  By definition, CPI-U-X1 is the same as CPI starting 1983.</t>
    </r>
  </si>
  <si>
    <t>(4) All CPI conversion factors are based on year-to-year averages, not December to December changes.</t>
  </si>
  <si>
    <r>
      <t xml:space="preserve">Detailed explanations of the CPI are available at the Bureau of Labor Statistics CPI web site: </t>
    </r>
    <r>
      <rPr>
        <u/>
        <sz val="8"/>
        <rFont val="Arial"/>
        <family val="2"/>
      </rPr>
      <t>http://stats.bls.gov/cpihome.htm</t>
    </r>
    <r>
      <rPr>
        <sz val="8"/>
        <rFont val="Arial"/>
        <family val="2"/>
      </rPr>
      <t xml:space="preserve">.  Discussion of the CPI-U-RS and its strengths and limits can be found at </t>
    </r>
    <r>
      <rPr>
        <u/>
        <sz val="8"/>
        <rFont val="Arial"/>
        <family val="2"/>
      </rPr>
      <t>http://www.bls.gov/cpi/cpirsdc.htm</t>
    </r>
    <r>
      <rPr>
        <sz val="8"/>
        <rFont val="Arial"/>
        <family val="2"/>
      </rPr>
      <t xml:space="preserve">  and at the Census Bureau site, </t>
    </r>
    <r>
      <rPr>
        <u/>
        <sz val="8"/>
        <rFont val="Arial"/>
        <family val="2"/>
      </rPr>
      <t>http://www.census.gov/hhes/income/income00/cpiurstxt.html</t>
    </r>
    <r>
      <rPr>
        <sz val="8"/>
        <rFont val="Arial"/>
        <family val="2"/>
      </rPr>
      <t xml:space="preserve">.  The CPI-U-RS data are from the Census Bureau, which uses the Bureau of Labor Statistics' experimental Consumer Price Index (CPI-U-RS) starting 1977.  The Census Bureau derived the CPI-U-RS for years before 1977 by applying the 1977 CPI-U-RS-to-CPI-U ratio to the 1947 to 1976 CPI-U.  The 1978 through 2005 CPI-U-RS data are from </t>
    </r>
    <r>
      <rPr>
        <i/>
        <sz val="8"/>
        <rFont val="Arial"/>
        <family val="2"/>
      </rPr>
      <t>Economic Report of the President 2006</t>
    </r>
    <r>
      <rPr>
        <sz val="8"/>
        <rFont val="Arial"/>
        <family val="2"/>
      </rPr>
      <t>, Table B-62, page 354.</t>
    </r>
  </si>
  <si>
    <t>Professor Robert Sahr, Political Science Department, 307 Gilkey Hall, Oregon State University, Corvallis, OR  97331-6206</t>
  </si>
  <si>
    <r>
      <t xml:space="preserve">Telephone:  (541) 737-6238 or 737-2811; Fax:  (541) 737-2289; e-mail:  </t>
    </r>
    <r>
      <rPr>
        <u/>
        <sz val="8"/>
        <rFont val="Arial"/>
        <family val="2"/>
      </rPr>
      <t>Robert.Sahr@oregonstate.edu</t>
    </r>
  </si>
  <si>
    <t xml:space="preserve"> </t>
  </si>
  <si>
    <t>Notes:  CF for pre-1913 were produced by re-basing McCusker data using 1982 as the bridge year.  Then those conversion columns were copied to the appropriate CF column, using the equal and round functions, rounded to 3 or 4 places.  Then columns were copied and "paste special" values only back onto themselves.  The values displayed may be one less decimal place than the values stored.</t>
  </si>
  <si>
    <t>The early 2006 estimate of that year's CPI was 2.015, for 2006 inflation of 3.17 percent; actual CPI was 2.016, for 2006 inflation of 3.23 percent.  Both round to 3.2 percent.  So the early 2006 estimate of 2006 inflation differs insignificantly from final 2006 inflation.</t>
  </si>
  <si>
    <t>USA</t>
  </si>
  <si>
    <t>Mitchell</t>
  </si>
  <si>
    <t>year</t>
  </si>
  <si>
    <t>CPI</t>
  </si>
  <si>
    <t>1913=100</t>
  </si>
  <si>
    <t xml:space="preserve">Mitchell, B. R. </t>
  </si>
  <si>
    <t>International Historical Statistics, Africa, Asia and Oceania 1750-1993 London : Macmillan ; New York : Stockton, 1998</t>
  </si>
  <si>
    <t>International Historical Statistics,Europe 1750-1993 London : Macmillan ; New York : Stockton, 1998</t>
  </si>
  <si>
    <t>International Historical Statistics, The Americas 1750-1993 London : Macmillan ; New York : Stockton, 1998</t>
  </si>
  <si>
    <t>U.S. Consumer Price Index *</t>
  </si>
  <si>
    <t xml:space="preserve">Note: Current data is only available till 2011.
</t>
  </si>
  <si>
    <t>* Average 1982-84 = 100.</t>
  </si>
  <si>
    <t xml:space="preserve">Citation: Lawrence H. Officer and Samuel H. Williamson, 'The Annual Consumer Price Index for the United States, 1774-2011,' MeasuringWorth, 2012. </t>
  </si>
  <si>
    <t>http://www.minneapolisfed.org/community_education/teacher/calc/hist1800.cfm?</t>
  </si>
  <si>
    <t>Annual Average</t>
  </si>
  <si>
    <t>Annual Percent Change</t>
  </si>
  <si>
    <t>(rate of inflation)</t>
  </si>
  <si>
    <t>Handbook of Labor Statistics</t>
  </si>
  <si>
    <t>U.S. Department of Labor</t>
  </si>
  <si>
    <t>Bureau of Labor Statistics</t>
  </si>
  <si>
    <t>Indexes from 1800 to 1912 and 2013 estimated by splicing the following series:</t>
  </si>
  <si>
    <t>1800 to 1851 - Index of Prices Paid by Vermont Farmers for Family Living;</t>
  </si>
  <si>
    <t>1851 to 1890 - Consumer Price Index by Ethel D. Hoover;</t>
  </si>
  <si>
    <t>1890 to 1912 - Cost of Living Index by Albert Rees;</t>
  </si>
  <si>
    <t>1913 to 2012 - Consumer Price Index;</t>
  </si>
  <si>
    <t>2013 - An estimate for 2013 is based on the change in the CPI from fourth quarter 2011 to fourth quarter 2012.</t>
  </si>
  <si>
    <t>To calculate the change in prices, use the formula from the example below:</t>
  </si>
  <si>
    <t>What is $1 in 1850 worth in 2013?</t>
  </si>
  <si>
    <t>2013 Price = 1850 Price x (2013 CPI / 1850 CPI)</t>
  </si>
  <si>
    <t>2013 Price = $1 x (703.0 / 25)</t>
  </si>
  <si>
    <t>2013 Price = $28.12</t>
  </si>
  <si>
    <t>$1 in 1850 is worth $28.12 in 2013.</t>
  </si>
  <si>
    <t>CPI-U</t>
  </si>
  <si>
    <t>1967 = 100</t>
  </si>
  <si>
    <t xml:space="preserve"> 2013*</t>
  </si>
  <si>
    <t>*An estimate for 2013 is based on the change in the CPI from fourth quarter 2011 to fourth quarter 2012.</t>
  </si>
  <si>
    <t>Annual CPI Rate</t>
  </si>
  <si>
    <t>Percent Change</t>
  </si>
  <si>
    <t>Index of The General Price Level for United States</t>
  </si>
  <si>
    <t>M04051USM324NNBR</t>
  </si>
  <si>
    <t>Index 1913=100</t>
  </si>
  <si>
    <t>1860-01-01 to 1939-11-01</t>
  </si>
  <si>
    <t>2012-08-16 2:50 PM CDT</t>
  </si>
  <si>
    <t>Components Of This Index And Their Respective Weights Are: Industrial</t>
  </si>
  <si>
    <t>Prices, Non-Agricultural, Wholesale (10); Farm Prices At The Farm</t>
  </si>
  <si>
    <t>(10); Retail Food Prices In 51 Cities (10); Rents, In 32 Cities (5);</t>
  </si>
  <si>
    <t>Clothing, Fuel, Furnishings, Etc., Retail (10); Freight And</t>
  </si>
  <si>
    <t>Transportation Costs (5); Realty Value, Urban And Farm (10);</t>
  </si>
  <si>
    <t>Securities, Bonds, And Stocks (10); Equipment And Machinery (10);</t>
  </si>
  <si>
    <t>Hardware Prices (3); Automobile Prices (2); Wages, Federal Reserve</t>
  </si>
  <si>
    <t>Board, New York Composite (15). "Data For 1934-November, 1939, Are</t>
  </si>
  <si>
    <t>Correct As Given In The"Monthly Review"; They Are Discontinued After</t>
  </si>
  <si>
    <t>November, 1939." Telephone Conversation Of 5/24/41 With Reports</t>
  </si>
  <si>
    <t>Division Of The Federal Reserve Board Of New York. Source: Federal</t>
  </si>
  <si>
    <t>Reserve Bank Of New York City, Letter From Reports Department For</t>
  </si>
  <si>
    <t>1860-1933. For 1934-1939, Data Are From "Monthly Review Of Credit And</t>
  </si>
  <si>
    <t>Business Conditions."</t>
  </si>
  <si>
    <t>This NBER data series m04051 appears on the NBER website in Chapter 4</t>
  </si>
  <si>
    <t>NBER Indicator: m04051</t>
  </si>
  <si>
    <t>1860-01-01</t>
  </si>
  <si>
    <t>1860-02-01</t>
  </si>
  <si>
    <t>1860-03-01</t>
  </si>
  <si>
    <t>1860-04-01</t>
  </si>
  <si>
    <t>1860-05-01</t>
  </si>
  <si>
    <t>1860-06-01</t>
  </si>
  <si>
    <t>1860-07-01</t>
  </si>
  <si>
    <t>1860-08-01</t>
  </si>
  <si>
    <t>1860-09-01</t>
  </si>
  <si>
    <t>1860-10-01</t>
  </si>
  <si>
    <t>1860-11-01</t>
  </si>
  <si>
    <t>1860-12-01</t>
  </si>
  <si>
    <t>1861-01-01</t>
  </si>
  <si>
    <t>1861-02-01</t>
  </si>
  <si>
    <t>1861-03-01</t>
  </si>
  <si>
    <t>1861-04-01</t>
  </si>
  <si>
    <t>1861-05-01</t>
  </si>
  <si>
    <t>1861-06-01</t>
  </si>
  <si>
    <t>1861-07-01</t>
  </si>
  <si>
    <t>1861-08-01</t>
  </si>
  <si>
    <t>1861-09-01</t>
  </si>
  <si>
    <t>1861-10-01</t>
  </si>
  <si>
    <t>1861-11-01</t>
  </si>
  <si>
    <t>1861-12-01</t>
  </si>
  <si>
    <t>1862-01-01</t>
  </si>
  <si>
    <t>1862-02-01</t>
  </si>
  <si>
    <t>1862-03-01</t>
  </si>
  <si>
    <t>1862-04-01</t>
  </si>
  <si>
    <t>1862-05-01</t>
  </si>
  <si>
    <t>1862-06-01</t>
  </si>
  <si>
    <t>1862-07-01</t>
  </si>
  <si>
    <t>1862-08-01</t>
  </si>
  <si>
    <t>1862-09-01</t>
  </si>
  <si>
    <t>1862-10-01</t>
  </si>
  <si>
    <t>1862-11-01</t>
  </si>
  <si>
    <t>1862-12-01</t>
  </si>
  <si>
    <t>1863-01-01</t>
  </si>
  <si>
    <t>1863-02-01</t>
  </si>
  <si>
    <t>1863-03-01</t>
  </si>
  <si>
    <t>1863-04-01</t>
  </si>
  <si>
    <t>1863-05-01</t>
  </si>
  <si>
    <t>1863-06-01</t>
  </si>
  <si>
    <t>1863-07-01</t>
  </si>
  <si>
    <t>1863-08-01</t>
  </si>
  <si>
    <t>1863-09-01</t>
  </si>
  <si>
    <t>1863-10-01</t>
  </si>
  <si>
    <t>1863-11-01</t>
  </si>
  <si>
    <t>1863-12-01</t>
  </si>
  <si>
    <t>1864-01-01</t>
  </si>
  <si>
    <t>1864-02-01</t>
  </si>
  <si>
    <t>1864-03-01</t>
  </si>
  <si>
    <t>1864-04-01</t>
  </si>
  <si>
    <t>1864-05-01</t>
  </si>
  <si>
    <t>1864-06-01</t>
  </si>
  <si>
    <t>1864-07-01</t>
  </si>
  <si>
    <t>1864-08-01</t>
  </si>
  <si>
    <t>1864-09-01</t>
  </si>
  <si>
    <t>1864-10-01</t>
  </si>
  <si>
    <t>1864-11-01</t>
  </si>
  <si>
    <t>1864-12-01</t>
  </si>
  <si>
    <t>1865-01-01</t>
  </si>
  <si>
    <t>1865-02-01</t>
  </si>
  <si>
    <t>1865-03-01</t>
  </si>
  <si>
    <t>1865-04-01</t>
  </si>
  <si>
    <t>1865-05-01</t>
  </si>
  <si>
    <t>1865-06-01</t>
  </si>
  <si>
    <t>1865-07-01</t>
  </si>
  <si>
    <t>1865-08-01</t>
  </si>
  <si>
    <t>1865-09-01</t>
  </si>
  <si>
    <t>1865-10-01</t>
  </si>
  <si>
    <t>1865-11-01</t>
  </si>
  <si>
    <t>1865-12-01</t>
  </si>
  <si>
    <t>1866-01-01</t>
  </si>
  <si>
    <t>1866-02-01</t>
  </si>
  <si>
    <t>1866-03-01</t>
  </si>
  <si>
    <t>1866-04-01</t>
  </si>
  <si>
    <t>1866-05-01</t>
  </si>
  <si>
    <t>1866-06-01</t>
  </si>
  <si>
    <t>1866-07-01</t>
  </si>
  <si>
    <t>1866-08-01</t>
  </si>
  <si>
    <t>1866-09-01</t>
  </si>
  <si>
    <t>1866-10-01</t>
  </si>
  <si>
    <t>1866-11-01</t>
  </si>
  <si>
    <t>1866-12-01</t>
  </si>
  <si>
    <t>1867-01-01</t>
  </si>
  <si>
    <t>1867-02-01</t>
  </si>
  <si>
    <t>1867-03-01</t>
  </si>
  <si>
    <t>1867-04-01</t>
  </si>
  <si>
    <t>1867-05-01</t>
  </si>
  <si>
    <t>1867-06-01</t>
  </si>
  <si>
    <t>1867-07-01</t>
  </si>
  <si>
    <t>1867-08-01</t>
  </si>
  <si>
    <t>1867-09-01</t>
  </si>
  <si>
    <t>1867-10-01</t>
  </si>
  <si>
    <t>1867-11-01</t>
  </si>
  <si>
    <t>1867-12-01</t>
  </si>
  <si>
    <t>1868-01-01</t>
  </si>
  <si>
    <t>1868-02-01</t>
  </si>
  <si>
    <t>1868-03-01</t>
  </si>
  <si>
    <t>1868-04-01</t>
  </si>
  <si>
    <t>1868-05-01</t>
  </si>
  <si>
    <t>1868-06-01</t>
  </si>
  <si>
    <t>1868-07-01</t>
  </si>
  <si>
    <t>1868-08-01</t>
  </si>
  <si>
    <t>1868-09-01</t>
  </si>
  <si>
    <t>1868-10-01</t>
  </si>
  <si>
    <t>1868-11-01</t>
  </si>
  <si>
    <t>1868-12-01</t>
  </si>
  <si>
    <t>1869-01-01</t>
  </si>
  <si>
    <t>1869-02-01</t>
  </si>
  <si>
    <t>1869-03-01</t>
  </si>
  <si>
    <t>1869-04-01</t>
  </si>
  <si>
    <t>1869-05-01</t>
  </si>
  <si>
    <t>1869-06-01</t>
  </si>
  <si>
    <t>1869-07-01</t>
  </si>
  <si>
    <t>1869-08-01</t>
  </si>
  <si>
    <t>1869-09-01</t>
  </si>
  <si>
    <t>1869-10-01</t>
  </si>
  <si>
    <t>1869-11-01</t>
  </si>
  <si>
    <t>1869-12-01</t>
  </si>
  <si>
    <t>1870-01-01</t>
  </si>
  <si>
    <t>1870-02-01</t>
  </si>
  <si>
    <t>1870-03-01</t>
  </si>
  <si>
    <t>1870-04-01</t>
  </si>
  <si>
    <t>1870-05-01</t>
  </si>
  <si>
    <t>1870-06-01</t>
  </si>
  <si>
    <t>1870-07-01</t>
  </si>
  <si>
    <t>1870-08-01</t>
  </si>
  <si>
    <t>1870-09-01</t>
  </si>
  <si>
    <t>1870-10-01</t>
  </si>
  <si>
    <t>1870-11-01</t>
  </si>
  <si>
    <t>1870-12-01</t>
  </si>
  <si>
    <t>1871-01-01</t>
  </si>
  <si>
    <t>1871-02-01</t>
  </si>
  <si>
    <t>1871-03-01</t>
  </si>
  <si>
    <t>1871-04-01</t>
  </si>
  <si>
    <t>1871-05-01</t>
  </si>
  <si>
    <t>1871-06-01</t>
  </si>
  <si>
    <t>1871-07-01</t>
  </si>
  <si>
    <t>1871-08-01</t>
  </si>
  <si>
    <t>1871-09-01</t>
  </si>
  <si>
    <t>1871-10-01</t>
  </si>
  <si>
    <t>1871-11-01</t>
  </si>
  <si>
    <t>1871-12-01</t>
  </si>
  <si>
    <t>1872-01-01</t>
  </si>
  <si>
    <t>1872-02-01</t>
  </si>
  <si>
    <t>1872-03-01</t>
  </si>
  <si>
    <t>1872-04-01</t>
  </si>
  <si>
    <t>1872-05-01</t>
  </si>
  <si>
    <t>1872-06-01</t>
  </si>
  <si>
    <t>1872-07-01</t>
  </si>
  <si>
    <t>1872-08-01</t>
  </si>
  <si>
    <t>1872-09-01</t>
  </si>
  <si>
    <t>1872-10-01</t>
  </si>
  <si>
    <t>1872-11-01</t>
  </si>
  <si>
    <t>1872-12-01</t>
  </si>
  <si>
    <t>1873-01-01</t>
  </si>
  <si>
    <t>1873-02-01</t>
  </si>
  <si>
    <t>1873-03-01</t>
  </si>
  <si>
    <t>1873-04-01</t>
  </si>
  <si>
    <t>1873-05-01</t>
  </si>
  <si>
    <t>1873-06-01</t>
  </si>
  <si>
    <t>1873-07-01</t>
  </si>
  <si>
    <t>1873-08-01</t>
  </si>
  <si>
    <t>1873-09-01</t>
  </si>
  <si>
    <t>1873-10-01</t>
  </si>
  <si>
    <t>1873-11-01</t>
  </si>
  <si>
    <t>1873-12-01</t>
  </si>
  <si>
    <t>1874-01-01</t>
  </si>
  <si>
    <t>1874-02-01</t>
  </si>
  <si>
    <t>1874-03-01</t>
  </si>
  <si>
    <t>1874-04-01</t>
  </si>
  <si>
    <t>1874-05-01</t>
  </si>
  <si>
    <t>1874-06-01</t>
  </si>
  <si>
    <t>1874-07-01</t>
  </si>
  <si>
    <t>1874-08-01</t>
  </si>
  <si>
    <t>1874-09-01</t>
  </si>
  <si>
    <t>1874-10-01</t>
  </si>
  <si>
    <t>1874-11-01</t>
  </si>
  <si>
    <t>1874-12-01</t>
  </si>
  <si>
    <t>1875-01-01</t>
  </si>
  <si>
    <t>1875-02-01</t>
  </si>
  <si>
    <t>1875-03-01</t>
  </si>
  <si>
    <t>1875-04-01</t>
  </si>
  <si>
    <t>1875-05-01</t>
  </si>
  <si>
    <t>1875-06-01</t>
  </si>
  <si>
    <t>1875-07-01</t>
  </si>
  <si>
    <t>1875-08-01</t>
  </si>
  <si>
    <t>1875-09-01</t>
  </si>
  <si>
    <t>1875-10-01</t>
  </si>
  <si>
    <t>1875-11-01</t>
  </si>
  <si>
    <t>1875-12-01</t>
  </si>
  <si>
    <t>1876-01-01</t>
  </si>
  <si>
    <t>1876-02-01</t>
  </si>
  <si>
    <t>1876-03-01</t>
  </si>
  <si>
    <t>1876-04-01</t>
  </si>
  <si>
    <t>1876-05-01</t>
  </si>
  <si>
    <t>1876-06-01</t>
  </si>
  <si>
    <t>1876-07-01</t>
  </si>
  <si>
    <t>1876-08-01</t>
  </si>
  <si>
    <t>1876-09-01</t>
  </si>
  <si>
    <t>1876-10-01</t>
  </si>
  <si>
    <t>1876-11-01</t>
  </si>
  <si>
    <t>1876-12-01</t>
  </si>
  <si>
    <t>1877-01-01</t>
  </si>
  <si>
    <t>1877-02-01</t>
  </si>
  <si>
    <t>1877-03-01</t>
  </si>
  <si>
    <t>1877-04-01</t>
  </si>
  <si>
    <t>1877-05-01</t>
  </si>
  <si>
    <t>1877-06-01</t>
  </si>
  <si>
    <t>1877-07-01</t>
  </si>
  <si>
    <t>1877-08-01</t>
  </si>
  <si>
    <t>1877-09-01</t>
  </si>
  <si>
    <t>1877-10-01</t>
  </si>
  <si>
    <t>1877-11-01</t>
  </si>
  <si>
    <t>1877-12-01</t>
  </si>
  <si>
    <t>1878-01-01</t>
  </si>
  <si>
    <t>1878-02-01</t>
  </si>
  <si>
    <t>1878-03-01</t>
  </si>
  <si>
    <t>1878-04-01</t>
  </si>
  <si>
    <t>1878-05-01</t>
  </si>
  <si>
    <t>1878-06-01</t>
  </si>
  <si>
    <t>1878-07-01</t>
  </si>
  <si>
    <t>1878-08-01</t>
  </si>
  <si>
    <t>1878-09-01</t>
  </si>
  <si>
    <t>1878-10-01</t>
  </si>
  <si>
    <t>1878-11-01</t>
  </si>
  <si>
    <t>1878-12-01</t>
  </si>
  <si>
    <t>1879-01-01</t>
  </si>
  <si>
    <t>1879-02-01</t>
  </si>
  <si>
    <t>1879-03-01</t>
  </si>
  <si>
    <t>1879-04-01</t>
  </si>
  <si>
    <t>1879-05-01</t>
  </si>
  <si>
    <t>1879-06-01</t>
  </si>
  <si>
    <t>1879-07-01</t>
  </si>
  <si>
    <t>1879-08-01</t>
  </si>
  <si>
    <t>1879-09-01</t>
  </si>
  <si>
    <t>1879-10-01</t>
  </si>
  <si>
    <t>1879-11-01</t>
  </si>
  <si>
    <t>1879-12-01</t>
  </si>
  <si>
    <t>1880-01-01</t>
  </si>
  <si>
    <t>1880-02-01</t>
  </si>
  <si>
    <t>1880-03-01</t>
  </si>
  <si>
    <t>1880-04-01</t>
  </si>
  <si>
    <t>1880-05-01</t>
  </si>
  <si>
    <t>1880-06-01</t>
  </si>
  <si>
    <t>1880-07-01</t>
  </si>
  <si>
    <t>1880-08-01</t>
  </si>
  <si>
    <t>1880-09-01</t>
  </si>
  <si>
    <t>1880-10-01</t>
  </si>
  <si>
    <t>1880-11-01</t>
  </si>
  <si>
    <t>1880-12-01</t>
  </si>
  <si>
    <t>1881-01-01</t>
  </si>
  <si>
    <t>1881-02-01</t>
  </si>
  <si>
    <t>1881-03-01</t>
  </si>
  <si>
    <t>1881-04-01</t>
  </si>
  <si>
    <t>1881-05-01</t>
  </si>
  <si>
    <t>1881-06-01</t>
  </si>
  <si>
    <t>1881-07-01</t>
  </si>
  <si>
    <t>1881-08-01</t>
  </si>
  <si>
    <t>1881-09-01</t>
  </si>
  <si>
    <t>1881-10-01</t>
  </si>
  <si>
    <t>1881-11-01</t>
  </si>
  <si>
    <t>1881-12-01</t>
  </si>
  <si>
    <t>1882-01-01</t>
  </si>
  <si>
    <t>1882-02-01</t>
  </si>
  <si>
    <t>1882-03-01</t>
  </si>
  <si>
    <t>1882-04-01</t>
  </si>
  <si>
    <t>1882-05-01</t>
  </si>
  <si>
    <t>1882-06-01</t>
  </si>
  <si>
    <t>1882-07-01</t>
  </si>
  <si>
    <t>1882-08-01</t>
  </si>
  <si>
    <t>1882-09-01</t>
  </si>
  <si>
    <t>1882-10-01</t>
  </si>
  <si>
    <t>1882-11-01</t>
  </si>
  <si>
    <t>1882-12-01</t>
  </si>
  <si>
    <t>1883-01-01</t>
  </si>
  <si>
    <t>1883-02-01</t>
  </si>
  <si>
    <t>1883-03-01</t>
  </si>
  <si>
    <t>1883-04-01</t>
  </si>
  <si>
    <t>1883-05-01</t>
  </si>
  <si>
    <t>1883-06-01</t>
  </si>
  <si>
    <t>1883-07-01</t>
  </si>
  <si>
    <t>1883-08-01</t>
  </si>
  <si>
    <t>1883-09-01</t>
  </si>
  <si>
    <t>1883-10-01</t>
  </si>
  <si>
    <t>1883-11-01</t>
  </si>
  <si>
    <t>1883-12-01</t>
  </si>
  <si>
    <t>1884-01-01</t>
  </si>
  <si>
    <t>1884-02-01</t>
  </si>
  <si>
    <t>1884-03-01</t>
  </si>
  <si>
    <t>1884-04-01</t>
  </si>
  <si>
    <t>1884-05-01</t>
  </si>
  <si>
    <t>1884-06-01</t>
  </si>
  <si>
    <t>1884-07-01</t>
  </si>
  <si>
    <t>1884-08-01</t>
  </si>
  <si>
    <t>1884-09-01</t>
  </si>
  <si>
    <t>1884-10-01</t>
  </si>
  <si>
    <t>1884-11-01</t>
  </si>
  <si>
    <t>1884-12-01</t>
  </si>
  <si>
    <t>1885-01-01</t>
  </si>
  <si>
    <t>1885-02-01</t>
  </si>
  <si>
    <t>1885-03-01</t>
  </si>
  <si>
    <t>1885-04-01</t>
  </si>
  <si>
    <t>1885-05-01</t>
  </si>
  <si>
    <t>1885-06-01</t>
  </si>
  <si>
    <t>1885-07-01</t>
  </si>
  <si>
    <t>1885-08-01</t>
  </si>
  <si>
    <t>1885-09-01</t>
  </si>
  <si>
    <t>1885-10-01</t>
  </si>
  <si>
    <t>1885-11-01</t>
  </si>
  <si>
    <t>1885-12-01</t>
  </si>
  <si>
    <t>1886-01-01</t>
  </si>
  <si>
    <t>1886-02-01</t>
  </si>
  <si>
    <t>1886-03-01</t>
  </si>
  <si>
    <t>1886-04-01</t>
  </si>
  <si>
    <t>1886-05-01</t>
  </si>
  <si>
    <t>1886-06-01</t>
  </si>
  <si>
    <t>1886-07-01</t>
  </si>
  <si>
    <t>1886-08-01</t>
  </si>
  <si>
    <t>1886-09-01</t>
  </si>
  <si>
    <t>1886-10-01</t>
  </si>
  <si>
    <t>1886-11-01</t>
  </si>
  <si>
    <t>1886-12-01</t>
  </si>
  <si>
    <t>1887-01-01</t>
  </si>
  <si>
    <t>1887-02-01</t>
  </si>
  <si>
    <t>1887-03-01</t>
  </si>
  <si>
    <t>1887-04-01</t>
  </si>
  <si>
    <t>1887-05-01</t>
  </si>
  <si>
    <t>1887-06-01</t>
  </si>
  <si>
    <t>1887-07-01</t>
  </si>
  <si>
    <t>1887-08-01</t>
  </si>
  <si>
    <t>1887-09-01</t>
  </si>
  <si>
    <t>1887-10-01</t>
  </si>
  <si>
    <t>1887-11-01</t>
  </si>
  <si>
    <t>1887-12-01</t>
  </si>
  <si>
    <t>1888-01-01</t>
  </si>
  <si>
    <t>1888-02-01</t>
  </si>
  <si>
    <t>1888-03-01</t>
  </si>
  <si>
    <t>1888-04-01</t>
  </si>
  <si>
    <t>1888-05-01</t>
  </si>
  <si>
    <t>1888-06-01</t>
  </si>
  <si>
    <t>1888-07-01</t>
  </si>
  <si>
    <t>1888-08-01</t>
  </si>
  <si>
    <t>1888-09-01</t>
  </si>
  <si>
    <t>1888-10-01</t>
  </si>
  <si>
    <t>1888-11-01</t>
  </si>
  <si>
    <t>1888-12-01</t>
  </si>
  <si>
    <t>1889-01-01</t>
  </si>
  <si>
    <t>1889-02-01</t>
  </si>
  <si>
    <t>1889-03-01</t>
  </si>
  <si>
    <t>1889-04-01</t>
  </si>
  <si>
    <t>1889-05-01</t>
  </si>
  <si>
    <t>1889-06-01</t>
  </si>
  <si>
    <t>1889-07-01</t>
  </si>
  <si>
    <t>1889-08-01</t>
  </si>
  <si>
    <t>1889-09-01</t>
  </si>
  <si>
    <t>1889-10-01</t>
  </si>
  <si>
    <t>1889-11-01</t>
  </si>
  <si>
    <t>1889-12-01</t>
  </si>
  <si>
    <t>1890-01-01</t>
  </si>
  <si>
    <t>1890-02-01</t>
  </si>
  <si>
    <t>1890-03-01</t>
  </si>
  <si>
    <t>1890-04-01</t>
  </si>
  <si>
    <t>1890-05-01</t>
  </si>
  <si>
    <t>1890-06-01</t>
  </si>
  <si>
    <t>1890-07-01</t>
  </si>
  <si>
    <t>1890-08-01</t>
  </si>
  <si>
    <t>1890-09-01</t>
  </si>
  <si>
    <t>1890-10-01</t>
  </si>
  <si>
    <t>1890-11-01</t>
  </si>
  <si>
    <t>1890-12-01</t>
  </si>
  <si>
    <t>1891-01-01</t>
  </si>
  <si>
    <t>1891-02-01</t>
  </si>
  <si>
    <t>1891-03-01</t>
  </si>
  <si>
    <t>1891-04-01</t>
  </si>
  <si>
    <t>1891-05-01</t>
  </si>
  <si>
    <t>1891-06-01</t>
  </si>
  <si>
    <t>1891-07-01</t>
  </si>
  <si>
    <t>1891-08-01</t>
  </si>
  <si>
    <t>1891-09-01</t>
  </si>
  <si>
    <t>1891-10-01</t>
  </si>
  <si>
    <t>1891-11-01</t>
  </si>
  <si>
    <t>1891-12-01</t>
  </si>
  <si>
    <t>1892-01-01</t>
  </si>
  <si>
    <t>1892-02-01</t>
  </si>
  <si>
    <t>1892-03-01</t>
  </si>
  <si>
    <t>1892-04-01</t>
  </si>
  <si>
    <t>1892-05-01</t>
  </si>
  <si>
    <t>1892-06-01</t>
  </si>
  <si>
    <t>1892-07-01</t>
  </si>
  <si>
    <t>1892-08-01</t>
  </si>
  <si>
    <t>1892-09-01</t>
  </si>
  <si>
    <t>1892-10-01</t>
  </si>
  <si>
    <t>1892-11-01</t>
  </si>
  <si>
    <t>1892-12-01</t>
  </si>
  <si>
    <t>1893-01-01</t>
  </si>
  <si>
    <t>1893-02-01</t>
  </si>
  <si>
    <t>1893-03-01</t>
  </si>
  <si>
    <t>1893-04-01</t>
  </si>
  <si>
    <t>1893-05-01</t>
  </si>
  <si>
    <t>1893-06-01</t>
  </si>
  <si>
    <t>1893-07-01</t>
  </si>
  <si>
    <t>1893-08-01</t>
  </si>
  <si>
    <t>1893-09-01</t>
  </si>
  <si>
    <t>1893-10-01</t>
  </si>
  <si>
    <t>1893-11-01</t>
  </si>
  <si>
    <t>1893-12-01</t>
  </si>
  <si>
    <t>1894-01-01</t>
  </si>
  <si>
    <t>1894-02-01</t>
  </si>
  <si>
    <t>1894-03-01</t>
  </si>
  <si>
    <t>1894-04-01</t>
  </si>
  <si>
    <t>1894-05-01</t>
  </si>
  <si>
    <t>1894-06-01</t>
  </si>
  <si>
    <t>1894-07-01</t>
  </si>
  <si>
    <t>1894-08-01</t>
  </si>
  <si>
    <t>1894-09-01</t>
  </si>
  <si>
    <t>1894-10-01</t>
  </si>
  <si>
    <t>1894-11-01</t>
  </si>
  <si>
    <t>1894-12-01</t>
  </si>
  <si>
    <t>1895-01-01</t>
  </si>
  <si>
    <t>1895-02-01</t>
  </si>
  <si>
    <t>1895-03-01</t>
  </si>
  <si>
    <t>1895-04-01</t>
  </si>
  <si>
    <t>1895-05-01</t>
  </si>
  <si>
    <t>1895-06-01</t>
  </si>
  <si>
    <t>1895-07-01</t>
  </si>
  <si>
    <t>1895-08-01</t>
  </si>
  <si>
    <t>1895-09-01</t>
  </si>
  <si>
    <t>1895-10-01</t>
  </si>
  <si>
    <t>1895-11-01</t>
  </si>
  <si>
    <t>1895-12-01</t>
  </si>
  <si>
    <t>1896-01-01</t>
  </si>
  <si>
    <t>1896-02-01</t>
  </si>
  <si>
    <t>1896-03-01</t>
  </si>
  <si>
    <t>1896-04-01</t>
  </si>
  <si>
    <t>1896-05-01</t>
  </si>
  <si>
    <t>1896-06-01</t>
  </si>
  <si>
    <t>1896-07-01</t>
  </si>
  <si>
    <t>1896-08-01</t>
  </si>
  <si>
    <t>1896-09-01</t>
  </si>
  <si>
    <t>1896-10-01</t>
  </si>
  <si>
    <t>1896-11-01</t>
  </si>
  <si>
    <t>1896-12-01</t>
  </si>
  <si>
    <t>1897-01-01</t>
  </si>
  <si>
    <t>1897-02-01</t>
  </si>
  <si>
    <t>1897-03-01</t>
  </si>
  <si>
    <t>1897-04-01</t>
  </si>
  <si>
    <t>1897-05-01</t>
  </si>
  <si>
    <t>1897-06-01</t>
  </si>
  <si>
    <t>1897-07-01</t>
  </si>
  <si>
    <t>1897-08-01</t>
  </si>
  <si>
    <t>1897-09-01</t>
  </si>
  <si>
    <t>1897-10-01</t>
  </si>
  <si>
    <t>1897-11-01</t>
  </si>
  <si>
    <t>1897-12-01</t>
  </si>
  <si>
    <t>1898-01-01</t>
  </si>
  <si>
    <t>1898-02-01</t>
  </si>
  <si>
    <t>1898-03-01</t>
  </si>
  <si>
    <t>1898-04-01</t>
  </si>
  <si>
    <t>1898-05-01</t>
  </si>
  <si>
    <t>1898-06-01</t>
  </si>
  <si>
    <t>1898-07-01</t>
  </si>
  <si>
    <t>1898-08-01</t>
  </si>
  <si>
    <t>1898-09-01</t>
  </si>
  <si>
    <t>1898-10-01</t>
  </si>
  <si>
    <t>1898-11-01</t>
  </si>
  <si>
    <t>1898-12-01</t>
  </si>
  <si>
    <t>Annual CPI, U.S., 1860 to 1970</t>
  </si>
  <si>
    <t>Exported from datamarket.com</t>
  </si>
  <si>
    <t>Date exported</t>
  </si>
  <si>
    <t>On DataMarket</t>
  </si>
  <si>
    <t>License</t>
  </si>
  <si>
    <t>This data release is licenced as follows: You may copy and redistribute the data. You may make derivative works from the data. You may use the data for commercial purposes. You may not sublicence the data when redistributing it. You may not redistribute the data under a different license. Source attribution on any use of this data: Must refer source.</t>
  </si>
  <si>
    <t>Provider</t>
  </si>
  <si>
    <t>Time Series Data Library (citing: Nelson and Plosser (1982))</t>
  </si>
  <si>
    <t>Source URL</t>
  </si>
  <si>
    <t>Units</t>
  </si>
  <si>
    <t>Consumer Price Index for All Urban Consumers: All Items</t>
  </si>
  <si>
    <t>CPIAUCSL</t>
  </si>
  <si>
    <t>Consumer Price Index</t>
  </si>
  <si>
    <t>Index 1982-84=100</t>
  </si>
  <si>
    <t>1947-01-01 to 2013-03-01</t>
  </si>
  <si>
    <t>2013-04-16 9:20 AM CDT</t>
  </si>
  <si>
    <t>Handbook of Methods - (http://www.bls.gov/opub/hom/pdf/homch17.pdf)</t>
  </si>
  <si>
    <t>Understanding the CPI: Frequently Asked Questions -</t>
  </si>
  <si>
    <t>(http://stats.bls.gov:80/cpi/cpifaq.htm)</t>
  </si>
  <si>
    <t>CPIAUCNS</t>
  </si>
  <si>
    <t>2013-04-16 9:24 AM CDT</t>
  </si>
  <si>
    <t xml:space="preserve">Lawrence H. Officer and Samuel H. Williamson, "The Annual Consumer Price Index for the United States, 1774-2012," MeasuringWorth, 2013. </t>
  </si>
  <si>
    <t>URL: http://www.measuringworth.com/uscpi/</t>
  </si>
  <si>
    <t>W&amp;P</t>
  </si>
  <si>
    <t>12-Mo</t>
  </si>
  <si>
    <t>Change (%)</t>
  </si>
  <si>
    <t> 2013</t>
  </si>
  <si>
    <t> 2014*</t>
  </si>
  <si>
    <t>https://www.minneapolisfed.org/community_education/teacher/calc/hist1800.cfm</t>
  </si>
  <si>
    <t>Indexes from 1800 to 1912 and 2014 estimated by splicing the following series:</t>
  </si>
  <si>
    <r>
      <t>1800 to 1851</t>
    </r>
    <r>
      <rPr>
        <sz val="13"/>
        <color rgb="FF000000"/>
        <rFont val="Arial"/>
      </rPr>
      <t> - Index of Prices Paid by Vermont Farmers for Family Living;</t>
    </r>
  </si>
  <si>
    <r>
      <t>1851 to 1890</t>
    </r>
    <r>
      <rPr>
        <sz val="13"/>
        <color rgb="FF000000"/>
        <rFont val="Arial"/>
      </rPr>
      <t> - Consumer Price Index by Ethel D. Hoover;</t>
    </r>
  </si>
  <si>
    <r>
      <t>1890 to 1912</t>
    </r>
    <r>
      <rPr>
        <sz val="13"/>
        <color rgb="FF000000"/>
        <rFont val="Arial"/>
      </rPr>
      <t> - Cost of Living Index by Albert Rees;</t>
    </r>
  </si>
  <si>
    <r>
      <t>1890 to 2013</t>
    </r>
    <r>
      <rPr>
        <sz val="13"/>
        <color rgb="FF000000"/>
        <rFont val="Arial"/>
      </rPr>
      <t> - Consumer Price Index;</t>
    </r>
  </si>
  <si>
    <r>
      <t>2014</t>
    </r>
    <r>
      <rPr>
        <sz val="13"/>
        <color rgb="FF000000"/>
        <rFont val="Arial"/>
      </rPr>
      <t> - An estimate for 2014 is based on the change in the CPI from third quarter 2013 to third quarter 2014.</t>
    </r>
  </si>
  <si>
    <t>What is $1 in 1850 worth in 2014?</t>
  </si>
  <si>
    <t>2014 Price = 1850 Price x (2014 CPI / 1850 CPI)</t>
  </si>
  <si>
    <t>2014 Price = $1 x (712.5 / 25)</t>
  </si>
  <si>
    <t>2014 Price = $28.50</t>
  </si>
  <si>
    <t>$1 in 1850 is worth $28.50 in 2014.</t>
  </si>
  <si>
    <t>*********************************************************************************</t>
  </si>
  <si>
    <t>DATA FOR David Wheelock and Michael Bordo's September/October 1998 REVIEW ARTICLE</t>
  </si>
  <si>
    <t xml:space="preserve">  "Price Stability and Financial Stability:  The Historical Record"  Pages 41-62.</t>
  </si>
  <si>
    <t xml:space="preserve">Used in Figures 1 - 5           </t>
  </si>
  <si>
    <t xml:space="preserve">U.S. CPI Inflation  1775-1996           </t>
  </si>
  <si>
    <t xml:space="preserve">1774-1946       A Bicentenary Contribution to the History of the Cost of Living in America      </t>
  </si>
  <si>
    <t xml:space="preserve">                Authors: David and Solar        </t>
  </si>
  <si>
    <t xml:space="preserve">1947-1996       Consumer Price Index 1982-84 = 100      </t>
  </si>
  <si>
    <t xml:space="preserve">                Source: BLS     </t>
  </si>
  <si>
    <t xml:space="preserve">Series Plotted: Inflation = (ln(t) - ln(t-1))*100       </t>
  </si>
  <si>
    <t xml:space="preserve">      Raw CPI  Raw CPI</t>
  </si>
  <si>
    <t xml:space="preserve">      (Solar)   (BLS)</t>
  </si>
  <si>
    <t>1774    97      .</t>
  </si>
  <si>
    <t>1775    92      .</t>
  </si>
  <si>
    <t>1776    105     .</t>
  </si>
  <si>
    <t>1777    128     .</t>
  </si>
  <si>
    <t>1778    166     .</t>
  </si>
  <si>
    <t>1779    147     .</t>
  </si>
  <si>
    <t>1780    165     .</t>
  </si>
  <si>
    <t>1781    133     .</t>
  </si>
  <si>
    <t>1782    146     .</t>
  </si>
  <si>
    <t>1783    128     .</t>
  </si>
  <si>
    <t>1784    123     .</t>
  </si>
  <si>
    <t>1785    117     .</t>
  </si>
  <si>
    <t>1786    114     .</t>
  </si>
  <si>
    <t>1787    112     .</t>
  </si>
  <si>
    <t>1788    107     .</t>
  </si>
  <si>
    <t>1789    106     .</t>
  </si>
  <si>
    <t>1790    110     .</t>
  </si>
  <si>
    <t>1791    113     .</t>
  </si>
  <si>
    <t>1792    115     .</t>
  </si>
  <si>
    <t>1793    119     .</t>
  </si>
  <si>
    <t>1794    132     .</t>
  </si>
  <si>
    <t>1795    151     .</t>
  </si>
  <si>
    <t>1796    159     .</t>
  </si>
  <si>
    <t>1797    153     .</t>
  </si>
  <si>
    <t>1798    148     .</t>
  </si>
  <si>
    <t>1799    148     .</t>
  </si>
  <si>
    <t>1800    151     .</t>
  </si>
  <si>
    <t>1801    153     .</t>
  </si>
  <si>
    <t>1802    129     .</t>
  </si>
  <si>
    <t>1803    136     .</t>
  </si>
  <si>
    <t>1804    142     .</t>
  </si>
  <si>
    <t>1805    141     .</t>
  </si>
  <si>
    <t>1806    147     .</t>
  </si>
  <si>
    <t>1807    139     .</t>
  </si>
  <si>
    <t>1808    151     .</t>
  </si>
  <si>
    <t>1809    148     .</t>
  </si>
  <si>
    <t>1810    148     .</t>
  </si>
  <si>
    <t>1811    158     .</t>
  </si>
  <si>
    <t>1812    160     .</t>
  </si>
  <si>
    <t>1813    192     .</t>
  </si>
  <si>
    <t>1814    211     .</t>
  </si>
  <si>
    <t>1815    185     .</t>
  </si>
  <si>
    <t>1816    169     .</t>
  </si>
  <si>
    <t>1817    160     .</t>
  </si>
  <si>
    <t>1818    153     .</t>
  </si>
  <si>
    <t>1819    153     .</t>
  </si>
  <si>
    <t>1820    141     .</t>
  </si>
  <si>
    <t>1821    136     .</t>
  </si>
  <si>
    <t>1822    141     .</t>
  </si>
  <si>
    <t>1823    126     .</t>
  </si>
  <si>
    <t>1824    116     .</t>
  </si>
  <si>
    <t>1825    119     .</t>
  </si>
  <si>
    <t>1826    119     .</t>
  </si>
  <si>
    <t>1827    120     .</t>
  </si>
  <si>
    <t>1828    114     .</t>
  </si>
  <si>
    <t>1829    112     .</t>
  </si>
  <si>
    <t>1830    111     .</t>
  </si>
  <si>
    <t>1831    104     .</t>
  </si>
  <si>
    <t>1832    103     .</t>
  </si>
  <si>
    <t>1833    101     .</t>
  </si>
  <si>
    <t>1834    103     .</t>
  </si>
  <si>
    <t>1835    106     .</t>
  </si>
  <si>
    <t>1836    112     .</t>
  </si>
  <si>
    <t>1837    115     .</t>
  </si>
  <si>
    <t>1838    112     .</t>
  </si>
  <si>
    <t>1839    112     .</t>
  </si>
  <si>
    <t>1840    104     .</t>
  </si>
  <si>
    <t>1841    105     .</t>
  </si>
  <si>
    <t>1842    98      .</t>
  </si>
  <si>
    <t>1843    89      .</t>
  </si>
  <si>
    <t>1844    90      .</t>
  </si>
  <si>
    <t>1845    91      .</t>
  </si>
  <si>
    <t>1846    92      .</t>
  </si>
  <si>
    <t>1847    99      .</t>
  </si>
  <si>
    <t>1848    95      .</t>
  </si>
  <si>
    <t>1849    92      .</t>
  </si>
  <si>
    <t>1850    94      .</t>
  </si>
  <si>
    <t>1851    92      .</t>
  </si>
  <si>
    <t>1852    93      .</t>
  </si>
  <si>
    <t>1853    93      .</t>
  </si>
  <si>
    <t>1854    101     .</t>
  </si>
  <si>
    <t>1855    104     .</t>
  </si>
  <si>
    <t>1856    102     .</t>
  </si>
  <si>
    <t>1857    105     .</t>
  </si>
  <si>
    <t>1858    99      .</t>
  </si>
  <si>
    <t>1859    100     .</t>
  </si>
  <si>
    <t>1860    100     .</t>
  </si>
  <si>
    <t>1861    106     .</t>
  </si>
  <si>
    <t>1862    121     .</t>
  </si>
  <si>
    <t>1863    151     .</t>
  </si>
  <si>
    <t>1864    189     .</t>
  </si>
  <si>
    <t>1865    196     .</t>
  </si>
  <si>
    <t>1866    191     .</t>
  </si>
  <si>
    <t>1867    178     .</t>
  </si>
  <si>
    <t>1868    171     .</t>
  </si>
  <si>
    <t>1869    164     .</t>
  </si>
  <si>
    <t>1870    157     .</t>
  </si>
  <si>
    <t>1871    147     .</t>
  </si>
  <si>
    <t>1872    147     .</t>
  </si>
  <si>
    <t>1873    144     .</t>
  </si>
  <si>
    <t>1874    137     .</t>
  </si>
  <si>
    <t>1875    132     .</t>
  </si>
  <si>
    <t>1876    129     .</t>
  </si>
  <si>
    <t>1877    126     .</t>
  </si>
  <si>
    <t>1878    120     .</t>
  </si>
  <si>
    <t>1879    120     .</t>
  </si>
  <si>
    <t>1880    123     .</t>
  </si>
  <si>
    <t>1881    123     .</t>
  </si>
  <si>
    <t>1882    123     .</t>
  </si>
  <si>
    <t>1883    121     .</t>
  </si>
  <si>
    <t>1884    118     .</t>
  </si>
  <si>
    <t>1885    116     .</t>
  </si>
  <si>
    <t>1886    113     .</t>
  </si>
  <si>
    <t>1887    114     .</t>
  </si>
  <si>
    <t>1888    114     .</t>
  </si>
  <si>
    <t>1889    111     .</t>
  </si>
  <si>
    <t>1890    109     .</t>
  </si>
  <si>
    <t>1891    109     .</t>
  </si>
  <si>
    <t>1892    109     .</t>
  </si>
  <si>
    <t>1893    108     .</t>
  </si>
  <si>
    <t>1894    103     .</t>
  </si>
  <si>
    <t>1895    101     .</t>
  </si>
  <si>
    <t>1896    101     .</t>
  </si>
  <si>
    <t>1897    100     .</t>
  </si>
  <si>
    <t>1898    100     .</t>
  </si>
  <si>
    <t>1899    100     .</t>
  </si>
  <si>
    <t>1900    101     .</t>
  </si>
  <si>
    <t>1901    102     .</t>
  </si>
  <si>
    <t>1902    103     .</t>
  </si>
  <si>
    <t>1903    106     .</t>
  </si>
  <si>
    <t>1904    107     .</t>
  </si>
  <si>
    <t>1905    106     .</t>
  </si>
  <si>
    <t>1906    108     .</t>
  </si>
  <si>
    <t>1907    113     .</t>
  </si>
  <si>
    <t>1908    111     .</t>
  </si>
  <si>
    <t>1909    109     .</t>
  </si>
  <si>
    <t>1910    114     .</t>
  </si>
  <si>
    <t>1911    114     .</t>
  </si>
  <si>
    <t>1912    117     .</t>
  </si>
  <si>
    <t>1913    119     .</t>
  </si>
  <si>
    <t>1914    120     .</t>
  </si>
  <si>
    <t>1915    121     .</t>
  </si>
  <si>
    <t>1916    130     .</t>
  </si>
  <si>
    <t>1917    153     .</t>
  </si>
  <si>
    <t>1918    180     .</t>
  </si>
  <si>
    <t>1919    207     .</t>
  </si>
  <si>
    <t>1920    240     .</t>
  </si>
  <si>
    <t>1921    214     .</t>
  </si>
  <si>
    <t>1922    200     .</t>
  </si>
  <si>
    <t>1923    204     .</t>
  </si>
  <si>
    <t>1924    204     .</t>
  </si>
  <si>
    <t>1925    210     .</t>
  </si>
  <si>
    <t>1926    211     .</t>
  </si>
  <si>
    <t>1927    208     .</t>
  </si>
  <si>
    <t>1928    205     .</t>
  </si>
  <si>
    <t>1929    205     .</t>
  </si>
  <si>
    <t>1930    200     .</t>
  </si>
  <si>
    <t>1931    182     .</t>
  </si>
  <si>
    <t>1932    163     .</t>
  </si>
  <si>
    <t>1933    155     .</t>
  </si>
  <si>
    <t>1934    160     .</t>
  </si>
  <si>
    <t>1935    164     .</t>
  </si>
  <si>
    <t>1936    166     .</t>
  </si>
  <si>
    <t>1937    172     .</t>
  </si>
  <si>
    <t>1938    169     .</t>
  </si>
  <si>
    <t>1939    166     .</t>
  </si>
  <si>
    <t>1940    168     .</t>
  </si>
  <si>
    <t>1941    176     .</t>
  </si>
  <si>
    <t>1942    195     .</t>
  </si>
  <si>
    <t>1943    207     .</t>
  </si>
  <si>
    <t>1944    210     .</t>
  </si>
  <si>
    <t>1945    215     .</t>
  </si>
  <si>
    <t>1946    233     .</t>
  </si>
  <si>
    <t>1947    267     22.3</t>
  </si>
  <si>
    <t>1948    .       24.1</t>
  </si>
  <si>
    <t>1949    .       23.8</t>
  </si>
  <si>
    <t>1950    .       24.1</t>
  </si>
  <si>
    <t>1951    .       26</t>
  </si>
  <si>
    <t>1952    .       26.6</t>
  </si>
  <si>
    <t>1953    .       26.8</t>
  </si>
  <si>
    <t>1954    .       26.9</t>
  </si>
  <si>
    <t>1955    .       26.8</t>
  </si>
  <si>
    <t>1956    .       27.2</t>
  </si>
  <si>
    <t>1957    .       28.1</t>
  </si>
  <si>
    <t>1958    .       28.9</t>
  </si>
  <si>
    <t>1959    .       29.2</t>
  </si>
  <si>
    <t>1960    .       29.6</t>
  </si>
  <si>
    <t>1961    .       29.9</t>
  </si>
  <si>
    <t>1962    .       30.2</t>
  </si>
  <si>
    <t>1963    .       30.6</t>
  </si>
  <si>
    <t>1964    .       31</t>
  </si>
  <si>
    <t>1965    .       31.6</t>
  </si>
  <si>
    <t>1966    .       32.5</t>
  </si>
  <si>
    <t>1967    .       33.4</t>
  </si>
  <si>
    <t>1968    .       34.8</t>
  </si>
  <si>
    <t>1969    .       36.7</t>
  </si>
  <si>
    <t>1970    .       38.8</t>
  </si>
  <si>
    <t>1971    .       40.5</t>
  </si>
  <si>
    <t>1972    .       41.8</t>
  </si>
  <si>
    <t>1973    .       44.4</t>
  </si>
  <si>
    <t>1974    .       49.3</t>
  </si>
  <si>
    <t>1975    .       53.8</t>
  </si>
  <si>
    <t>1976    .       56.9</t>
  </si>
  <si>
    <t>1977    .       60.6</t>
  </si>
  <si>
    <t>1978    .       65.2</t>
  </si>
  <si>
    <t>1979    .       72.6</t>
  </si>
  <si>
    <t>1980    .       82.4</t>
  </si>
  <si>
    <t>1981    .       90.9</t>
  </si>
  <si>
    <t>1982    .       96.5</t>
  </si>
  <si>
    <t>1983    .       99.6</t>
  </si>
  <si>
    <t>1984    .       103.9</t>
  </si>
  <si>
    <t>1985    .       107.6</t>
  </si>
  <si>
    <t>1986    .       109.7</t>
  </si>
  <si>
    <t>1987    .       113.7</t>
  </si>
  <si>
    <t>1988    .       118.4</t>
  </si>
  <si>
    <t>1989    .       124</t>
  </si>
  <si>
    <t>1990    .       130.8</t>
  </si>
  <si>
    <t>1991    .       136.3</t>
  </si>
  <si>
    <t>1992    .       140.4</t>
  </si>
  <si>
    <t>1993    .       144.6</t>
  </si>
  <si>
    <t>1994    .       148.3</t>
  </si>
  <si>
    <t>1995    .       152.5</t>
  </si>
  <si>
    <t>1996    .       157</t>
  </si>
  <si>
    <t>https://research.stlouisfed.org/publications/review/98/09/9809dw.dat</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</si>
</sst>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yyyy\-mm\-dd"/>
    <numFmt numFmtId="165" formatCode="0.0"/>
    <numFmt numFmtId="166" formatCode="0.000"/>
    <numFmt numFmtId="167" formatCode="#,##0.000"/>
    <numFmt numFmtId="168" formatCode="#,##0.0"/>
    <numFmt numFmtId="169" formatCode="yyyy\-mm\-dd\ hh:mm"/>
  </numFmts>
  <fonts count="53" x14ac:knownFonts="1">
    <font>
      <sz val="12"/>
      <color theme="1"/>
      <name val="Calibri"/>
      <family val="2"/>
      <scheme val="minor"/>
    </font>
    <font>
      <sz val="12"/>
      <color theme="1"/>
      <name val="Calibri"/>
      <family val="2"/>
      <scheme val="minor"/>
    </font>
    <font>
      <b/>
      <sz val="12"/>
      <color theme="1"/>
      <name val="Calibri"/>
      <family val="2"/>
      <scheme val="minor"/>
    </font>
    <font>
      <b/>
      <sz val="20"/>
      <color theme="1"/>
      <name val="Calibri"/>
      <scheme val="minor"/>
    </font>
    <font>
      <b/>
      <sz val="14"/>
      <color theme="1"/>
      <name val="Calibri"/>
      <scheme val="minor"/>
    </font>
    <font>
      <u/>
      <sz val="12"/>
      <color theme="10"/>
      <name val="Calibri"/>
      <family val="2"/>
      <scheme val="minor"/>
    </font>
    <font>
      <u/>
      <sz val="12"/>
      <color theme="11"/>
      <name val="Calibri"/>
      <family val="2"/>
      <scheme val="minor"/>
    </font>
    <font>
      <b/>
      <sz val="10"/>
      <color indexed="12"/>
      <name val="Arial"/>
      <family val="2"/>
    </font>
    <font>
      <i/>
      <sz val="10"/>
      <name val="Arial"/>
      <family val="2"/>
    </font>
    <font>
      <sz val="8"/>
      <name val="Arial"/>
      <family val="2"/>
    </font>
    <font>
      <b/>
      <sz val="8"/>
      <color rgb="FFC00000"/>
      <name val="Arial"/>
      <family val="2"/>
    </font>
    <font>
      <sz val="10"/>
      <color rgb="FFC00000"/>
      <name val="Arial"/>
      <family val="2"/>
    </font>
    <font>
      <b/>
      <sz val="8"/>
      <name val="Arial"/>
      <family val="2"/>
    </font>
    <font>
      <b/>
      <sz val="8"/>
      <color indexed="12"/>
      <name val="Arial"/>
      <family val="2"/>
    </font>
    <font>
      <sz val="10"/>
      <color indexed="12"/>
      <name val="Arial"/>
      <family val="2"/>
    </font>
    <font>
      <b/>
      <sz val="10"/>
      <color rgb="FFC00000"/>
      <name val="Arial"/>
      <family val="2"/>
    </font>
    <font>
      <b/>
      <sz val="8"/>
      <color rgb="FF002060"/>
      <name val="Arial"/>
      <family val="2"/>
    </font>
    <font>
      <sz val="10"/>
      <color rgb="FF002060"/>
      <name val="Arial"/>
      <family val="2"/>
    </font>
    <font>
      <sz val="8"/>
      <color indexed="12"/>
      <name val="Arial"/>
      <family val="2"/>
    </font>
    <font>
      <u/>
      <sz val="8"/>
      <color indexed="12"/>
      <name val="Arial"/>
      <family val="2"/>
    </font>
    <font>
      <sz val="8"/>
      <color rgb="FF000099"/>
      <name val="Arial"/>
      <family val="2"/>
    </font>
    <font>
      <sz val="10"/>
      <color rgb="FF000099"/>
      <name val="Arial"/>
      <family val="2"/>
    </font>
    <font>
      <sz val="10"/>
      <name val="Arial"/>
      <family val="2"/>
    </font>
    <font>
      <b/>
      <u/>
      <sz val="8"/>
      <color rgb="FFC00000"/>
      <name val="Arial"/>
      <family val="2"/>
    </font>
    <font>
      <sz val="8"/>
      <color indexed="10"/>
      <name val="Arial"/>
      <family val="2"/>
    </font>
    <font>
      <b/>
      <sz val="8"/>
      <color indexed="10"/>
      <name val="Arial"/>
      <family val="2"/>
    </font>
    <font>
      <sz val="8"/>
      <color rgb="FF002060"/>
      <name val="Arial"/>
      <family val="2"/>
    </font>
    <font>
      <i/>
      <sz val="8"/>
      <color indexed="18"/>
      <name val="Arial"/>
      <family val="2"/>
    </font>
    <font>
      <sz val="8"/>
      <color indexed="18"/>
      <name val="Arial"/>
      <family val="2"/>
    </font>
    <font>
      <u/>
      <sz val="8"/>
      <color indexed="18"/>
      <name val="Arial"/>
      <family val="2"/>
    </font>
    <font>
      <sz val="8"/>
      <color rgb="FFC00000"/>
      <name val="Arial"/>
      <family val="2"/>
    </font>
    <font>
      <b/>
      <sz val="8"/>
      <color rgb="FF000099"/>
      <name val="Arial"/>
      <family val="2"/>
    </font>
    <font>
      <i/>
      <sz val="8"/>
      <color indexed="10"/>
      <name val="Arial"/>
      <family val="2"/>
    </font>
    <font>
      <sz val="10"/>
      <color indexed="18"/>
      <name val="Arial"/>
      <family val="2"/>
    </font>
    <font>
      <u/>
      <sz val="8"/>
      <color indexed="10"/>
      <name val="Arial"/>
      <family val="2"/>
    </font>
    <font>
      <b/>
      <u/>
      <sz val="8"/>
      <color indexed="10"/>
      <name val="Arial"/>
      <family val="2"/>
    </font>
    <font>
      <sz val="10"/>
      <color indexed="10"/>
      <name val="Arial"/>
      <family val="2"/>
    </font>
    <font>
      <b/>
      <sz val="10"/>
      <color indexed="10"/>
      <name val="Arial"/>
      <family val="2"/>
    </font>
    <font>
      <u/>
      <sz val="8"/>
      <name val="Arial"/>
      <family val="2"/>
    </font>
    <font>
      <b/>
      <sz val="10"/>
      <name val="Arial"/>
      <family val="2"/>
    </font>
    <font>
      <sz val="8"/>
      <name val="News Gothic Condensed"/>
    </font>
    <font>
      <i/>
      <sz val="8"/>
      <name val="Arial"/>
      <family val="2"/>
    </font>
    <font>
      <sz val="11"/>
      <color indexed="8"/>
      <name val="Calibri"/>
      <family val="2"/>
    </font>
    <font>
      <sz val="11"/>
      <color indexed="12"/>
      <name val="Calibri"/>
      <family val="2"/>
    </font>
    <font>
      <sz val="11"/>
      <color indexed="10"/>
      <name val="Calibri"/>
      <family val="2"/>
    </font>
    <font>
      <sz val="11"/>
      <color indexed="52"/>
      <name val="Calibri"/>
      <family val="2"/>
    </font>
    <font>
      <sz val="18"/>
      <name val="Arial"/>
    </font>
    <font>
      <sz val="12"/>
      <name val="Arial"/>
    </font>
    <font>
      <u/>
      <sz val="10"/>
      <color indexed="12"/>
      <name val="Arial"/>
    </font>
    <font>
      <sz val="10"/>
      <color theme="1"/>
      <name val="Arial"/>
    </font>
    <font>
      <b/>
      <sz val="13"/>
      <color rgb="FF000000"/>
      <name val="Arial"/>
    </font>
    <font>
      <sz val="13"/>
      <color rgb="FF000000"/>
      <name val="Arial"/>
    </font>
    <font>
      <sz val="10"/>
      <color rgb="FF000000"/>
      <name val="Courie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9"/>
        <bgColor indexed="64"/>
      </patternFill>
    </fill>
    <fill>
      <patternFill patternType="solid">
        <fgColor indexed="11"/>
        <bgColor indexed="64"/>
      </patternFill>
    </fill>
  </fills>
  <borders count="22">
    <border>
      <left/>
      <right/>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auto="1"/>
      </left>
      <right style="thin">
        <color auto="1"/>
      </right>
      <top style="thin">
        <color auto="1"/>
      </top>
      <bottom style="thin">
        <color auto="1"/>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s>
  <cellStyleXfs count="39">
    <xf numFmtId="0" fontId="0" fillId="0" borderId="0"/>
    <xf numFmtId="9"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42"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176">
    <xf numFmtId="0" fontId="0" fillId="0" borderId="0" xfId="0"/>
    <xf numFmtId="0" fontId="2" fillId="0" borderId="0" xfId="0" applyFont="1"/>
    <xf numFmtId="0" fontId="3" fillId="0" borderId="0" xfId="0" applyFont="1"/>
    <xf numFmtId="0" fontId="4" fillId="0" borderId="0" xfId="0" applyFont="1"/>
    <xf numFmtId="0" fontId="0" fillId="0" borderId="0" xfId="0" applyFill="1"/>
    <xf numFmtId="0" fontId="0" fillId="0" borderId="0" xfId="0" applyAlignment="1">
      <alignment horizontal="center"/>
    </xf>
    <xf numFmtId="0" fontId="0" fillId="0" borderId="0" xfId="0" applyNumberFormat="1" applyFont="1" applyFill="1" applyBorder="1" applyAlignment="1" applyProtection="1">
      <alignment horizontal="left"/>
    </xf>
    <xf numFmtId="164" fontId="0" fillId="0" borderId="0" xfId="0" applyNumberFormat="1" applyFont="1" applyFill="1" applyBorder="1" applyAlignment="1" applyProtection="1"/>
    <xf numFmtId="165" fontId="0" fillId="0" borderId="0" xfId="0" applyNumberFormat="1" applyFont="1" applyFill="1" applyBorder="1" applyAlignment="1" applyProtection="1"/>
    <xf numFmtId="0" fontId="7" fillId="0" borderId="0" xfId="0" applyFont="1"/>
    <xf numFmtId="0" fontId="8" fillId="0" borderId="0" xfId="0" applyFont="1"/>
    <xf numFmtId="165" fontId="0" fillId="0" borderId="0" xfId="0" applyNumberFormat="1"/>
    <xf numFmtId="165" fontId="0" fillId="0" borderId="0" xfId="0" applyNumberFormat="1" applyProtection="1"/>
    <xf numFmtId="1" fontId="0" fillId="0" borderId="0" xfId="0" applyNumberFormat="1"/>
    <xf numFmtId="0" fontId="0" fillId="0" borderId="0" xfId="0" applyAlignment="1">
      <alignment vertical="center" wrapText="1"/>
    </xf>
    <xf numFmtId="1" fontId="9" fillId="0" borderId="0" xfId="0" applyNumberFormat="1" applyFont="1" applyFill="1" applyBorder="1" applyAlignment="1">
      <alignment horizontal="left"/>
    </xf>
    <xf numFmtId="0" fontId="0" fillId="0" borderId="0" xfId="0" applyAlignment="1">
      <alignment vertical="center"/>
    </xf>
    <xf numFmtId="0" fontId="9" fillId="0" borderId="0" xfId="0" applyFont="1" applyFill="1" applyBorder="1" applyAlignment="1">
      <alignment horizontal="left"/>
    </xf>
    <xf numFmtId="0" fontId="9" fillId="0" borderId="0" xfId="0" applyFont="1" applyAlignment="1">
      <alignment horizontal="left"/>
    </xf>
    <xf numFmtId="0" fontId="0" fillId="0" borderId="0" xfId="0" applyBorder="1" applyAlignment="1">
      <alignment vertical="center" wrapText="1"/>
    </xf>
    <xf numFmtId="0" fontId="9" fillId="0" borderId="0" xfId="0" applyFont="1" applyFill="1" applyBorder="1" applyAlignment="1">
      <alignment vertical="center"/>
    </xf>
    <xf numFmtId="0" fontId="0" fillId="0" borderId="0" xfId="0" applyBorder="1" applyAlignment="1">
      <alignment vertical="center"/>
    </xf>
    <xf numFmtId="0" fontId="22" fillId="0" borderId="0" xfId="0" applyFont="1" applyAlignment="1">
      <alignment vertical="center" wrapText="1"/>
    </xf>
    <xf numFmtId="0" fontId="9" fillId="0" borderId="0" xfId="0" applyFont="1" applyFill="1" applyBorder="1" applyAlignment="1">
      <alignment vertical="center" wrapText="1"/>
    </xf>
    <xf numFmtId="1" fontId="30" fillId="0" borderId="0" xfId="0" applyNumberFormat="1" applyFont="1" applyAlignment="1">
      <alignment horizontal="center" vertical="center"/>
    </xf>
    <xf numFmtId="0" fontId="10" fillId="3" borderId="4"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30" fillId="0" borderId="0" xfId="0" applyFont="1" applyAlignment="1">
      <alignment horizontal="center" vertical="center"/>
    </xf>
    <xf numFmtId="1" fontId="20" fillId="0" borderId="0" xfId="0" applyNumberFormat="1" applyFont="1" applyAlignment="1">
      <alignment horizontal="left"/>
    </xf>
    <xf numFmtId="166" fontId="20" fillId="0" borderId="0" xfId="0" applyNumberFormat="1" applyFont="1" applyAlignment="1">
      <alignment horizontal="right"/>
    </xf>
    <xf numFmtId="167" fontId="20" fillId="0" borderId="0" xfId="0" applyNumberFormat="1" applyFont="1" applyAlignment="1">
      <alignment horizontal="right"/>
    </xf>
    <xf numFmtId="166" fontId="20" fillId="0" borderId="0" xfId="0" applyNumberFormat="1" applyFont="1" applyFill="1" applyAlignment="1">
      <alignment horizontal="right"/>
    </xf>
    <xf numFmtId="165" fontId="20" fillId="0" borderId="0" xfId="0" applyNumberFormat="1" applyFont="1" applyAlignment="1">
      <alignment horizontal="right" wrapText="1"/>
    </xf>
    <xf numFmtId="0" fontId="31" fillId="0" borderId="0" xfId="0" applyFont="1" applyAlignment="1">
      <alignment horizontal="center" wrapText="1"/>
    </xf>
    <xf numFmtId="0" fontId="20" fillId="0" borderId="0" xfId="0" applyFont="1" applyAlignment="1">
      <alignment horizontal="left"/>
    </xf>
    <xf numFmtId="166" fontId="20" fillId="0" borderId="0" xfId="0" applyNumberFormat="1" applyFont="1" applyAlignment="1">
      <alignment horizontal="left"/>
    </xf>
    <xf numFmtId="168" fontId="20" fillId="0" borderId="0" xfId="0" applyNumberFormat="1" applyFont="1" applyAlignment="1">
      <alignment horizontal="left"/>
    </xf>
    <xf numFmtId="168" fontId="20" fillId="0" borderId="0" xfId="0" applyNumberFormat="1" applyFont="1" applyAlignment="1"/>
    <xf numFmtId="0" fontId="20" fillId="0" borderId="0" xfId="0" applyFont="1" applyAlignment="1"/>
    <xf numFmtId="0" fontId="31" fillId="0" borderId="0" xfId="0" applyFont="1" applyAlignment="1">
      <alignment wrapText="1"/>
    </xf>
    <xf numFmtId="1" fontId="9" fillId="0" borderId="0" xfId="0" applyNumberFormat="1" applyFont="1" applyAlignment="1">
      <alignment horizontal="left"/>
    </xf>
    <xf numFmtId="0" fontId="9" fillId="0" borderId="0" xfId="0" applyFont="1" applyAlignment="1">
      <alignment vertical="center" wrapText="1"/>
    </xf>
    <xf numFmtId="0" fontId="0" fillId="0" borderId="0" xfId="0" applyAlignment="1">
      <alignment wrapText="1"/>
    </xf>
    <xf numFmtId="168" fontId="9" fillId="0" borderId="0" xfId="0" applyNumberFormat="1" applyFont="1" applyAlignment="1">
      <alignment horizontal="left"/>
    </xf>
    <xf numFmtId="0" fontId="9" fillId="0" borderId="0" xfId="0" applyFont="1" applyAlignment="1">
      <alignment wrapText="1"/>
    </xf>
    <xf numFmtId="1" fontId="28" fillId="0" borderId="0" xfId="0" applyNumberFormat="1" applyFont="1" applyAlignment="1">
      <alignment horizontal="left"/>
    </xf>
    <xf numFmtId="0" fontId="33" fillId="0" borderId="0" xfId="0" applyFont="1" applyAlignment="1">
      <alignment vertical="center" wrapText="1"/>
    </xf>
    <xf numFmtId="0" fontId="33" fillId="0" borderId="0" xfId="0" applyFont="1" applyAlignment="1">
      <alignment wrapText="1"/>
    </xf>
    <xf numFmtId="0" fontId="28" fillId="0" borderId="0" xfId="0" applyFont="1" applyAlignment="1">
      <alignment wrapText="1"/>
    </xf>
    <xf numFmtId="0" fontId="28" fillId="0" borderId="0" xfId="0" applyFont="1" applyAlignment="1">
      <alignment horizontal="left"/>
    </xf>
    <xf numFmtId="1" fontId="9" fillId="0" borderId="0" xfId="0" applyNumberFormat="1" applyFont="1" applyAlignment="1"/>
    <xf numFmtId="0" fontId="9" fillId="0" borderId="0" xfId="0" applyFont="1" applyAlignment="1">
      <alignment vertical="center"/>
    </xf>
    <xf numFmtId="0" fontId="0" fillId="0" borderId="0" xfId="0" applyNumberFormat="1" applyFont="1" applyFill="1" applyBorder="1" applyAlignment="1" applyProtection="1">
      <alignment horizontal="right"/>
    </xf>
    <xf numFmtId="166" fontId="0" fillId="0" borderId="0" xfId="0" applyNumberFormat="1" applyFont="1" applyFill="1" applyBorder="1" applyAlignment="1" applyProtection="1"/>
    <xf numFmtId="2" fontId="9" fillId="0" borderId="0" xfId="0" applyNumberFormat="1" applyFont="1" applyAlignment="1">
      <alignment horizontal="left"/>
    </xf>
    <xf numFmtId="1" fontId="9" fillId="0" borderId="0" xfId="0" applyNumberFormat="1" applyFont="1" applyFill="1" applyBorder="1" applyAlignment="1">
      <alignment horizontal="center" vertical="center"/>
    </xf>
    <xf numFmtId="0" fontId="9" fillId="0" borderId="0" xfId="0" applyFont="1" applyAlignment="1">
      <alignment horizontal="center" vertical="center" wrapText="1"/>
    </xf>
    <xf numFmtId="0" fontId="9" fillId="0" borderId="0" xfId="0" applyFont="1" applyFill="1" applyBorder="1" applyAlignment="1">
      <alignment horizontal="center" vertical="center"/>
    </xf>
    <xf numFmtId="0" fontId="12" fillId="0" borderId="0" xfId="0" applyFont="1" applyAlignment="1">
      <alignment horizontal="center" vertical="center" wrapText="1"/>
    </xf>
    <xf numFmtId="0" fontId="9" fillId="0" borderId="0" xfId="0" applyFont="1" applyAlignment="1">
      <alignment horizontal="center" vertical="center"/>
    </xf>
    <xf numFmtId="1" fontId="9" fillId="0" borderId="0" xfId="0" applyNumberFormat="1" applyFont="1" applyAlignment="1">
      <alignment horizontal="center" vertical="center"/>
    </xf>
    <xf numFmtId="0" fontId="12" fillId="3"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2" fontId="12" fillId="0" borderId="0" xfId="0" applyNumberFormat="1" applyFont="1" applyAlignment="1">
      <alignment horizontal="center" vertical="center" wrapText="1"/>
    </xf>
    <xf numFmtId="166" fontId="9" fillId="0" borderId="0" xfId="0" applyNumberFormat="1" applyFont="1" applyAlignment="1">
      <alignment horizontal="right"/>
    </xf>
    <xf numFmtId="167" fontId="9" fillId="0" borderId="0" xfId="0" applyNumberFormat="1" applyFont="1" applyAlignment="1">
      <alignment horizontal="right"/>
    </xf>
    <xf numFmtId="166" fontId="9" fillId="0" borderId="0" xfId="0" applyNumberFormat="1" applyFont="1" applyFill="1" applyAlignment="1">
      <alignment horizontal="right"/>
    </xf>
    <xf numFmtId="166" fontId="9" fillId="0" borderId="0" xfId="0" applyNumberFormat="1" applyFont="1" applyAlignment="1">
      <alignment horizontal="left"/>
    </xf>
    <xf numFmtId="0" fontId="9" fillId="0" borderId="0" xfId="0" applyFont="1" applyAlignment="1">
      <alignment horizontal="center" wrapText="1"/>
    </xf>
    <xf numFmtId="1" fontId="9" fillId="0" borderId="0" xfId="0" applyNumberFormat="1" applyFont="1" applyAlignment="1">
      <alignment horizontal="right"/>
    </xf>
    <xf numFmtId="2" fontId="9"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165" fontId="9" fillId="0" borderId="0" xfId="0" applyNumberFormat="1" applyFont="1" applyAlignment="1">
      <alignment horizontal="right" wrapText="1"/>
    </xf>
    <xf numFmtId="0" fontId="12" fillId="0" borderId="0" xfId="0" applyFont="1" applyAlignment="1">
      <alignment horizontal="center" wrapText="1"/>
    </xf>
    <xf numFmtId="2" fontId="12" fillId="0" borderId="0" xfId="0" applyNumberFormat="1" applyFont="1" applyAlignment="1">
      <alignment horizontal="right"/>
    </xf>
    <xf numFmtId="168" fontId="9" fillId="0" borderId="0" xfId="0" applyNumberFormat="1" applyFont="1" applyAlignment="1">
      <alignment horizontal="right"/>
    </xf>
    <xf numFmtId="168" fontId="9" fillId="0" borderId="0" xfId="0" applyNumberFormat="1" applyFont="1" applyAlignment="1"/>
    <xf numFmtId="0" fontId="9" fillId="0" borderId="0" xfId="0" applyFont="1" applyAlignment="1"/>
    <xf numFmtId="0" fontId="12" fillId="0" borderId="0" xfId="0" applyFont="1" applyAlignment="1">
      <alignment wrapText="1"/>
    </xf>
    <xf numFmtId="0" fontId="12" fillId="0" borderId="0" xfId="0" applyFont="1" applyAlignment="1">
      <alignment horizontal="right" wrapText="1"/>
    </xf>
    <xf numFmtId="168" fontId="40" fillId="0" borderId="0" xfId="0" applyNumberFormat="1" applyFont="1" applyBorder="1" applyAlignment="1">
      <alignment horizontal="right" vertical="top" wrapText="1"/>
    </xf>
    <xf numFmtId="0" fontId="42" fillId="4" borderId="0" xfId="4" applyFill="1"/>
    <xf numFmtId="0" fontId="42" fillId="5" borderId="0" xfId="4" applyFill="1"/>
    <xf numFmtId="0" fontId="42" fillId="0" borderId="0" xfId="4"/>
    <xf numFmtId="0" fontId="43" fillId="0" borderId="0" xfId="4" applyFont="1"/>
    <xf numFmtId="0" fontId="44" fillId="0" borderId="0" xfId="4" applyFont="1"/>
    <xf numFmtId="0" fontId="45" fillId="0" borderId="0" xfId="4" applyFont="1"/>
    <xf numFmtId="0" fontId="22" fillId="0" borderId="0" xfId="0" applyFont="1"/>
    <xf numFmtId="10" fontId="0" fillId="0" borderId="0" xfId="0" applyNumberFormat="1"/>
    <xf numFmtId="10" fontId="0" fillId="0" borderId="0" xfId="1" applyNumberFormat="1" applyFont="1"/>
    <xf numFmtId="1" fontId="0" fillId="0" borderId="0" xfId="1" applyNumberFormat="1" applyFont="1"/>
    <xf numFmtId="1" fontId="0" fillId="0" borderId="0" xfId="0" applyNumberFormat="1" applyFont="1" applyFill="1" applyBorder="1" applyAlignment="1" applyProtection="1"/>
    <xf numFmtId="0" fontId="46" fillId="0" borderId="0" xfId="0" applyFont="1" applyFill="1" applyBorder="1" applyAlignment="1" applyProtection="1"/>
    <xf numFmtId="0" fontId="47" fillId="0" borderId="0" xfId="0" applyFont="1" applyFill="1" applyBorder="1" applyAlignment="1" applyProtection="1"/>
    <xf numFmtId="0" fontId="39" fillId="0" borderId="0" xfId="0" applyFont="1" applyFill="1" applyBorder="1" applyAlignment="1" applyProtection="1"/>
    <xf numFmtId="169" fontId="22" fillId="0" borderId="0" xfId="0" applyNumberFormat="1" applyFont="1" applyFill="1" applyBorder="1" applyAlignment="1" applyProtection="1">
      <alignment horizontal="centerContinuous"/>
    </xf>
    <xf numFmtId="0" fontId="48" fillId="0" borderId="0" xfId="0" applyFont="1" applyFill="1" applyBorder="1" applyAlignment="1" applyProtection="1"/>
    <xf numFmtId="0" fontId="22" fillId="0" borderId="0" xfId="0" applyFont="1" applyFill="1" applyBorder="1" applyAlignment="1" applyProtection="1"/>
    <xf numFmtId="0" fontId="39" fillId="0" borderId="18" xfId="0" applyFont="1" applyFill="1" applyBorder="1" applyAlignment="1" applyProtection="1"/>
    <xf numFmtId="0" fontId="49" fillId="0" borderId="0" xfId="0" applyNumberFormat="1" applyFont="1" applyFill="1" applyBorder="1" applyAlignment="1" applyProtection="1">
      <alignment horizontal="right"/>
    </xf>
    <xf numFmtId="2" fontId="0" fillId="0" borderId="0" xfId="0" applyNumberFormat="1" applyFill="1"/>
    <xf numFmtId="0" fontId="4" fillId="0" borderId="0" xfId="0" applyFont="1" applyFill="1" applyBorder="1" applyAlignment="1">
      <alignment horizontal="center"/>
    </xf>
    <xf numFmtId="0" fontId="4" fillId="0" borderId="0" xfId="0" applyFont="1" applyAlignment="1">
      <alignment horizontal="center"/>
    </xf>
    <xf numFmtId="0" fontId="4" fillId="0" borderId="0" xfId="0" applyFont="1" applyBorder="1" applyAlignment="1">
      <alignment horizontal="center"/>
    </xf>
    <xf numFmtId="0" fontId="12" fillId="0" borderId="0" xfId="0" applyFont="1" applyFill="1" applyBorder="1" applyAlignment="1">
      <alignment vertical="center"/>
    </xf>
    <xf numFmtId="0" fontId="0" fillId="0" borderId="0" xfId="0" applyAlignment="1">
      <alignment vertical="center"/>
    </xf>
    <xf numFmtId="0" fontId="25" fillId="0" borderId="0" xfId="0" applyFont="1" applyFill="1" applyBorder="1" applyAlignment="1">
      <alignment vertical="center" wrapText="1"/>
    </xf>
    <xf numFmtId="0" fontId="36" fillId="0" borderId="0" xfId="0" applyFont="1" applyAlignment="1">
      <alignment vertical="center" wrapText="1"/>
    </xf>
    <xf numFmtId="0" fontId="13" fillId="2" borderId="16" xfId="0" applyFont="1" applyFill="1" applyBorder="1" applyAlignment="1">
      <alignment vertical="center" wrapText="1"/>
    </xf>
    <xf numFmtId="0" fontId="14" fillId="2" borderId="17" xfId="0" applyFont="1" applyFill="1" applyBorder="1" applyAlignment="1">
      <alignment vertical="center" wrapText="1"/>
    </xf>
    <xf numFmtId="0" fontId="14" fillId="2" borderId="18" xfId="0" applyFont="1" applyFill="1" applyBorder="1" applyAlignment="1">
      <alignment vertical="center" wrapText="1"/>
    </xf>
    <xf numFmtId="0" fontId="12" fillId="0" borderId="0" xfId="0" applyFont="1" applyFill="1" applyBorder="1" applyAlignment="1">
      <alignment vertical="center" wrapText="1"/>
    </xf>
    <xf numFmtId="0" fontId="22" fillId="0" borderId="0" xfId="0" applyFont="1" applyAlignment="1">
      <alignment vertical="center" wrapText="1"/>
    </xf>
    <xf numFmtId="0" fontId="0" fillId="0" borderId="0" xfId="0" applyBorder="1" applyAlignment="1">
      <alignment vertical="center"/>
    </xf>
    <xf numFmtId="0" fontId="9" fillId="0" borderId="0" xfId="0" applyFont="1" applyFill="1" applyBorder="1" applyAlignment="1">
      <alignment vertical="center" wrapText="1"/>
    </xf>
    <xf numFmtId="0" fontId="18" fillId="2" borderId="16" xfId="0" applyFont="1" applyFill="1" applyBorder="1" applyAlignment="1">
      <alignment vertical="center" wrapText="1"/>
    </xf>
    <xf numFmtId="0" fontId="35" fillId="2" borderId="16" xfId="0" applyFont="1" applyFill="1" applyBorder="1" applyAlignment="1">
      <alignment vertical="center" wrapText="1"/>
    </xf>
    <xf numFmtId="0" fontId="37" fillId="2" borderId="17" xfId="0" applyFont="1" applyFill="1" applyBorder="1" applyAlignment="1">
      <alignment vertical="center" wrapText="1"/>
    </xf>
    <xf numFmtId="0" fontId="37" fillId="2" borderId="18" xfId="0" applyFont="1" applyFill="1" applyBorder="1" applyAlignment="1">
      <alignment vertical="center" wrapText="1"/>
    </xf>
    <xf numFmtId="0" fontId="9" fillId="0" borderId="0" xfId="0" applyFont="1" applyAlignment="1">
      <alignment vertical="center" wrapText="1"/>
    </xf>
    <xf numFmtId="0" fontId="0" fillId="0" borderId="0" xfId="0" applyAlignment="1">
      <alignment vertical="center" wrapText="1"/>
    </xf>
    <xf numFmtId="0" fontId="12" fillId="0" borderId="0" xfId="0" applyFont="1" applyAlignment="1">
      <alignment horizontal="center" vertical="center" wrapText="1"/>
    </xf>
    <xf numFmtId="0" fontId="39" fillId="0" borderId="0" xfId="0" applyFont="1" applyAlignment="1">
      <alignment horizontal="center" vertical="center" wrapText="1"/>
    </xf>
    <xf numFmtId="0" fontId="0" fillId="0" borderId="0" xfId="0" applyAlignment="1">
      <alignment horizontal="center" vertical="center" wrapText="1"/>
    </xf>
    <xf numFmtId="0" fontId="18" fillId="2" borderId="19" xfId="0" applyFont="1" applyFill="1" applyBorder="1" applyAlignment="1">
      <alignment horizontal="left" vertical="center" wrapText="1"/>
    </xf>
    <xf numFmtId="0" fontId="18" fillId="2" borderId="20" xfId="0" applyFont="1" applyFill="1" applyBorder="1" applyAlignment="1">
      <alignment horizontal="left" vertical="center" wrapText="1"/>
    </xf>
    <xf numFmtId="0" fontId="18" fillId="2" borderId="21" xfId="0" applyFont="1" applyFill="1" applyBorder="1" applyAlignment="1">
      <alignment horizontal="left" vertical="center" wrapText="1"/>
    </xf>
    <xf numFmtId="0" fontId="16" fillId="0" borderId="0" xfId="0" applyFont="1" applyFill="1" applyBorder="1" applyAlignment="1">
      <alignment vertical="center"/>
    </xf>
    <xf numFmtId="0" fontId="17" fillId="0" borderId="0" xfId="0" applyFont="1" applyBorder="1" applyAlignment="1">
      <alignment vertical="center"/>
    </xf>
    <xf numFmtId="0" fontId="10" fillId="0" borderId="0" xfId="0" applyFont="1" applyFill="1" applyBorder="1" applyAlignment="1">
      <alignment vertical="center" wrapText="1"/>
    </xf>
    <xf numFmtId="0" fontId="11" fillId="0" borderId="0" xfId="0" applyFont="1" applyBorder="1" applyAlignment="1">
      <alignment vertical="center" wrapText="1"/>
    </xf>
    <xf numFmtId="0" fontId="13" fillId="2" borderId="1" xfId="0" applyFont="1" applyFill="1" applyBorder="1" applyAlignment="1">
      <alignment vertical="center" wrapText="1"/>
    </xf>
    <xf numFmtId="0" fontId="14" fillId="2" borderId="2" xfId="0" applyFont="1" applyFill="1" applyBorder="1" applyAlignment="1">
      <alignment vertical="center" wrapText="1"/>
    </xf>
    <xf numFmtId="0" fontId="14" fillId="2" borderId="3" xfId="0" applyFont="1" applyFill="1" applyBorder="1" applyAlignment="1">
      <alignment vertical="center" wrapText="1"/>
    </xf>
    <xf numFmtId="0" fontId="7" fillId="2" borderId="2" xfId="0" applyFont="1" applyFill="1" applyBorder="1" applyAlignment="1">
      <alignment vertical="center" wrapText="1"/>
    </xf>
    <xf numFmtId="0" fontId="7" fillId="2" borderId="3" xfId="0" applyFont="1" applyFill="1" applyBorder="1" applyAlignment="1">
      <alignment vertical="center" wrapText="1"/>
    </xf>
    <xf numFmtId="0" fontId="15" fillId="0" borderId="0" xfId="0" applyFont="1" applyBorder="1" applyAlignment="1">
      <alignment vertical="center" wrapText="1"/>
    </xf>
    <xf numFmtId="0" fontId="16" fillId="0" borderId="0" xfId="0" applyFont="1" applyFill="1" applyBorder="1" applyAlignment="1">
      <alignment vertical="center" wrapText="1"/>
    </xf>
    <xf numFmtId="0" fontId="17" fillId="0" borderId="0" xfId="0" applyFont="1" applyBorder="1" applyAlignment="1">
      <alignment vertical="center" wrapText="1"/>
    </xf>
    <xf numFmtId="0" fontId="18" fillId="2" borderId="1" xfId="0" applyFont="1" applyFill="1" applyBorder="1" applyAlignment="1">
      <alignment vertical="center" wrapText="1"/>
    </xf>
    <xf numFmtId="0" fontId="20" fillId="0" borderId="0" xfId="0" applyFont="1" applyFill="1" applyBorder="1" applyAlignment="1">
      <alignment vertical="center" wrapText="1"/>
    </xf>
    <xf numFmtId="0" fontId="21" fillId="0" borderId="0" xfId="0" applyFont="1" applyBorder="1" applyAlignment="1">
      <alignment vertical="center" wrapText="1"/>
    </xf>
    <xf numFmtId="0" fontId="23" fillId="2" borderId="0" xfId="0" applyFont="1" applyFill="1" applyBorder="1" applyAlignment="1">
      <alignment vertical="center" wrapText="1"/>
    </xf>
    <xf numFmtId="0" fontId="15" fillId="2" borderId="0" xfId="0" applyFont="1" applyFill="1" applyBorder="1" applyAlignment="1">
      <alignment vertical="center" wrapText="1"/>
    </xf>
    <xf numFmtId="0" fontId="22" fillId="0" borderId="0" xfId="0" applyFont="1" applyBorder="1" applyAlignment="1">
      <alignment vertical="center" wrapText="1"/>
    </xf>
    <xf numFmtId="0" fontId="23" fillId="2" borderId="1" xfId="0" applyFont="1" applyFill="1" applyBorder="1" applyAlignment="1">
      <alignment vertical="center" wrapText="1"/>
    </xf>
    <xf numFmtId="0" fontId="11" fillId="0" borderId="2" xfId="0" applyFont="1" applyBorder="1" applyAlignment="1">
      <alignment horizontal="left" wrapText="1"/>
    </xf>
    <xf numFmtId="0" fontId="11" fillId="0" borderId="3" xfId="0" applyFont="1" applyBorder="1" applyAlignment="1">
      <alignment horizontal="left" wrapText="1"/>
    </xf>
    <xf numFmtId="0" fontId="26" fillId="0" borderId="0" xfId="0" applyFont="1" applyFill="1" applyBorder="1" applyAlignment="1">
      <alignment vertical="center" wrapText="1"/>
    </xf>
    <xf numFmtId="0" fontId="28" fillId="0" borderId="0" xfId="0" applyFont="1" applyAlignment="1">
      <alignment horizontal="left" vertical="center" wrapText="1" indent="1"/>
    </xf>
    <xf numFmtId="0" fontId="33" fillId="0" borderId="0" xfId="0" applyFont="1" applyAlignment="1">
      <alignment horizontal="left" vertical="center" wrapText="1" indent="1"/>
    </xf>
    <xf numFmtId="0" fontId="30" fillId="2" borderId="5" xfId="0" applyFont="1" applyFill="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9" fillId="0" borderId="0" xfId="0" applyFont="1" applyAlignment="1">
      <alignment horizontal="left" vertical="center" wrapText="1" indent="1"/>
    </xf>
    <xf numFmtId="0" fontId="0" fillId="0" borderId="0" xfId="0" applyAlignment="1">
      <alignment horizontal="left" vertical="center" wrapText="1" indent="1"/>
    </xf>
    <xf numFmtId="0" fontId="23" fillId="2" borderId="5" xfId="0" applyFont="1" applyFill="1" applyBorder="1" applyAlignment="1">
      <alignment horizontal="left" vertical="center" wrapText="1" indent="1"/>
    </xf>
    <xf numFmtId="0" fontId="11" fillId="2" borderId="6" xfId="0" applyFont="1" applyFill="1" applyBorder="1" applyAlignment="1">
      <alignment horizontal="left" vertical="center" wrapText="1" indent="1"/>
    </xf>
    <xf numFmtId="0" fontId="11" fillId="2" borderId="7" xfId="0" applyFont="1" applyFill="1" applyBorder="1" applyAlignment="1">
      <alignment horizontal="left" vertical="center" wrapText="1" indent="1"/>
    </xf>
    <xf numFmtId="0" fontId="30" fillId="2" borderId="5" xfId="0" applyFont="1" applyFill="1" applyBorder="1" applyAlignment="1">
      <alignment horizontal="left" vertical="center" wrapText="1" indent="1"/>
    </xf>
    <xf numFmtId="0" fontId="30" fillId="2" borderId="13" xfId="0" applyFont="1" applyFill="1" applyBorder="1" applyAlignment="1">
      <alignment vertical="center" wrapText="1"/>
    </xf>
    <xf numFmtId="0" fontId="11" fillId="2" borderId="14" xfId="0" applyFont="1" applyFill="1" applyBorder="1" applyAlignment="1">
      <alignment vertical="center" wrapText="1"/>
    </xf>
    <xf numFmtId="0" fontId="11" fillId="2" borderId="15" xfId="0" applyFont="1" applyFill="1" applyBorder="1" applyAlignment="1">
      <alignment vertical="center" wrapText="1"/>
    </xf>
    <xf numFmtId="0" fontId="30" fillId="0" borderId="0" xfId="0" applyFont="1" applyFill="1" applyBorder="1" applyAlignment="1">
      <alignment horizontal="left" vertical="center" wrapText="1" indent="1"/>
    </xf>
    <xf numFmtId="0" fontId="30" fillId="2" borderId="8" xfId="0" applyFont="1" applyFill="1" applyBorder="1" applyAlignment="1">
      <alignment vertical="center" wrapText="1"/>
    </xf>
    <xf numFmtId="0" fontId="11" fillId="2" borderId="9" xfId="0" applyFont="1" applyFill="1" applyBorder="1" applyAlignment="1">
      <alignment vertical="center" wrapText="1"/>
    </xf>
    <xf numFmtId="0" fontId="11" fillId="2" borderId="10" xfId="0" applyFont="1" applyFill="1" applyBorder="1" applyAlignment="1">
      <alignment vertical="center" wrapText="1"/>
    </xf>
    <xf numFmtId="0" fontId="30" fillId="2" borderId="11" xfId="0" applyFont="1" applyFill="1" applyBorder="1" applyAlignment="1">
      <alignment vertical="center" wrapText="1"/>
    </xf>
    <xf numFmtId="0" fontId="11" fillId="2" borderId="0" xfId="0" applyFont="1" applyFill="1" applyBorder="1" applyAlignment="1">
      <alignment vertical="center" wrapText="1"/>
    </xf>
    <xf numFmtId="0" fontId="11" fillId="2" borderId="12" xfId="0" applyFont="1" applyFill="1" applyBorder="1" applyAlignment="1">
      <alignment vertical="center" wrapText="1"/>
    </xf>
    <xf numFmtId="0" fontId="50" fillId="0" borderId="0" xfId="0" applyFont="1"/>
    <xf numFmtId="0" fontId="51" fillId="0" borderId="0" xfId="0" applyFont="1"/>
    <xf numFmtId="10" fontId="51" fillId="0" borderId="0" xfId="0" applyNumberFormat="1" applyFont="1"/>
    <xf numFmtId="0" fontId="50" fillId="0" borderId="0" xfId="0" applyFont="1"/>
    <xf numFmtId="0" fontId="52" fillId="0" borderId="0" xfId="0" applyFont="1"/>
  </cellXfs>
  <cellStyles count="39">
    <cellStyle name="Followed Hyperlink" xfId="3"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Hyperlink" xfId="2"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Normal" xfId="0" builtinId="0"/>
    <cellStyle name="Normal_datasetinequality12Sept2008 (2)" xfId="4"/>
    <cellStyle name="Percent" xfId="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64"/>
  <sheetViews>
    <sheetView workbookViewId="0">
      <pane xSplit="1" ySplit="8" topLeftCell="B9" activePane="bottomRight" state="frozen"/>
      <selection pane="topRight" activeCell="B1" sqref="B1"/>
      <selection pane="bottomLeft" activeCell="A8" sqref="A8"/>
      <selection pane="bottomRight" activeCell="K20" sqref="K20"/>
    </sheetView>
  </sheetViews>
  <sheetFormatPr baseColWidth="10" defaultColWidth="11" defaultRowHeight="15" x14ac:dyDescent="0"/>
  <cols>
    <col min="3" max="5" width="11" style="4"/>
    <col min="6" max="6" width="12" bestFit="1" customWidth="1"/>
  </cols>
  <sheetData>
    <row r="1" spans="1:6" ht="25">
      <c r="A1" s="2" t="s">
        <v>7</v>
      </c>
    </row>
    <row r="2" spans="1:6">
      <c r="A2" s="1" t="s">
        <v>8</v>
      </c>
    </row>
    <row r="3" spans="1:6">
      <c r="A3" s="1"/>
    </row>
    <row r="4" spans="1:6" ht="18">
      <c r="A4" s="3" t="s">
        <v>5</v>
      </c>
    </row>
    <row r="5" spans="1:6" ht="18">
      <c r="A5" s="3" t="s">
        <v>6</v>
      </c>
    </row>
    <row r="6" spans="1:6" ht="18">
      <c r="A6" s="3"/>
      <c r="F6" s="103" t="s">
        <v>2</v>
      </c>
    </row>
    <row r="7" spans="1:6" ht="18">
      <c r="A7" s="104"/>
      <c r="B7" s="104"/>
      <c r="C7" s="102" t="s">
        <v>2</v>
      </c>
      <c r="D7" s="102"/>
      <c r="E7" s="102" t="s">
        <v>771</v>
      </c>
      <c r="F7" s="103" t="s">
        <v>772</v>
      </c>
    </row>
    <row r="8" spans="1:6" ht="18">
      <c r="A8" s="104" t="s">
        <v>0</v>
      </c>
      <c r="B8" s="104" t="s">
        <v>1</v>
      </c>
      <c r="C8" s="102" t="s">
        <v>3</v>
      </c>
      <c r="D8" s="102" t="s">
        <v>4</v>
      </c>
      <c r="E8" s="102" t="s">
        <v>4</v>
      </c>
      <c r="F8" s="102" t="s">
        <v>773</v>
      </c>
    </row>
    <row r="9" spans="1:6">
      <c r="A9" s="5">
        <v>1720</v>
      </c>
      <c r="B9" s="5" t="s">
        <v>9</v>
      </c>
      <c r="C9" s="4">
        <v>58</v>
      </c>
      <c r="F9" s="90"/>
    </row>
    <row r="10" spans="1:6">
      <c r="A10" s="5">
        <v>1720</v>
      </c>
      <c r="B10" s="5" t="s">
        <v>10</v>
      </c>
      <c r="C10" s="4">
        <v>58</v>
      </c>
      <c r="F10" s="90"/>
    </row>
    <row r="11" spans="1:6">
      <c r="A11" s="5">
        <v>1720</v>
      </c>
      <c r="B11" s="5" t="s">
        <v>11</v>
      </c>
      <c r="C11" s="4">
        <v>56</v>
      </c>
      <c r="F11" s="90"/>
    </row>
    <row r="12" spans="1:6">
      <c r="A12" s="5">
        <v>1720</v>
      </c>
      <c r="B12" s="5" t="s">
        <v>12</v>
      </c>
      <c r="C12" s="4">
        <v>53</v>
      </c>
      <c r="F12" s="90"/>
    </row>
    <row r="13" spans="1:6">
      <c r="A13" s="5">
        <v>1720</v>
      </c>
      <c r="B13" s="5" t="s">
        <v>13</v>
      </c>
      <c r="C13" s="4">
        <v>52</v>
      </c>
      <c r="F13" s="90"/>
    </row>
    <row r="14" spans="1:6">
      <c r="A14" s="5">
        <v>1720</v>
      </c>
      <c r="B14" s="5" t="s">
        <v>14</v>
      </c>
      <c r="C14" s="4">
        <v>54</v>
      </c>
      <c r="F14" s="90"/>
    </row>
    <row r="15" spans="1:6">
      <c r="A15" s="5">
        <v>1720</v>
      </c>
      <c r="B15" s="5" t="s">
        <v>15</v>
      </c>
      <c r="C15" s="4">
        <v>54</v>
      </c>
      <c r="F15" s="90"/>
    </row>
    <row r="16" spans="1:6">
      <c r="A16" s="5">
        <v>1720</v>
      </c>
      <c r="B16" s="5" t="s">
        <v>16</v>
      </c>
      <c r="C16" s="4">
        <v>54</v>
      </c>
      <c r="F16" s="90"/>
    </row>
    <row r="17" spans="1:6">
      <c r="A17" s="5">
        <v>1720</v>
      </c>
      <c r="B17" s="5" t="s">
        <v>17</v>
      </c>
      <c r="C17" s="4">
        <v>58</v>
      </c>
      <c r="F17" s="90"/>
    </row>
    <row r="18" spans="1:6">
      <c r="A18" s="5">
        <v>1720</v>
      </c>
      <c r="B18" s="5" t="s">
        <v>18</v>
      </c>
      <c r="C18" s="4">
        <v>58</v>
      </c>
      <c r="E18"/>
      <c r="F18" s="90"/>
    </row>
    <row r="19" spans="1:6">
      <c r="A19" s="5">
        <v>1720</v>
      </c>
      <c r="B19" s="5" t="s">
        <v>19</v>
      </c>
      <c r="E19"/>
      <c r="F19" s="90"/>
    </row>
    <row r="20" spans="1:6">
      <c r="A20" s="5">
        <v>1720</v>
      </c>
      <c r="B20" s="5" t="s">
        <v>20</v>
      </c>
      <c r="E20"/>
      <c r="F20" s="90"/>
    </row>
    <row r="21" spans="1:6">
      <c r="A21" s="5">
        <v>1721</v>
      </c>
      <c r="B21" s="5" t="s">
        <v>9</v>
      </c>
      <c r="E21"/>
      <c r="F21" s="90"/>
    </row>
    <row r="22" spans="1:6">
      <c r="A22" s="5">
        <v>1721</v>
      </c>
      <c r="B22" s="5" t="s">
        <v>10</v>
      </c>
      <c r="E22"/>
      <c r="F22" s="90"/>
    </row>
    <row r="23" spans="1:6">
      <c r="A23" s="5">
        <v>1721</v>
      </c>
      <c r="B23" s="5" t="s">
        <v>11</v>
      </c>
      <c r="C23" s="4">
        <v>54</v>
      </c>
      <c r="E23"/>
      <c r="F23" s="90">
        <f t="shared" ref="F23:F29" si="0">(C23-C11)/C11</f>
        <v>-3.5714285714285712E-2</v>
      </c>
    </row>
    <row r="24" spans="1:6">
      <c r="A24" s="5">
        <v>1721</v>
      </c>
      <c r="B24" s="5" t="s">
        <v>12</v>
      </c>
      <c r="C24" s="4">
        <v>52</v>
      </c>
      <c r="E24"/>
      <c r="F24" s="90">
        <f t="shared" si="0"/>
        <v>-1.8867924528301886E-2</v>
      </c>
    </row>
    <row r="25" spans="1:6">
      <c r="A25" s="5">
        <v>1721</v>
      </c>
      <c r="B25" s="5" t="s">
        <v>13</v>
      </c>
      <c r="E25"/>
      <c r="F25" s="90"/>
    </row>
    <row r="26" spans="1:6">
      <c r="A26" s="5">
        <v>1721</v>
      </c>
      <c r="B26" s="5" t="s">
        <v>14</v>
      </c>
      <c r="E26"/>
      <c r="F26" s="90"/>
    </row>
    <row r="27" spans="1:6">
      <c r="A27" s="5">
        <v>1721</v>
      </c>
      <c r="B27" s="5" t="s">
        <v>15</v>
      </c>
      <c r="E27"/>
      <c r="F27" s="90"/>
    </row>
    <row r="28" spans="1:6">
      <c r="A28" s="5">
        <v>1721</v>
      </c>
      <c r="B28" s="5" t="s">
        <v>16</v>
      </c>
      <c r="E28"/>
      <c r="F28" s="90"/>
    </row>
    <row r="29" spans="1:6">
      <c r="A29" s="5">
        <v>1721</v>
      </c>
      <c r="B29" s="5" t="s">
        <v>17</v>
      </c>
      <c r="C29" s="4">
        <v>52</v>
      </c>
      <c r="E29"/>
      <c r="F29" s="90">
        <f t="shared" si="0"/>
        <v>-0.10344827586206896</v>
      </c>
    </row>
    <row r="30" spans="1:6">
      <c r="A30" s="5">
        <v>1721</v>
      </c>
      <c r="B30" s="5" t="s">
        <v>18</v>
      </c>
      <c r="E30"/>
      <c r="F30" s="90"/>
    </row>
    <row r="31" spans="1:6">
      <c r="A31" s="5">
        <v>1721</v>
      </c>
      <c r="B31" s="5" t="s">
        <v>19</v>
      </c>
      <c r="E31"/>
      <c r="F31" s="90"/>
    </row>
    <row r="32" spans="1:6">
      <c r="A32" s="5">
        <v>1721</v>
      </c>
      <c r="B32" s="5" t="s">
        <v>20</v>
      </c>
      <c r="C32" s="4">
        <v>52</v>
      </c>
      <c r="E32"/>
      <c r="F32" s="90"/>
    </row>
    <row r="33" spans="1:6">
      <c r="A33" s="5">
        <v>1722</v>
      </c>
      <c r="B33" s="5" t="s">
        <v>9</v>
      </c>
      <c r="E33"/>
      <c r="F33" s="90"/>
    </row>
    <row r="34" spans="1:6">
      <c r="A34" s="5">
        <v>1722</v>
      </c>
      <c r="B34" s="5" t="s">
        <v>10</v>
      </c>
      <c r="C34"/>
      <c r="D34"/>
      <c r="E34"/>
      <c r="F34" s="90"/>
    </row>
    <row r="35" spans="1:6">
      <c r="A35" s="5">
        <v>1722</v>
      </c>
      <c r="B35" s="5" t="s">
        <v>11</v>
      </c>
      <c r="C35"/>
      <c r="D35"/>
      <c r="E35"/>
      <c r="F35" s="90"/>
    </row>
    <row r="36" spans="1:6">
      <c r="A36" s="5">
        <v>1722</v>
      </c>
      <c r="B36" s="5" t="s">
        <v>12</v>
      </c>
      <c r="C36"/>
      <c r="D36"/>
      <c r="E36"/>
      <c r="F36" s="90"/>
    </row>
    <row r="37" spans="1:6">
      <c r="A37" s="5">
        <v>1722</v>
      </c>
      <c r="B37" s="5" t="s">
        <v>13</v>
      </c>
      <c r="C37"/>
      <c r="D37"/>
      <c r="E37"/>
      <c r="F37" s="90"/>
    </row>
    <row r="38" spans="1:6">
      <c r="A38" s="5">
        <v>1722</v>
      </c>
      <c r="B38" s="5" t="s">
        <v>14</v>
      </c>
      <c r="C38"/>
      <c r="D38"/>
      <c r="E38"/>
      <c r="F38" s="90"/>
    </row>
    <row r="39" spans="1:6">
      <c r="A39" s="5">
        <v>1722</v>
      </c>
      <c r="B39" s="5" t="s">
        <v>15</v>
      </c>
      <c r="C39"/>
      <c r="D39"/>
      <c r="E39"/>
      <c r="F39" s="90"/>
    </row>
    <row r="40" spans="1:6">
      <c r="A40" s="5">
        <v>1722</v>
      </c>
      <c r="B40" s="5" t="s">
        <v>16</v>
      </c>
      <c r="C40"/>
      <c r="D40"/>
      <c r="E40"/>
      <c r="F40" s="90"/>
    </row>
    <row r="41" spans="1:6">
      <c r="A41" s="5">
        <v>1722</v>
      </c>
      <c r="B41" s="5" t="s">
        <v>17</v>
      </c>
      <c r="C41"/>
      <c r="D41"/>
      <c r="E41"/>
      <c r="F41" s="90"/>
    </row>
    <row r="42" spans="1:6">
      <c r="A42" s="5">
        <v>1722</v>
      </c>
      <c r="B42" s="5" t="s">
        <v>18</v>
      </c>
      <c r="C42"/>
      <c r="D42"/>
      <c r="E42"/>
      <c r="F42" s="90"/>
    </row>
    <row r="43" spans="1:6">
      <c r="A43" s="5">
        <v>1722</v>
      </c>
      <c r="B43" s="5" t="s">
        <v>19</v>
      </c>
      <c r="C43"/>
      <c r="D43"/>
      <c r="E43"/>
      <c r="F43" s="90"/>
    </row>
    <row r="44" spans="1:6">
      <c r="A44" s="5">
        <v>1722</v>
      </c>
      <c r="B44" s="5" t="s">
        <v>20</v>
      </c>
      <c r="C44"/>
      <c r="D44"/>
      <c r="E44"/>
      <c r="F44" s="90"/>
    </row>
    <row r="45" spans="1:6">
      <c r="A45" s="5">
        <v>1723</v>
      </c>
      <c r="B45" s="5" t="s">
        <v>9</v>
      </c>
      <c r="C45"/>
      <c r="D45"/>
      <c r="E45"/>
      <c r="F45" s="90"/>
    </row>
    <row r="46" spans="1:6">
      <c r="A46" s="5">
        <v>1723</v>
      </c>
      <c r="B46" s="5" t="s">
        <v>10</v>
      </c>
      <c r="C46"/>
      <c r="D46"/>
      <c r="E46"/>
      <c r="F46" s="90"/>
    </row>
    <row r="47" spans="1:6">
      <c r="A47" s="5">
        <v>1723</v>
      </c>
      <c r="B47" s="5" t="s">
        <v>11</v>
      </c>
      <c r="C47"/>
      <c r="D47"/>
      <c r="E47"/>
      <c r="F47" s="90"/>
    </row>
    <row r="48" spans="1:6">
      <c r="A48" s="5">
        <v>1723</v>
      </c>
      <c r="B48" s="5" t="s">
        <v>12</v>
      </c>
      <c r="C48"/>
      <c r="D48"/>
      <c r="E48"/>
      <c r="F48" s="90"/>
    </row>
    <row r="49" spans="1:6">
      <c r="A49" s="5">
        <v>1723</v>
      </c>
      <c r="B49" s="5" t="s">
        <v>13</v>
      </c>
      <c r="C49"/>
      <c r="D49"/>
      <c r="E49"/>
      <c r="F49" s="90"/>
    </row>
    <row r="50" spans="1:6">
      <c r="A50" s="5">
        <v>1723</v>
      </c>
      <c r="B50" s="5" t="s">
        <v>14</v>
      </c>
      <c r="C50"/>
      <c r="D50"/>
      <c r="E50"/>
      <c r="F50" s="90"/>
    </row>
    <row r="51" spans="1:6">
      <c r="A51" s="5">
        <v>1723</v>
      </c>
      <c r="B51" s="5" t="s">
        <v>15</v>
      </c>
      <c r="C51"/>
      <c r="D51"/>
      <c r="E51"/>
      <c r="F51" s="90"/>
    </row>
    <row r="52" spans="1:6">
      <c r="A52" s="5">
        <v>1723</v>
      </c>
      <c r="B52" s="5" t="s">
        <v>16</v>
      </c>
      <c r="C52"/>
      <c r="D52"/>
      <c r="E52"/>
      <c r="F52" s="90"/>
    </row>
    <row r="53" spans="1:6">
      <c r="A53" s="5">
        <v>1723</v>
      </c>
      <c r="B53" s="5" t="s">
        <v>17</v>
      </c>
      <c r="C53"/>
      <c r="D53"/>
      <c r="E53"/>
      <c r="F53" s="90"/>
    </row>
    <row r="54" spans="1:6">
      <c r="A54" s="5">
        <v>1723</v>
      </c>
      <c r="B54" s="5" t="s">
        <v>18</v>
      </c>
      <c r="C54"/>
      <c r="D54"/>
      <c r="E54"/>
      <c r="F54" s="90"/>
    </row>
    <row r="55" spans="1:6">
      <c r="A55" s="5">
        <v>1723</v>
      </c>
      <c r="B55" s="5" t="s">
        <v>19</v>
      </c>
      <c r="C55"/>
      <c r="D55"/>
      <c r="E55"/>
      <c r="F55" s="90"/>
    </row>
    <row r="56" spans="1:6">
      <c r="A56" s="5">
        <v>1723</v>
      </c>
      <c r="B56" s="5" t="s">
        <v>20</v>
      </c>
      <c r="C56"/>
      <c r="D56"/>
      <c r="E56"/>
      <c r="F56" s="90"/>
    </row>
    <row r="57" spans="1:6">
      <c r="A57" s="5">
        <v>1724</v>
      </c>
      <c r="B57" s="5" t="s">
        <v>9</v>
      </c>
      <c r="C57"/>
      <c r="D57"/>
      <c r="E57"/>
      <c r="F57" s="90"/>
    </row>
    <row r="58" spans="1:6">
      <c r="A58" s="5">
        <v>1724</v>
      </c>
      <c r="B58" s="5" t="s">
        <v>10</v>
      </c>
      <c r="C58"/>
      <c r="D58"/>
      <c r="E58"/>
      <c r="F58" s="90"/>
    </row>
    <row r="59" spans="1:6">
      <c r="A59" s="5">
        <v>1724</v>
      </c>
      <c r="B59" s="5" t="s">
        <v>11</v>
      </c>
      <c r="C59"/>
      <c r="D59"/>
      <c r="E59"/>
      <c r="F59" s="90"/>
    </row>
    <row r="60" spans="1:6">
      <c r="A60" s="5">
        <v>1724</v>
      </c>
      <c r="B60" s="5" t="s">
        <v>12</v>
      </c>
      <c r="C60"/>
      <c r="D60"/>
      <c r="E60"/>
      <c r="F60" s="90"/>
    </row>
    <row r="61" spans="1:6">
      <c r="A61" s="5">
        <v>1724</v>
      </c>
      <c r="B61" s="5" t="s">
        <v>13</v>
      </c>
      <c r="C61"/>
      <c r="D61"/>
      <c r="E61"/>
      <c r="F61" s="90"/>
    </row>
    <row r="62" spans="1:6">
      <c r="A62" s="5">
        <v>1724</v>
      </c>
      <c r="B62" s="5" t="s">
        <v>14</v>
      </c>
      <c r="C62"/>
      <c r="D62"/>
      <c r="E62"/>
      <c r="F62" s="90"/>
    </row>
    <row r="63" spans="1:6">
      <c r="A63" s="5">
        <v>1724</v>
      </c>
      <c r="B63" s="5" t="s">
        <v>15</v>
      </c>
      <c r="C63"/>
      <c r="D63"/>
      <c r="E63"/>
      <c r="F63" s="90"/>
    </row>
    <row r="64" spans="1:6">
      <c r="A64" s="5">
        <v>1724</v>
      </c>
      <c r="B64" s="5" t="s">
        <v>16</v>
      </c>
      <c r="C64"/>
      <c r="D64"/>
      <c r="E64"/>
      <c r="F64" s="90"/>
    </row>
    <row r="65" spans="1:6">
      <c r="A65" s="5">
        <v>1724</v>
      </c>
      <c r="B65" s="5" t="s">
        <v>17</v>
      </c>
      <c r="C65"/>
      <c r="D65"/>
      <c r="E65"/>
      <c r="F65" s="90"/>
    </row>
    <row r="66" spans="1:6">
      <c r="A66" s="5">
        <v>1724</v>
      </c>
      <c r="B66" s="5" t="s">
        <v>18</v>
      </c>
      <c r="C66"/>
      <c r="D66"/>
      <c r="E66"/>
      <c r="F66" s="90"/>
    </row>
    <row r="67" spans="1:6">
      <c r="A67" s="5">
        <v>1724</v>
      </c>
      <c r="B67" s="5" t="s">
        <v>19</v>
      </c>
      <c r="C67"/>
      <c r="D67"/>
      <c r="E67"/>
      <c r="F67" s="90"/>
    </row>
    <row r="68" spans="1:6">
      <c r="A68" s="5">
        <v>1724</v>
      </c>
      <c r="B68" s="5" t="s">
        <v>20</v>
      </c>
      <c r="C68"/>
      <c r="D68"/>
      <c r="E68"/>
      <c r="F68" s="90"/>
    </row>
    <row r="69" spans="1:6">
      <c r="A69" s="5">
        <v>1725</v>
      </c>
      <c r="B69" s="5" t="s">
        <v>9</v>
      </c>
      <c r="C69"/>
      <c r="D69"/>
      <c r="E69"/>
      <c r="F69" s="90"/>
    </row>
    <row r="70" spans="1:6">
      <c r="A70" s="5">
        <v>1725</v>
      </c>
      <c r="B70" s="5" t="s">
        <v>10</v>
      </c>
      <c r="C70"/>
      <c r="D70"/>
      <c r="E70"/>
      <c r="F70" s="90"/>
    </row>
    <row r="71" spans="1:6">
      <c r="A71" s="5">
        <v>1725</v>
      </c>
      <c r="B71" s="5" t="s">
        <v>11</v>
      </c>
      <c r="C71"/>
      <c r="D71"/>
      <c r="E71"/>
      <c r="F71" s="90"/>
    </row>
    <row r="72" spans="1:6">
      <c r="A72" s="5">
        <v>1725</v>
      </c>
      <c r="B72" s="5" t="s">
        <v>12</v>
      </c>
      <c r="C72"/>
      <c r="D72"/>
      <c r="E72"/>
      <c r="F72" s="90"/>
    </row>
    <row r="73" spans="1:6">
      <c r="A73" s="5">
        <v>1725</v>
      </c>
      <c r="B73" s="5" t="s">
        <v>13</v>
      </c>
      <c r="C73"/>
      <c r="D73"/>
      <c r="E73"/>
      <c r="F73" s="90"/>
    </row>
    <row r="74" spans="1:6">
      <c r="A74" s="5">
        <v>1725</v>
      </c>
      <c r="B74" s="5" t="s">
        <v>14</v>
      </c>
      <c r="C74"/>
      <c r="D74"/>
      <c r="E74"/>
      <c r="F74" s="90"/>
    </row>
    <row r="75" spans="1:6">
      <c r="A75" s="5">
        <v>1725</v>
      </c>
      <c r="B75" s="5" t="s">
        <v>15</v>
      </c>
      <c r="C75"/>
      <c r="D75"/>
      <c r="E75"/>
      <c r="F75" s="90"/>
    </row>
    <row r="76" spans="1:6">
      <c r="A76" s="5">
        <v>1725</v>
      </c>
      <c r="B76" s="5" t="s">
        <v>16</v>
      </c>
      <c r="C76"/>
      <c r="D76"/>
      <c r="E76"/>
      <c r="F76" s="90"/>
    </row>
    <row r="77" spans="1:6">
      <c r="A77" s="5">
        <v>1725</v>
      </c>
      <c r="B77" s="5" t="s">
        <v>17</v>
      </c>
      <c r="C77"/>
      <c r="D77"/>
      <c r="E77"/>
      <c r="F77" s="90"/>
    </row>
    <row r="78" spans="1:6">
      <c r="A78" s="5">
        <v>1725</v>
      </c>
      <c r="B78" s="5" t="s">
        <v>18</v>
      </c>
      <c r="C78"/>
      <c r="D78"/>
      <c r="E78"/>
      <c r="F78" s="90"/>
    </row>
    <row r="79" spans="1:6">
      <c r="A79" s="5">
        <v>1725</v>
      </c>
      <c r="B79" s="5" t="s">
        <v>19</v>
      </c>
      <c r="C79"/>
      <c r="D79"/>
      <c r="E79"/>
      <c r="F79" s="90"/>
    </row>
    <row r="80" spans="1:6">
      <c r="A80" s="5">
        <v>1725</v>
      </c>
      <c r="B80" s="5" t="s">
        <v>20</v>
      </c>
      <c r="C80"/>
      <c r="D80"/>
      <c r="E80"/>
      <c r="F80" s="90"/>
    </row>
    <row r="81" spans="1:6">
      <c r="A81" s="5">
        <v>1726</v>
      </c>
      <c r="B81" s="5" t="s">
        <v>9</v>
      </c>
      <c r="C81"/>
      <c r="D81"/>
      <c r="E81"/>
      <c r="F81" s="90"/>
    </row>
    <row r="82" spans="1:6">
      <c r="A82" s="5">
        <v>1726</v>
      </c>
      <c r="B82" s="5" t="s">
        <v>10</v>
      </c>
      <c r="E82"/>
      <c r="F82" s="90"/>
    </row>
    <row r="83" spans="1:6">
      <c r="A83" s="5">
        <v>1726</v>
      </c>
      <c r="B83" s="5" t="s">
        <v>11</v>
      </c>
      <c r="E83"/>
      <c r="F83" s="90"/>
    </row>
    <row r="84" spans="1:6">
      <c r="A84" s="5">
        <v>1726</v>
      </c>
      <c r="B84" s="5" t="s">
        <v>12</v>
      </c>
      <c r="E84"/>
      <c r="F84" s="90"/>
    </row>
    <row r="85" spans="1:6">
      <c r="A85" s="5">
        <v>1726</v>
      </c>
      <c r="B85" s="5" t="s">
        <v>13</v>
      </c>
      <c r="C85" s="4">
        <v>54</v>
      </c>
      <c r="E85"/>
      <c r="F85" s="90"/>
    </row>
    <row r="86" spans="1:6">
      <c r="A86" s="5">
        <v>1726</v>
      </c>
      <c r="B86" s="5" t="s">
        <v>14</v>
      </c>
      <c r="E86"/>
      <c r="F86" s="90"/>
    </row>
    <row r="87" spans="1:6">
      <c r="A87" s="5">
        <v>1726</v>
      </c>
      <c r="B87" s="5" t="s">
        <v>15</v>
      </c>
      <c r="C87" s="4">
        <v>57</v>
      </c>
      <c r="E87"/>
      <c r="F87" s="90"/>
    </row>
    <row r="88" spans="1:6">
      <c r="A88" s="5">
        <v>1726</v>
      </c>
      <c r="B88" s="5" t="s">
        <v>16</v>
      </c>
      <c r="E88"/>
      <c r="F88" s="90"/>
    </row>
    <row r="89" spans="1:6">
      <c r="A89" s="5">
        <v>1726</v>
      </c>
      <c r="B89" s="5" t="s">
        <v>17</v>
      </c>
      <c r="C89" s="4">
        <v>60</v>
      </c>
      <c r="E89"/>
      <c r="F89" s="90"/>
    </row>
    <row r="90" spans="1:6">
      <c r="A90" s="5">
        <v>1726</v>
      </c>
      <c r="B90" s="5" t="s">
        <v>18</v>
      </c>
      <c r="C90" s="4">
        <v>60</v>
      </c>
      <c r="E90"/>
      <c r="F90" s="90"/>
    </row>
    <row r="91" spans="1:6">
      <c r="A91" s="5">
        <v>1726</v>
      </c>
      <c r="B91" s="5" t="s">
        <v>19</v>
      </c>
      <c r="E91"/>
      <c r="F91" s="90"/>
    </row>
    <row r="92" spans="1:6">
      <c r="A92" s="5">
        <v>1726</v>
      </c>
      <c r="B92" s="5" t="s">
        <v>20</v>
      </c>
      <c r="E92"/>
      <c r="F92" s="90"/>
    </row>
    <row r="93" spans="1:6">
      <c r="A93" s="5">
        <v>1727</v>
      </c>
      <c r="B93" s="5" t="s">
        <v>9</v>
      </c>
      <c r="E93"/>
      <c r="F93" s="90"/>
    </row>
    <row r="94" spans="1:6">
      <c r="A94" s="5">
        <v>1727</v>
      </c>
      <c r="B94" s="5" t="s">
        <v>10</v>
      </c>
      <c r="C94" s="4">
        <v>60</v>
      </c>
      <c r="E94"/>
      <c r="F94" s="90"/>
    </row>
    <row r="95" spans="1:6">
      <c r="A95" s="5">
        <v>1727</v>
      </c>
      <c r="B95" s="5" t="s">
        <v>11</v>
      </c>
      <c r="C95" s="4">
        <v>59</v>
      </c>
      <c r="E95"/>
      <c r="F95" s="90"/>
    </row>
    <row r="96" spans="1:6">
      <c r="A96" s="5">
        <v>1727</v>
      </c>
      <c r="B96" s="5" t="s">
        <v>12</v>
      </c>
      <c r="E96"/>
      <c r="F96" s="90"/>
    </row>
    <row r="97" spans="1:10">
      <c r="A97" s="5">
        <v>1727</v>
      </c>
      <c r="B97" s="5" t="s">
        <v>13</v>
      </c>
      <c r="E97"/>
      <c r="F97" s="90"/>
    </row>
    <row r="98" spans="1:10">
      <c r="A98" s="5">
        <v>1727</v>
      </c>
      <c r="B98" s="5" t="s">
        <v>14</v>
      </c>
      <c r="F98" s="90"/>
    </row>
    <row r="99" spans="1:10">
      <c r="A99" s="5">
        <v>1727</v>
      </c>
      <c r="B99" s="5" t="s">
        <v>15</v>
      </c>
      <c r="F99" s="90"/>
    </row>
    <row r="100" spans="1:10">
      <c r="A100" s="5">
        <v>1727</v>
      </c>
      <c r="B100" s="5" t="s">
        <v>16</v>
      </c>
      <c r="F100" s="90"/>
    </row>
    <row r="101" spans="1:10">
      <c r="A101" s="5">
        <v>1727</v>
      </c>
      <c r="B101" s="5" t="s">
        <v>17</v>
      </c>
      <c r="F101" s="90"/>
    </row>
    <row r="102" spans="1:10">
      <c r="A102" s="5">
        <v>1727</v>
      </c>
      <c r="B102" s="5" t="s">
        <v>18</v>
      </c>
      <c r="F102" s="90"/>
    </row>
    <row r="103" spans="1:10">
      <c r="A103" s="5">
        <v>1727</v>
      </c>
      <c r="B103" s="5" t="s">
        <v>19</v>
      </c>
      <c r="F103" s="90"/>
    </row>
    <row r="104" spans="1:10">
      <c r="A104" s="5">
        <v>1727</v>
      </c>
      <c r="B104" s="5" t="s">
        <v>20</v>
      </c>
      <c r="F104" s="90"/>
    </row>
    <row r="105" spans="1:10">
      <c r="A105" s="5">
        <v>1728</v>
      </c>
      <c r="B105" s="5" t="s">
        <v>9</v>
      </c>
      <c r="F105" s="90"/>
      <c r="I105" s="5"/>
      <c r="J105" s="5"/>
    </row>
    <row r="106" spans="1:10">
      <c r="A106" s="5">
        <v>1728</v>
      </c>
      <c r="B106" s="5" t="s">
        <v>10</v>
      </c>
      <c r="F106" s="90"/>
      <c r="I106" s="5"/>
      <c r="J106" s="5"/>
    </row>
    <row r="107" spans="1:10">
      <c r="A107" s="5">
        <v>1728</v>
      </c>
      <c r="B107" s="5" t="s">
        <v>11</v>
      </c>
      <c r="C107" s="4">
        <v>54</v>
      </c>
      <c r="F107" s="90">
        <f t="shared" ref="F107:F119" si="1">(C107-C95)/C95</f>
        <v>-8.4745762711864403E-2</v>
      </c>
      <c r="I107" s="5"/>
      <c r="J107" s="5"/>
    </row>
    <row r="108" spans="1:10">
      <c r="A108" s="5">
        <v>1728</v>
      </c>
      <c r="B108" s="5" t="s">
        <v>12</v>
      </c>
      <c r="F108" s="90"/>
      <c r="I108" s="5"/>
      <c r="J108" s="5"/>
    </row>
    <row r="109" spans="1:10">
      <c r="A109" s="5">
        <v>1728</v>
      </c>
      <c r="B109" s="5" t="s">
        <v>13</v>
      </c>
      <c r="C109" s="4">
        <v>51</v>
      </c>
      <c r="F109" s="90"/>
      <c r="I109" s="5"/>
      <c r="J109" s="5"/>
    </row>
    <row r="110" spans="1:10">
      <c r="A110" s="5">
        <v>1728</v>
      </c>
      <c r="B110" s="5" t="s">
        <v>14</v>
      </c>
      <c r="F110" s="90"/>
      <c r="I110" s="5"/>
      <c r="J110" s="5"/>
    </row>
    <row r="111" spans="1:10">
      <c r="A111" s="5">
        <v>1728</v>
      </c>
      <c r="B111" s="5" t="s">
        <v>15</v>
      </c>
      <c r="F111" s="90"/>
      <c r="I111" s="5"/>
      <c r="J111" s="5"/>
    </row>
    <row r="112" spans="1:10">
      <c r="A112" s="5">
        <v>1728</v>
      </c>
      <c r="B112" s="5" t="s">
        <v>16</v>
      </c>
      <c r="F112" s="90"/>
      <c r="I112" s="5"/>
      <c r="J112" s="5"/>
    </row>
    <row r="113" spans="1:10">
      <c r="A113" s="5">
        <v>1728</v>
      </c>
      <c r="B113" s="5" t="s">
        <v>17</v>
      </c>
      <c r="F113" s="90"/>
      <c r="I113" s="5"/>
      <c r="J113" s="5"/>
    </row>
    <row r="114" spans="1:10">
      <c r="A114" s="5">
        <v>1728</v>
      </c>
      <c r="B114" s="5" t="s">
        <v>18</v>
      </c>
      <c r="F114" s="90"/>
      <c r="I114" s="5"/>
      <c r="J114" s="5"/>
    </row>
    <row r="115" spans="1:10">
      <c r="A115" s="5">
        <v>1728</v>
      </c>
      <c r="B115" s="5" t="s">
        <v>19</v>
      </c>
      <c r="F115" s="90"/>
      <c r="I115" s="5"/>
      <c r="J115" s="5"/>
    </row>
    <row r="116" spans="1:10">
      <c r="A116" s="5">
        <v>1728</v>
      </c>
      <c r="B116" s="5" t="s">
        <v>20</v>
      </c>
      <c r="F116" s="90"/>
      <c r="I116" s="5"/>
      <c r="J116" s="5"/>
    </row>
    <row r="117" spans="1:10">
      <c r="A117" s="5">
        <v>1729</v>
      </c>
      <c r="B117" s="5" t="s">
        <v>9</v>
      </c>
      <c r="F117" s="90"/>
    </row>
    <row r="118" spans="1:10">
      <c r="A118" s="5">
        <v>1729</v>
      </c>
      <c r="B118" s="5" t="s">
        <v>10</v>
      </c>
      <c r="C118" s="4">
        <v>50</v>
      </c>
      <c r="F118" s="90"/>
    </row>
    <row r="119" spans="1:10">
      <c r="A119" s="5">
        <v>1729</v>
      </c>
      <c r="B119" s="5" t="s">
        <v>11</v>
      </c>
      <c r="C119" s="4">
        <v>46</v>
      </c>
      <c r="F119" s="90">
        <f t="shared" si="1"/>
        <v>-0.14814814814814814</v>
      </c>
    </row>
    <row r="120" spans="1:10">
      <c r="A120" s="5">
        <v>1729</v>
      </c>
      <c r="B120" s="5" t="s">
        <v>12</v>
      </c>
      <c r="C120" s="4">
        <v>46</v>
      </c>
      <c r="F120" s="90"/>
    </row>
    <row r="121" spans="1:10">
      <c r="A121" s="5">
        <v>1729</v>
      </c>
      <c r="B121" s="5" t="s">
        <v>13</v>
      </c>
      <c r="F121" s="90"/>
    </row>
    <row r="122" spans="1:10">
      <c r="A122" s="5">
        <v>1729</v>
      </c>
      <c r="B122" s="5" t="s">
        <v>14</v>
      </c>
      <c r="F122" s="90"/>
    </row>
    <row r="123" spans="1:10">
      <c r="A123" s="5">
        <v>1729</v>
      </c>
      <c r="B123" s="5" t="s">
        <v>15</v>
      </c>
      <c r="C123" s="4">
        <v>49</v>
      </c>
      <c r="F123" s="90"/>
    </row>
    <row r="124" spans="1:10">
      <c r="A124" s="5">
        <v>1729</v>
      </c>
      <c r="B124" s="5" t="s">
        <v>16</v>
      </c>
      <c r="C124" s="4">
        <v>50</v>
      </c>
      <c r="F124" s="90"/>
    </row>
    <row r="125" spans="1:10">
      <c r="A125" s="5">
        <v>1729</v>
      </c>
      <c r="B125" s="5" t="s">
        <v>17</v>
      </c>
      <c r="C125" s="4">
        <v>51</v>
      </c>
      <c r="F125" s="90"/>
    </row>
    <row r="126" spans="1:10">
      <c r="A126" s="5">
        <v>1729</v>
      </c>
      <c r="B126" s="5" t="s">
        <v>18</v>
      </c>
      <c r="F126" s="90"/>
    </row>
    <row r="127" spans="1:10">
      <c r="A127" s="5">
        <v>1729</v>
      </c>
      <c r="B127" s="5" t="s">
        <v>19</v>
      </c>
      <c r="F127" s="90"/>
    </row>
    <row r="128" spans="1:10">
      <c r="A128" s="5">
        <v>1729</v>
      </c>
      <c r="B128" s="5" t="s">
        <v>20</v>
      </c>
      <c r="F128" s="90"/>
    </row>
    <row r="129" spans="1:6">
      <c r="A129" s="5">
        <v>1730</v>
      </c>
      <c r="B129" s="5" t="s">
        <v>9</v>
      </c>
      <c r="F129" s="90"/>
    </row>
    <row r="130" spans="1:6">
      <c r="A130" s="5">
        <v>1730</v>
      </c>
      <c r="B130" s="5" t="s">
        <v>10</v>
      </c>
      <c r="E130"/>
      <c r="F130" s="90"/>
    </row>
    <row r="131" spans="1:6">
      <c r="A131" s="5">
        <v>1730</v>
      </c>
      <c r="B131" s="5" t="s">
        <v>11</v>
      </c>
      <c r="E131"/>
      <c r="F131" s="90"/>
    </row>
    <row r="132" spans="1:6">
      <c r="A132" s="5">
        <v>1730</v>
      </c>
      <c r="B132" s="5" t="s">
        <v>12</v>
      </c>
      <c r="E132"/>
      <c r="F132" s="90"/>
    </row>
    <row r="133" spans="1:6">
      <c r="A133" s="5">
        <v>1730</v>
      </c>
      <c r="B133" s="5" t="s">
        <v>13</v>
      </c>
      <c r="E133"/>
      <c r="F133" s="90"/>
    </row>
    <row r="134" spans="1:6">
      <c r="A134" s="5">
        <v>1730</v>
      </c>
      <c r="B134" s="5" t="s">
        <v>14</v>
      </c>
      <c r="C134" s="4">
        <v>63</v>
      </c>
      <c r="E134"/>
      <c r="F134" s="90"/>
    </row>
    <row r="135" spans="1:6">
      <c r="A135" s="5">
        <v>1730</v>
      </c>
      <c r="B135" s="5" t="s">
        <v>15</v>
      </c>
      <c r="E135"/>
      <c r="F135" s="90"/>
    </row>
    <row r="136" spans="1:6">
      <c r="A136" s="5">
        <v>1730</v>
      </c>
      <c r="B136" s="5" t="s">
        <v>16</v>
      </c>
      <c r="E136"/>
      <c r="F136" s="90"/>
    </row>
    <row r="137" spans="1:6">
      <c r="A137" s="5">
        <v>1730</v>
      </c>
      <c r="B137" s="5" t="s">
        <v>17</v>
      </c>
      <c r="E137"/>
      <c r="F137" s="90"/>
    </row>
    <row r="138" spans="1:6">
      <c r="A138" s="5">
        <v>1730</v>
      </c>
      <c r="B138" s="5" t="s">
        <v>18</v>
      </c>
      <c r="E138"/>
      <c r="F138" s="90"/>
    </row>
    <row r="139" spans="1:6">
      <c r="A139" s="5">
        <v>1730</v>
      </c>
      <c r="B139" s="5" t="s">
        <v>19</v>
      </c>
      <c r="E139"/>
      <c r="F139" s="90"/>
    </row>
    <row r="140" spans="1:6">
      <c r="A140" s="5">
        <v>1730</v>
      </c>
      <c r="B140" s="5" t="s">
        <v>20</v>
      </c>
      <c r="E140"/>
      <c r="F140" s="90"/>
    </row>
    <row r="141" spans="1:6">
      <c r="A141" s="5">
        <v>1731</v>
      </c>
      <c r="B141" s="5" t="s">
        <v>9</v>
      </c>
      <c r="C141" s="4">
        <v>53</v>
      </c>
      <c r="E141"/>
      <c r="F141" s="90"/>
    </row>
    <row r="142" spans="1:6">
      <c r="A142" s="5">
        <v>1731</v>
      </c>
      <c r="B142" s="5" t="s">
        <v>10</v>
      </c>
      <c r="E142"/>
      <c r="F142" s="90"/>
    </row>
    <row r="143" spans="1:6">
      <c r="A143" s="5">
        <v>1731</v>
      </c>
      <c r="B143" s="5" t="s">
        <v>11</v>
      </c>
      <c r="E143"/>
      <c r="F143" s="90"/>
    </row>
    <row r="144" spans="1:6">
      <c r="A144" s="5">
        <v>1731</v>
      </c>
      <c r="B144" s="5" t="s">
        <v>12</v>
      </c>
      <c r="E144"/>
      <c r="F144" s="90"/>
    </row>
    <row r="145" spans="1:6">
      <c r="A145" s="5">
        <v>1731</v>
      </c>
      <c r="B145" s="5" t="s">
        <v>13</v>
      </c>
      <c r="C145" s="4">
        <v>50</v>
      </c>
      <c r="E145"/>
      <c r="F145" s="90"/>
    </row>
    <row r="146" spans="1:6">
      <c r="A146" s="5">
        <v>1731</v>
      </c>
      <c r="B146" s="5" t="s">
        <v>14</v>
      </c>
      <c r="E146"/>
      <c r="F146" s="90"/>
    </row>
    <row r="147" spans="1:6">
      <c r="A147" s="5">
        <v>1731</v>
      </c>
      <c r="B147" s="5" t="s">
        <v>15</v>
      </c>
      <c r="E147"/>
      <c r="F147" s="90"/>
    </row>
    <row r="148" spans="1:6">
      <c r="A148" s="5">
        <v>1731</v>
      </c>
      <c r="B148" s="5" t="s">
        <v>16</v>
      </c>
      <c r="E148"/>
      <c r="F148" s="90"/>
    </row>
    <row r="149" spans="1:6">
      <c r="A149" s="5">
        <v>1731</v>
      </c>
      <c r="B149" s="5" t="s">
        <v>17</v>
      </c>
      <c r="E149"/>
      <c r="F149" s="90"/>
    </row>
    <row r="150" spans="1:6">
      <c r="A150" s="5">
        <v>1731</v>
      </c>
      <c r="B150" s="5" t="s">
        <v>18</v>
      </c>
      <c r="E150"/>
      <c r="F150" s="90"/>
    </row>
    <row r="151" spans="1:6">
      <c r="A151" s="5">
        <v>1731</v>
      </c>
      <c r="B151" s="5" t="s">
        <v>19</v>
      </c>
      <c r="E151"/>
      <c r="F151" s="90"/>
    </row>
    <row r="152" spans="1:6">
      <c r="A152" s="5">
        <v>1731</v>
      </c>
      <c r="B152" s="5" t="s">
        <v>20</v>
      </c>
      <c r="E152"/>
      <c r="F152" s="90"/>
    </row>
    <row r="153" spans="1:6">
      <c r="A153" s="5">
        <v>1732</v>
      </c>
      <c r="B153" s="5" t="s">
        <v>9</v>
      </c>
      <c r="E153"/>
      <c r="F153" s="90"/>
    </row>
    <row r="154" spans="1:6">
      <c r="A154" s="5">
        <v>1732</v>
      </c>
      <c r="B154" s="5" t="s">
        <v>10</v>
      </c>
      <c r="E154"/>
      <c r="F154" s="90"/>
    </row>
    <row r="155" spans="1:6">
      <c r="A155" s="5">
        <v>1732</v>
      </c>
      <c r="B155" s="5" t="s">
        <v>11</v>
      </c>
      <c r="E155"/>
      <c r="F155" s="90"/>
    </row>
    <row r="156" spans="1:6">
      <c r="A156" s="5">
        <v>1732</v>
      </c>
      <c r="B156" s="5" t="s">
        <v>12</v>
      </c>
      <c r="E156"/>
      <c r="F156" s="90"/>
    </row>
    <row r="157" spans="1:6">
      <c r="A157" s="5">
        <v>1732</v>
      </c>
      <c r="B157" s="5" t="s">
        <v>13</v>
      </c>
      <c r="E157"/>
      <c r="F157" s="90"/>
    </row>
    <row r="158" spans="1:6">
      <c r="A158" s="5">
        <v>1732</v>
      </c>
      <c r="B158" s="5" t="s">
        <v>14</v>
      </c>
      <c r="C158" s="4">
        <v>45</v>
      </c>
      <c r="E158"/>
      <c r="F158" s="90"/>
    </row>
    <row r="159" spans="1:6">
      <c r="A159" s="5">
        <v>1732</v>
      </c>
      <c r="B159" s="5" t="s">
        <v>15</v>
      </c>
      <c r="E159"/>
      <c r="F159" s="90"/>
    </row>
    <row r="160" spans="1:6">
      <c r="A160" s="5">
        <v>1732</v>
      </c>
      <c r="B160" s="5" t="s">
        <v>16</v>
      </c>
      <c r="E160"/>
      <c r="F160" s="90"/>
    </row>
    <row r="161" spans="1:6">
      <c r="A161" s="5">
        <v>1732</v>
      </c>
      <c r="B161" s="5" t="s">
        <v>17</v>
      </c>
      <c r="E161"/>
      <c r="F161" s="90"/>
    </row>
    <row r="162" spans="1:6">
      <c r="A162" s="5">
        <v>1732</v>
      </c>
      <c r="B162" s="5" t="s">
        <v>18</v>
      </c>
      <c r="C162" s="4">
        <v>47</v>
      </c>
      <c r="E162"/>
      <c r="F162" s="90"/>
    </row>
    <row r="163" spans="1:6">
      <c r="A163" s="5">
        <v>1732</v>
      </c>
      <c r="B163" s="5" t="s">
        <v>19</v>
      </c>
      <c r="E163"/>
      <c r="F163" s="90"/>
    </row>
    <row r="164" spans="1:6">
      <c r="A164" s="5">
        <v>1732</v>
      </c>
      <c r="B164" s="5" t="s">
        <v>20</v>
      </c>
      <c r="E164"/>
      <c r="F164" s="90"/>
    </row>
    <row r="165" spans="1:6">
      <c r="A165" s="5">
        <v>1733</v>
      </c>
      <c r="B165" s="5" t="s">
        <v>9</v>
      </c>
      <c r="E165"/>
      <c r="F165" s="90"/>
    </row>
    <row r="166" spans="1:6">
      <c r="A166" s="5">
        <v>1733</v>
      </c>
      <c r="B166" s="5" t="s">
        <v>10</v>
      </c>
      <c r="E166"/>
      <c r="F166" s="90"/>
    </row>
    <row r="167" spans="1:6">
      <c r="A167" s="5">
        <v>1733</v>
      </c>
      <c r="B167" s="5" t="s">
        <v>11</v>
      </c>
      <c r="E167"/>
      <c r="F167" s="90"/>
    </row>
    <row r="168" spans="1:6">
      <c r="A168" s="5">
        <v>1733</v>
      </c>
      <c r="B168" s="5" t="s">
        <v>12</v>
      </c>
      <c r="E168"/>
      <c r="F168" s="90"/>
    </row>
    <row r="169" spans="1:6">
      <c r="A169" s="5">
        <v>1733</v>
      </c>
      <c r="B169" s="5" t="s">
        <v>13</v>
      </c>
      <c r="E169"/>
      <c r="F169" s="90"/>
    </row>
    <row r="170" spans="1:6">
      <c r="A170" s="5">
        <v>1733</v>
      </c>
      <c r="B170" s="5" t="s">
        <v>14</v>
      </c>
      <c r="E170"/>
      <c r="F170" s="90"/>
    </row>
    <row r="171" spans="1:6">
      <c r="A171" s="5">
        <v>1733</v>
      </c>
      <c r="B171" s="5" t="s">
        <v>15</v>
      </c>
      <c r="E171"/>
      <c r="F171" s="90"/>
    </row>
    <row r="172" spans="1:6">
      <c r="A172" s="5">
        <v>1733</v>
      </c>
      <c r="B172" s="5" t="s">
        <v>16</v>
      </c>
      <c r="E172"/>
      <c r="F172" s="90"/>
    </row>
    <row r="173" spans="1:6">
      <c r="A173" s="5">
        <v>1733</v>
      </c>
      <c r="B173" s="5" t="s">
        <v>17</v>
      </c>
      <c r="E173"/>
      <c r="F173" s="90"/>
    </row>
    <row r="174" spans="1:6">
      <c r="A174" s="5">
        <v>1733</v>
      </c>
      <c r="B174" s="5" t="s">
        <v>18</v>
      </c>
      <c r="E174"/>
      <c r="F174" s="90"/>
    </row>
    <row r="175" spans="1:6">
      <c r="A175" s="5">
        <v>1733</v>
      </c>
      <c r="B175" s="5" t="s">
        <v>19</v>
      </c>
      <c r="E175"/>
      <c r="F175" s="90"/>
    </row>
    <row r="176" spans="1:6">
      <c r="A176" s="5">
        <v>1733</v>
      </c>
      <c r="B176" s="5" t="s">
        <v>20</v>
      </c>
      <c r="E176"/>
      <c r="F176" s="90"/>
    </row>
    <row r="177" spans="1:6">
      <c r="A177" s="5">
        <v>1734</v>
      </c>
      <c r="B177" s="5" t="s">
        <v>9</v>
      </c>
      <c r="E177"/>
      <c r="F177" s="90"/>
    </row>
    <row r="178" spans="1:6">
      <c r="A178" s="5">
        <v>1734</v>
      </c>
      <c r="B178" s="5" t="s">
        <v>10</v>
      </c>
      <c r="C178"/>
      <c r="D178"/>
      <c r="E178"/>
      <c r="F178" s="90"/>
    </row>
    <row r="179" spans="1:6">
      <c r="A179" s="5">
        <v>1734</v>
      </c>
      <c r="B179" s="5" t="s">
        <v>11</v>
      </c>
      <c r="C179"/>
      <c r="D179"/>
      <c r="E179"/>
      <c r="F179" s="90"/>
    </row>
    <row r="180" spans="1:6">
      <c r="A180" s="5">
        <v>1734</v>
      </c>
      <c r="B180" s="5" t="s">
        <v>12</v>
      </c>
      <c r="C180"/>
      <c r="D180"/>
      <c r="E180"/>
      <c r="F180" s="90"/>
    </row>
    <row r="181" spans="1:6">
      <c r="A181" s="5">
        <v>1734</v>
      </c>
      <c r="B181" s="5" t="s">
        <v>13</v>
      </c>
      <c r="C181"/>
      <c r="D181"/>
      <c r="E181"/>
      <c r="F181" s="90"/>
    </row>
    <row r="182" spans="1:6">
      <c r="A182" s="5">
        <v>1734</v>
      </c>
      <c r="B182" s="5" t="s">
        <v>14</v>
      </c>
      <c r="C182"/>
      <c r="D182"/>
      <c r="E182"/>
      <c r="F182" s="90"/>
    </row>
    <row r="183" spans="1:6">
      <c r="A183" s="5">
        <v>1734</v>
      </c>
      <c r="B183" s="5" t="s">
        <v>15</v>
      </c>
      <c r="C183"/>
      <c r="D183"/>
      <c r="E183"/>
      <c r="F183" s="90"/>
    </row>
    <row r="184" spans="1:6">
      <c r="A184" s="5">
        <v>1734</v>
      </c>
      <c r="B184" s="5" t="s">
        <v>16</v>
      </c>
      <c r="C184"/>
      <c r="D184"/>
      <c r="E184"/>
      <c r="F184" s="90"/>
    </row>
    <row r="185" spans="1:6">
      <c r="A185" s="5">
        <v>1734</v>
      </c>
      <c r="B185" s="5" t="s">
        <v>17</v>
      </c>
      <c r="C185"/>
      <c r="D185"/>
      <c r="E185"/>
      <c r="F185" s="90"/>
    </row>
    <row r="186" spans="1:6">
      <c r="A186" s="5">
        <v>1734</v>
      </c>
      <c r="B186" s="5" t="s">
        <v>18</v>
      </c>
      <c r="C186"/>
      <c r="D186"/>
      <c r="E186"/>
      <c r="F186" s="90"/>
    </row>
    <row r="187" spans="1:6">
      <c r="A187" s="5">
        <v>1734</v>
      </c>
      <c r="B187" s="5" t="s">
        <v>19</v>
      </c>
      <c r="C187"/>
      <c r="D187"/>
      <c r="E187"/>
      <c r="F187" s="90"/>
    </row>
    <row r="188" spans="1:6">
      <c r="A188" s="5">
        <v>1734</v>
      </c>
      <c r="B188" s="5" t="s">
        <v>20</v>
      </c>
      <c r="C188"/>
      <c r="D188"/>
      <c r="E188"/>
      <c r="F188" s="90"/>
    </row>
    <row r="189" spans="1:6">
      <c r="A189" s="5">
        <v>1735</v>
      </c>
      <c r="B189" s="5" t="s">
        <v>9</v>
      </c>
      <c r="C189"/>
      <c r="D189"/>
      <c r="E189"/>
      <c r="F189" s="90"/>
    </row>
    <row r="190" spans="1:6">
      <c r="A190" s="5">
        <v>1735</v>
      </c>
      <c r="B190" s="5" t="s">
        <v>10</v>
      </c>
      <c r="C190"/>
      <c r="D190"/>
      <c r="E190"/>
      <c r="F190" s="90"/>
    </row>
    <row r="191" spans="1:6">
      <c r="A191" s="5">
        <v>1735</v>
      </c>
      <c r="B191" s="5" t="s">
        <v>11</v>
      </c>
      <c r="C191"/>
      <c r="D191"/>
      <c r="E191"/>
      <c r="F191" s="90"/>
    </row>
    <row r="192" spans="1:6">
      <c r="A192" s="5">
        <v>1735</v>
      </c>
      <c r="B192" s="5" t="s">
        <v>12</v>
      </c>
      <c r="C192"/>
      <c r="D192"/>
      <c r="E192"/>
      <c r="F192" s="90"/>
    </row>
    <row r="193" spans="1:6">
      <c r="A193" s="5">
        <v>1735</v>
      </c>
      <c r="B193" s="5" t="s">
        <v>13</v>
      </c>
      <c r="C193"/>
      <c r="D193"/>
      <c r="E193"/>
      <c r="F193" s="90"/>
    </row>
    <row r="194" spans="1:6">
      <c r="A194" s="5">
        <v>1735</v>
      </c>
      <c r="B194" s="5" t="s">
        <v>14</v>
      </c>
      <c r="E194"/>
      <c r="F194" s="90"/>
    </row>
    <row r="195" spans="1:6">
      <c r="A195" s="5">
        <v>1735</v>
      </c>
      <c r="B195" s="5" t="s">
        <v>15</v>
      </c>
      <c r="E195"/>
      <c r="F195" s="90"/>
    </row>
    <row r="196" spans="1:6">
      <c r="A196" s="5">
        <v>1735</v>
      </c>
      <c r="B196" s="5" t="s">
        <v>16</v>
      </c>
      <c r="E196"/>
      <c r="F196" s="90"/>
    </row>
    <row r="197" spans="1:6">
      <c r="A197" s="5">
        <v>1735</v>
      </c>
      <c r="B197" s="5" t="s">
        <v>17</v>
      </c>
      <c r="E197"/>
      <c r="F197" s="90"/>
    </row>
    <row r="198" spans="1:6">
      <c r="A198" s="5">
        <v>1735</v>
      </c>
      <c r="B198" s="5" t="s">
        <v>18</v>
      </c>
      <c r="E198"/>
      <c r="F198" s="90"/>
    </row>
    <row r="199" spans="1:6">
      <c r="A199" s="5">
        <v>1735</v>
      </c>
      <c r="B199" s="5" t="s">
        <v>19</v>
      </c>
      <c r="E199"/>
      <c r="F199" s="90"/>
    </row>
    <row r="200" spans="1:6">
      <c r="A200" s="5">
        <v>1735</v>
      </c>
      <c r="B200" s="5" t="s">
        <v>20</v>
      </c>
      <c r="E200"/>
      <c r="F200" s="90"/>
    </row>
    <row r="201" spans="1:6">
      <c r="A201" s="5">
        <v>1736</v>
      </c>
      <c r="B201" s="5" t="s">
        <v>9</v>
      </c>
      <c r="E201"/>
      <c r="F201" s="90"/>
    </row>
    <row r="202" spans="1:6">
      <c r="A202" s="5">
        <v>1736</v>
      </c>
      <c r="B202" s="5" t="s">
        <v>10</v>
      </c>
      <c r="E202"/>
      <c r="F202" s="90"/>
    </row>
    <row r="203" spans="1:6">
      <c r="A203" s="5">
        <v>1736</v>
      </c>
      <c r="B203" s="5" t="s">
        <v>11</v>
      </c>
      <c r="C203" s="4">
        <v>45</v>
      </c>
      <c r="E203"/>
      <c r="F203" s="90"/>
    </row>
    <row r="204" spans="1:6">
      <c r="A204" s="5">
        <v>1736</v>
      </c>
      <c r="B204" s="5" t="s">
        <v>12</v>
      </c>
      <c r="C204" s="4">
        <v>44</v>
      </c>
      <c r="E204"/>
      <c r="F204" s="90"/>
    </row>
    <row r="205" spans="1:6">
      <c r="A205" s="5">
        <v>1736</v>
      </c>
      <c r="B205" s="5" t="s">
        <v>13</v>
      </c>
      <c r="C205" s="4">
        <v>44</v>
      </c>
      <c r="E205"/>
      <c r="F205" s="90"/>
    </row>
    <row r="206" spans="1:6">
      <c r="A206" s="5">
        <v>1736</v>
      </c>
      <c r="B206" s="5" t="s">
        <v>14</v>
      </c>
      <c r="E206"/>
      <c r="F206" s="90"/>
    </row>
    <row r="207" spans="1:6">
      <c r="A207" s="5">
        <v>1736</v>
      </c>
      <c r="B207" s="5" t="s">
        <v>15</v>
      </c>
      <c r="E207"/>
      <c r="F207" s="90"/>
    </row>
    <row r="208" spans="1:6">
      <c r="A208" s="5">
        <v>1736</v>
      </c>
      <c r="B208" s="5" t="s">
        <v>16</v>
      </c>
      <c r="C208" s="4">
        <v>49</v>
      </c>
      <c r="E208"/>
      <c r="F208" s="90"/>
    </row>
    <row r="209" spans="1:6">
      <c r="A209" s="5">
        <v>1736</v>
      </c>
      <c r="B209" s="5" t="s">
        <v>17</v>
      </c>
      <c r="E209"/>
      <c r="F209" s="90"/>
    </row>
    <row r="210" spans="1:6">
      <c r="A210" s="5">
        <v>1736</v>
      </c>
      <c r="B210" s="5" t="s">
        <v>18</v>
      </c>
      <c r="C210"/>
      <c r="D210"/>
      <c r="E210"/>
      <c r="F210" s="90"/>
    </row>
    <row r="211" spans="1:6">
      <c r="A211" s="5">
        <v>1736</v>
      </c>
      <c r="B211" s="5" t="s">
        <v>19</v>
      </c>
      <c r="C211"/>
      <c r="D211"/>
      <c r="E211"/>
      <c r="F211" s="90"/>
    </row>
    <row r="212" spans="1:6">
      <c r="A212" s="5">
        <v>1736</v>
      </c>
      <c r="B212" s="5" t="s">
        <v>20</v>
      </c>
      <c r="C212"/>
      <c r="D212"/>
      <c r="E212"/>
      <c r="F212" s="90"/>
    </row>
    <row r="213" spans="1:6">
      <c r="A213" s="5">
        <v>1737</v>
      </c>
      <c r="B213" s="5" t="s">
        <v>9</v>
      </c>
      <c r="C213"/>
      <c r="D213"/>
      <c r="E213"/>
      <c r="F213" s="90"/>
    </row>
    <row r="214" spans="1:6">
      <c r="A214" s="5">
        <v>1737</v>
      </c>
      <c r="B214" s="5" t="s">
        <v>10</v>
      </c>
      <c r="C214"/>
      <c r="D214"/>
      <c r="E214"/>
      <c r="F214" s="90"/>
    </row>
    <row r="215" spans="1:6">
      <c r="A215" s="5">
        <v>1737</v>
      </c>
      <c r="B215" s="5" t="s">
        <v>11</v>
      </c>
      <c r="C215"/>
      <c r="D215"/>
      <c r="E215"/>
      <c r="F215" s="90"/>
    </row>
    <row r="216" spans="1:6">
      <c r="A216" s="5">
        <v>1737</v>
      </c>
      <c r="B216" s="5" t="s">
        <v>12</v>
      </c>
      <c r="C216"/>
      <c r="D216"/>
      <c r="E216"/>
      <c r="F216" s="90"/>
    </row>
    <row r="217" spans="1:6">
      <c r="A217" s="5">
        <v>1737</v>
      </c>
      <c r="B217" s="5" t="s">
        <v>13</v>
      </c>
      <c r="C217"/>
      <c r="D217"/>
      <c r="E217"/>
      <c r="F217" s="90"/>
    </row>
    <row r="218" spans="1:6">
      <c r="A218" s="5">
        <v>1737</v>
      </c>
      <c r="B218" s="5" t="s">
        <v>14</v>
      </c>
      <c r="C218"/>
      <c r="D218"/>
      <c r="E218"/>
      <c r="F218" s="90"/>
    </row>
    <row r="219" spans="1:6">
      <c r="A219" s="5">
        <v>1737</v>
      </c>
      <c r="B219" s="5" t="s">
        <v>15</v>
      </c>
      <c r="C219"/>
      <c r="D219"/>
      <c r="E219"/>
      <c r="F219" s="90"/>
    </row>
    <row r="220" spans="1:6">
      <c r="A220" s="5">
        <v>1737</v>
      </c>
      <c r="B220" s="5" t="s">
        <v>16</v>
      </c>
      <c r="C220"/>
      <c r="D220"/>
      <c r="E220"/>
      <c r="F220" s="90"/>
    </row>
    <row r="221" spans="1:6">
      <c r="A221" s="5">
        <v>1737</v>
      </c>
      <c r="B221" s="5" t="s">
        <v>17</v>
      </c>
      <c r="C221"/>
      <c r="D221"/>
      <c r="E221"/>
      <c r="F221" s="90"/>
    </row>
    <row r="222" spans="1:6">
      <c r="A222" s="5">
        <v>1737</v>
      </c>
      <c r="B222" s="5" t="s">
        <v>18</v>
      </c>
      <c r="C222"/>
      <c r="D222"/>
      <c r="E222"/>
      <c r="F222" s="90"/>
    </row>
    <row r="223" spans="1:6">
      <c r="A223" s="5">
        <v>1737</v>
      </c>
      <c r="B223" s="5" t="s">
        <v>19</v>
      </c>
      <c r="C223"/>
      <c r="D223"/>
      <c r="E223"/>
      <c r="F223" s="90"/>
    </row>
    <row r="224" spans="1:6">
      <c r="A224" s="5">
        <v>1737</v>
      </c>
      <c r="B224" s="5" t="s">
        <v>20</v>
      </c>
      <c r="C224"/>
      <c r="D224"/>
      <c r="E224"/>
      <c r="F224" s="90"/>
    </row>
    <row r="225" spans="1:6">
      <c r="A225" s="5">
        <v>1738</v>
      </c>
      <c r="B225" s="5" t="s">
        <v>9</v>
      </c>
      <c r="C225"/>
      <c r="D225"/>
      <c r="E225"/>
      <c r="F225" s="90"/>
    </row>
    <row r="226" spans="1:6">
      <c r="A226" s="5">
        <v>1738</v>
      </c>
      <c r="B226" s="5" t="s">
        <v>10</v>
      </c>
      <c r="C226"/>
      <c r="D226"/>
      <c r="E226"/>
      <c r="F226" s="90"/>
    </row>
    <row r="227" spans="1:6">
      <c r="A227" s="5">
        <v>1738</v>
      </c>
      <c r="B227" s="5" t="s">
        <v>11</v>
      </c>
      <c r="C227"/>
      <c r="D227"/>
      <c r="E227"/>
      <c r="F227" s="90"/>
    </row>
    <row r="228" spans="1:6">
      <c r="A228" s="5">
        <v>1738</v>
      </c>
      <c r="B228" s="5" t="s">
        <v>12</v>
      </c>
      <c r="C228"/>
      <c r="D228"/>
      <c r="E228"/>
      <c r="F228" s="90"/>
    </row>
    <row r="229" spans="1:6">
      <c r="A229" s="5">
        <v>1738</v>
      </c>
      <c r="B229" s="5" t="s">
        <v>13</v>
      </c>
      <c r="C229"/>
      <c r="D229"/>
      <c r="E229"/>
      <c r="F229" s="90"/>
    </row>
    <row r="230" spans="1:6">
      <c r="A230" s="5">
        <v>1738</v>
      </c>
      <c r="B230" s="5" t="s">
        <v>14</v>
      </c>
      <c r="C230"/>
      <c r="D230"/>
      <c r="E230"/>
      <c r="F230" s="90"/>
    </row>
    <row r="231" spans="1:6">
      <c r="A231" s="5">
        <v>1738</v>
      </c>
      <c r="B231" s="5" t="s">
        <v>15</v>
      </c>
      <c r="C231"/>
      <c r="D231"/>
      <c r="E231"/>
      <c r="F231" s="90"/>
    </row>
    <row r="232" spans="1:6">
      <c r="A232" s="5">
        <v>1738</v>
      </c>
      <c r="B232" s="5" t="s">
        <v>16</v>
      </c>
      <c r="C232"/>
      <c r="D232"/>
      <c r="E232"/>
      <c r="F232" s="90"/>
    </row>
    <row r="233" spans="1:6">
      <c r="A233" s="5">
        <v>1738</v>
      </c>
      <c r="B233" s="5" t="s">
        <v>17</v>
      </c>
      <c r="C233"/>
      <c r="D233"/>
      <c r="E233"/>
      <c r="F233" s="90"/>
    </row>
    <row r="234" spans="1:6">
      <c r="A234" s="5">
        <v>1738</v>
      </c>
      <c r="B234" s="5" t="s">
        <v>18</v>
      </c>
      <c r="C234"/>
      <c r="D234"/>
      <c r="E234"/>
      <c r="F234" s="90"/>
    </row>
    <row r="235" spans="1:6">
      <c r="A235" s="5">
        <v>1738</v>
      </c>
      <c r="B235" s="5" t="s">
        <v>19</v>
      </c>
      <c r="C235"/>
      <c r="D235"/>
      <c r="E235"/>
      <c r="F235" s="90"/>
    </row>
    <row r="236" spans="1:6">
      <c r="A236" s="5">
        <v>1738</v>
      </c>
      <c r="B236" s="5" t="s">
        <v>20</v>
      </c>
      <c r="C236"/>
      <c r="D236"/>
      <c r="E236"/>
      <c r="F236" s="90"/>
    </row>
    <row r="237" spans="1:6">
      <c r="A237" s="5">
        <v>1739</v>
      </c>
      <c r="B237" s="5" t="s">
        <v>9</v>
      </c>
      <c r="C237"/>
      <c r="D237"/>
      <c r="E237"/>
      <c r="F237" s="90"/>
    </row>
    <row r="238" spans="1:6">
      <c r="A238" s="5">
        <v>1739</v>
      </c>
      <c r="B238" s="5" t="s">
        <v>10</v>
      </c>
      <c r="C238"/>
      <c r="D238"/>
      <c r="E238"/>
      <c r="F238" s="90"/>
    </row>
    <row r="239" spans="1:6">
      <c r="A239" s="5">
        <v>1739</v>
      </c>
      <c r="B239" s="5" t="s">
        <v>11</v>
      </c>
      <c r="C239"/>
      <c r="D239"/>
      <c r="E239"/>
      <c r="F239" s="90"/>
    </row>
    <row r="240" spans="1:6">
      <c r="A240" s="5">
        <v>1739</v>
      </c>
      <c r="B240" s="5" t="s">
        <v>12</v>
      </c>
      <c r="C240"/>
      <c r="D240"/>
      <c r="E240"/>
      <c r="F240" s="90"/>
    </row>
    <row r="241" spans="1:6">
      <c r="A241" s="5">
        <v>1739</v>
      </c>
      <c r="B241" s="5" t="s">
        <v>13</v>
      </c>
      <c r="C241"/>
      <c r="D241"/>
      <c r="E241"/>
      <c r="F241" s="90"/>
    </row>
    <row r="242" spans="1:6">
      <c r="A242" s="5">
        <v>1739</v>
      </c>
      <c r="B242" s="5" t="s">
        <v>14</v>
      </c>
      <c r="E242"/>
      <c r="F242" s="90"/>
    </row>
    <row r="243" spans="1:6">
      <c r="A243" s="5">
        <v>1739</v>
      </c>
      <c r="B243" s="5" t="s">
        <v>15</v>
      </c>
      <c r="E243"/>
      <c r="F243" s="90"/>
    </row>
    <row r="244" spans="1:6">
      <c r="A244" s="5">
        <v>1739</v>
      </c>
      <c r="B244" s="5" t="s">
        <v>16</v>
      </c>
      <c r="E244"/>
      <c r="F244" s="90"/>
    </row>
    <row r="245" spans="1:6">
      <c r="A245" s="5">
        <v>1739</v>
      </c>
      <c r="B245" s="5" t="s">
        <v>17</v>
      </c>
      <c r="C245" s="4">
        <v>53</v>
      </c>
      <c r="E245"/>
      <c r="F245" s="90"/>
    </row>
    <row r="246" spans="1:6">
      <c r="A246" s="5">
        <v>1739</v>
      </c>
      <c r="B246" s="5" t="s">
        <v>18</v>
      </c>
      <c r="C246" s="4">
        <v>50</v>
      </c>
      <c r="E246"/>
      <c r="F246" s="90"/>
    </row>
    <row r="247" spans="1:6">
      <c r="A247" s="5">
        <v>1739</v>
      </c>
      <c r="B247" s="5" t="s">
        <v>19</v>
      </c>
      <c r="C247" s="4">
        <v>50</v>
      </c>
      <c r="E247"/>
      <c r="F247" s="90"/>
    </row>
    <row r="248" spans="1:6">
      <c r="A248" s="5">
        <v>1739</v>
      </c>
      <c r="B248" s="5" t="s">
        <v>20</v>
      </c>
      <c r="E248"/>
      <c r="F248" s="90"/>
    </row>
    <row r="249" spans="1:6">
      <c r="A249" s="5">
        <v>1740</v>
      </c>
      <c r="B249" s="5" t="s">
        <v>9</v>
      </c>
      <c r="E249"/>
      <c r="F249" s="90"/>
    </row>
    <row r="250" spans="1:6">
      <c r="A250" s="5">
        <v>1740</v>
      </c>
      <c r="B250" s="5" t="s">
        <v>10</v>
      </c>
      <c r="E250"/>
      <c r="F250" s="90"/>
    </row>
    <row r="251" spans="1:6">
      <c r="A251" s="5">
        <v>1740</v>
      </c>
      <c r="B251" s="5" t="s">
        <v>11</v>
      </c>
      <c r="C251" s="4">
        <v>53</v>
      </c>
      <c r="E251"/>
      <c r="F251" s="90"/>
    </row>
    <row r="252" spans="1:6">
      <c r="A252" s="5">
        <v>1740</v>
      </c>
      <c r="B252" s="5" t="s">
        <v>12</v>
      </c>
      <c r="E252"/>
      <c r="F252" s="90"/>
    </row>
    <row r="253" spans="1:6">
      <c r="A253" s="5">
        <v>1740</v>
      </c>
      <c r="B253" s="5" t="s">
        <v>13</v>
      </c>
      <c r="E253"/>
      <c r="F253" s="90"/>
    </row>
    <row r="254" spans="1:6">
      <c r="A254" s="5">
        <v>1740</v>
      </c>
      <c r="B254" s="5" t="s">
        <v>14</v>
      </c>
      <c r="E254"/>
      <c r="F254" s="90"/>
    </row>
    <row r="255" spans="1:6">
      <c r="A255" s="5">
        <v>1740</v>
      </c>
      <c r="B255" s="5" t="s">
        <v>15</v>
      </c>
      <c r="E255"/>
      <c r="F255" s="90"/>
    </row>
    <row r="256" spans="1:6">
      <c r="A256" s="5">
        <v>1740</v>
      </c>
      <c r="B256" s="5" t="s">
        <v>16</v>
      </c>
      <c r="E256"/>
      <c r="F256" s="90"/>
    </row>
    <row r="257" spans="1:6">
      <c r="A257" s="5">
        <v>1740</v>
      </c>
      <c r="B257" s="5" t="s">
        <v>17</v>
      </c>
      <c r="E257"/>
      <c r="F257" s="90"/>
    </row>
    <row r="258" spans="1:6">
      <c r="A258" s="5">
        <v>1740</v>
      </c>
      <c r="B258" s="5" t="s">
        <v>18</v>
      </c>
      <c r="C258"/>
      <c r="D258"/>
      <c r="E258"/>
      <c r="F258" s="90"/>
    </row>
    <row r="259" spans="1:6">
      <c r="A259" s="5">
        <v>1740</v>
      </c>
      <c r="B259" s="5" t="s">
        <v>19</v>
      </c>
      <c r="C259"/>
      <c r="D259"/>
      <c r="E259"/>
      <c r="F259" s="90"/>
    </row>
    <row r="260" spans="1:6">
      <c r="A260" s="5">
        <v>1740</v>
      </c>
      <c r="B260" s="5" t="s">
        <v>20</v>
      </c>
      <c r="C260"/>
      <c r="D260"/>
      <c r="E260"/>
      <c r="F260" s="90"/>
    </row>
    <row r="261" spans="1:6">
      <c r="A261" s="5">
        <v>1741</v>
      </c>
      <c r="B261" s="5" t="s">
        <v>9</v>
      </c>
      <c r="C261"/>
      <c r="D261"/>
      <c r="E261"/>
      <c r="F261" s="90"/>
    </row>
    <row r="262" spans="1:6">
      <c r="A262" s="5">
        <v>1741</v>
      </c>
      <c r="B262" s="5" t="s">
        <v>10</v>
      </c>
      <c r="C262"/>
      <c r="D262"/>
      <c r="E262"/>
      <c r="F262" s="90"/>
    </row>
    <row r="263" spans="1:6">
      <c r="A263" s="5">
        <v>1741</v>
      </c>
      <c r="B263" s="5" t="s">
        <v>11</v>
      </c>
      <c r="C263"/>
      <c r="D263"/>
      <c r="E263"/>
      <c r="F263" s="90"/>
    </row>
    <row r="264" spans="1:6">
      <c r="A264" s="5">
        <v>1741</v>
      </c>
      <c r="B264" s="5" t="s">
        <v>12</v>
      </c>
      <c r="C264"/>
      <c r="D264"/>
      <c r="E264"/>
      <c r="F264" s="90"/>
    </row>
    <row r="265" spans="1:6">
      <c r="A265" s="5">
        <v>1741</v>
      </c>
      <c r="B265" s="5" t="s">
        <v>13</v>
      </c>
      <c r="C265"/>
      <c r="D265"/>
      <c r="E265"/>
      <c r="F265" s="90"/>
    </row>
    <row r="266" spans="1:6">
      <c r="A266" s="5">
        <v>1741</v>
      </c>
      <c r="B266" s="5" t="s">
        <v>14</v>
      </c>
      <c r="C266"/>
      <c r="D266"/>
      <c r="E266"/>
      <c r="F266" s="90"/>
    </row>
    <row r="267" spans="1:6">
      <c r="A267" s="5">
        <v>1741</v>
      </c>
      <c r="B267" s="5" t="s">
        <v>15</v>
      </c>
      <c r="C267"/>
      <c r="D267"/>
      <c r="E267"/>
      <c r="F267" s="90"/>
    </row>
    <row r="268" spans="1:6">
      <c r="A268" s="5">
        <v>1741</v>
      </c>
      <c r="B268" s="5" t="s">
        <v>16</v>
      </c>
      <c r="C268"/>
      <c r="D268"/>
      <c r="E268"/>
      <c r="F268" s="90"/>
    </row>
    <row r="269" spans="1:6">
      <c r="A269" s="5">
        <v>1741</v>
      </c>
      <c r="B269" s="5" t="s">
        <v>17</v>
      </c>
      <c r="C269"/>
      <c r="D269"/>
      <c r="E269"/>
      <c r="F269" s="90"/>
    </row>
    <row r="270" spans="1:6">
      <c r="A270" s="5">
        <v>1741</v>
      </c>
      <c r="B270" s="5" t="s">
        <v>18</v>
      </c>
      <c r="C270"/>
      <c r="D270"/>
      <c r="E270"/>
      <c r="F270" s="90"/>
    </row>
    <row r="271" spans="1:6">
      <c r="A271" s="5">
        <v>1741</v>
      </c>
      <c r="B271" s="5" t="s">
        <v>19</v>
      </c>
      <c r="C271"/>
      <c r="D271"/>
      <c r="E271"/>
      <c r="F271" s="90"/>
    </row>
    <row r="272" spans="1:6">
      <c r="A272" s="5">
        <v>1741</v>
      </c>
      <c r="B272" s="5" t="s">
        <v>20</v>
      </c>
      <c r="C272"/>
      <c r="D272"/>
      <c r="E272"/>
      <c r="F272" s="90"/>
    </row>
    <row r="273" spans="1:6">
      <c r="A273" s="5">
        <v>1742</v>
      </c>
      <c r="B273" s="5" t="s">
        <v>9</v>
      </c>
      <c r="C273"/>
      <c r="D273"/>
      <c r="E273"/>
      <c r="F273" s="90"/>
    </row>
    <row r="274" spans="1:6">
      <c r="A274" s="5">
        <v>1742</v>
      </c>
      <c r="B274" s="5" t="s">
        <v>10</v>
      </c>
      <c r="C274"/>
      <c r="D274"/>
      <c r="E274"/>
      <c r="F274" s="90"/>
    </row>
    <row r="275" spans="1:6">
      <c r="A275" s="5">
        <v>1742</v>
      </c>
      <c r="B275" s="5" t="s">
        <v>11</v>
      </c>
      <c r="C275"/>
      <c r="D275"/>
      <c r="E275"/>
      <c r="F275" s="90"/>
    </row>
    <row r="276" spans="1:6">
      <c r="A276" s="5">
        <v>1742</v>
      </c>
      <c r="B276" s="5" t="s">
        <v>12</v>
      </c>
      <c r="C276"/>
      <c r="D276"/>
      <c r="E276"/>
      <c r="F276" s="90"/>
    </row>
    <row r="277" spans="1:6">
      <c r="A277" s="5">
        <v>1742</v>
      </c>
      <c r="B277" s="5" t="s">
        <v>13</v>
      </c>
      <c r="C277"/>
      <c r="D277"/>
      <c r="E277"/>
      <c r="F277" s="90"/>
    </row>
    <row r="278" spans="1:6">
      <c r="A278" s="5">
        <v>1742</v>
      </c>
      <c r="B278" s="5" t="s">
        <v>14</v>
      </c>
      <c r="C278"/>
      <c r="D278"/>
      <c r="E278"/>
      <c r="F278" s="90"/>
    </row>
    <row r="279" spans="1:6">
      <c r="A279" s="5">
        <v>1742</v>
      </c>
      <c r="B279" s="5" t="s">
        <v>15</v>
      </c>
      <c r="C279"/>
      <c r="D279"/>
      <c r="E279"/>
      <c r="F279" s="90"/>
    </row>
    <row r="280" spans="1:6">
      <c r="A280" s="5">
        <v>1742</v>
      </c>
      <c r="B280" s="5" t="s">
        <v>16</v>
      </c>
      <c r="C280"/>
      <c r="D280"/>
      <c r="E280"/>
      <c r="F280" s="90"/>
    </row>
    <row r="281" spans="1:6">
      <c r="A281" s="5">
        <v>1742</v>
      </c>
      <c r="B281" s="5" t="s">
        <v>17</v>
      </c>
      <c r="C281"/>
      <c r="D281"/>
      <c r="E281"/>
      <c r="F281" s="90"/>
    </row>
    <row r="282" spans="1:6">
      <c r="A282" s="5">
        <v>1742</v>
      </c>
      <c r="B282" s="5" t="s">
        <v>18</v>
      </c>
      <c r="C282"/>
      <c r="D282"/>
      <c r="E282"/>
      <c r="F282" s="90"/>
    </row>
    <row r="283" spans="1:6">
      <c r="A283" s="5">
        <v>1742</v>
      </c>
      <c r="B283" s="5" t="s">
        <v>19</v>
      </c>
      <c r="C283"/>
      <c r="D283"/>
      <c r="E283"/>
      <c r="F283" s="90"/>
    </row>
    <row r="284" spans="1:6">
      <c r="A284" s="5">
        <v>1742</v>
      </c>
      <c r="B284" s="5" t="s">
        <v>20</v>
      </c>
      <c r="C284"/>
      <c r="D284"/>
      <c r="E284"/>
      <c r="F284" s="90"/>
    </row>
    <row r="285" spans="1:6">
      <c r="A285" s="5">
        <v>1743</v>
      </c>
      <c r="B285" s="5" t="s">
        <v>9</v>
      </c>
      <c r="C285"/>
      <c r="D285"/>
      <c r="E285"/>
      <c r="F285" s="90"/>
    </row>
    <row r="286" spans="1:6">
      <c r="A286" s="5">
        <v>1743</v>
      </c>
      <c r="B286" s="5" t="s">
        <v>10</v>
      </c>
      <c r="C286"/>
      <c r="D286"/>
      <c r="E286"/>
      <c r="F286" s="90"/>
    </row>
    <row r="287" spans="1:6">
      <c r="A287" s="5">
        <v>1743</v>
      </c>
      <c r="B287" s="5" t="s">
        <v>11</v>
      </c>
      <c r="C287"/>
      <c r="D287"/>
      <c r="E287"/>
      <c r="F287" s="90"/>
    </row>
    <row r="288" spans="1:6">
      <c r="A288" s="5">
        <v>1743</v>
      </c>
      <c r="B288" s="5" t="s">
        <v>12</v>
      </c>
      <c r="C288"/>
      <c r="D288"/>
      <c r="E288"/>
      <c r="F288" s="90"/>
    </row>
    <row r="289" spans="1:6">
      <c r="A289" s="5">
        <v>1743</v>
      </c>
      <c r="B289" s="5" t="s">
        <v>13</v>
      </c>
      <c r="C289"/>
      <c r="D289"/>
      <c r="E289"/>
      <c r="F289" s="90"/>
    </row>
    <row r="290" spans="1:6">
      <c r="A290" s="5">
        <v>1743</v>
      </c>
      <c r="B290" s="5" t="s">
        <v>14</v>
      </c>
      <c r="C290"/>
      <c r="D290"/>
      <c r="E290"/>
      <c r="F290" s="90"/>
    </row>
    <row r="291" spans="1:6">
      <c r="A291" s="5">
        <v>1743</v>
      </c>
      <c r="B291" s="5" t="s">
        <v>15</v>
      </c>
      <c r="C291"/>
      <c r="D291"/>
      <c r="E291"/>
      <c r="F291" s="90"/>
    </row>
    <row r="292" spans="1:6">
      <c r="A292" s="5">
        <v>1743</v>
      </c>
      <c r="B292" s="5" t="s">
        <v>16</v>
      </c>
      <c r="C292"/>
      <c r="D292"/>
      <c r="E292"/>
      <c r="F292" s="90"/>
    </row>
    <row r="293" spans="1:6">
      <c r="A293" s="5">
        <v>1743</v>
      </c>
      <c r="B293" s="5" t="s">
        <v>17</v>
      </c>
      <c r="C293"/>
      <c r="D293"/>
      <c r="E293"/>
      <c r="F293" s="90"/>
    </row>
    <row r="294" spans="1:6">
      <c r="A294" s="5">
        <v>1743</v>
      </c>
      <c r="B294" s="5" t="s">
        <v>18</v>
      </c>
      <c r="C294"/>
      <c r="D294"/>
      <c r="E294"/>
      <c r="F294" s="90"/>
    </row>
    <row r="295" spans="1:6">
      <c r="A295" s="5">
        <v>1743</v>
      </c>
      <c r="B295" s="5" t="s">
        <v>19</v>
      </c>
      <c r="C295"/>
      <c r="D295"/>
      <c r="E295"/>
      <c r="F295" s="90"/>
    </row>
    <row r="296" spans="1:6">
      <c r="A296" s="5">
        <v>1743</v>
      </c>
      <c r="B296" s="5" t="s">
        <v>20</v>
      </c>
      <c r="C296"/>
      <c r="D296"/>
      <c r="E296"/>
      <c r="F296" s="90"/>
    </row>
    <row r="297" spans="1:6">
      <c r="A297" s="5">
        <v>1744</v>
      </c>
      <c r="B297" s="5" t="s">
        <v>9</v>
      </c>
      <c r="C297"/>
      <c r="D297"/>
      <c r="E297"/>
      <c r="F297" s="90"/>
    </row>
    <row r="298" spans="1:6">
      <c r="A298" s="5">
        <v>1744</v>
      </c>
      <c r="B298" s="5" t="s">
        <v>10</v>
      </c>
      <c r="C298"/>
      <c r="D298"/>
      <c r="E298"/>
      <c r="F298" s="90"/>
    </row>
    <row r="299" spans="1:6">
      <c r="A299" s="5">
        <v>1744</v>
      </c>
      <c r="B299" s="5" t="s">
        <v>11</v>
      </c>
      <c r="C299"/>
      <c r="D299"/>
      <c r="E299"/>
      <c r="F299" s="90"/>
    </row>
    <row r="300" spans="1:6">
      <c r="A300" s="5">
        <v>1744</v>
      </c>
      <c r="B300" s="5" t="s">
        <v>12</v>
      </c>
      <c r="C300"/>
      <c r="D300"/>
      <c r="E300"/>
      <c r="F300" s="90"/>
    </row>
    <row r="301" spans="1:6">
      <c r="A301" s="5">
        <v>1744</v>
      </c>
      <c r="B301" s="5" t="s">
        <v>13</v>
      </c>
      <c r="C301"/>
      <c r="D301"/>
      <c r="E301"/>
      <c r="F301" s="90"/>
    </row>
    <row r="302" spans="1:6">
      <c r="A302" s="5">
        <v>1744</v>
      </c>
      <c r="B302" s="5" t="s">
        <v>14</v>
      </c>
      <c r="C302"/>
      <c r="D302"/>
      <c r="E302"/>
      <c r="F302" s="90"/>
    </row>
    <row r="303" spans="1:6">
      <c r="A303" s="5">
        <v>1744</v>
      </c>
      <c r="B303" s="5" t="s">
        <v>15</v>
      </c>
      <c r="C303"/>
      <c r="D303"/>
      <c r="E303"/>
      <c r="F303" s="90"/>
    </row>
    <row r="304" spans="1:6">
      <c r="A304" s="5">
        <v>1744</v>
      </c>
      <c r="B304" s="5" t="s">
        <v>16</v>
      </c>
      <c r="C304"/>
      <c r="D304"/>
      <c r="E304"/>
      <c r="F304" s="90"/>
    </row>
    <row r="305" spans="1:6">
      <c r="A305" s="5">
        <v>1744</v>
      </c>
      <c r="B305" s="5" t="s">
        <v>17</v>
      </c>
      <c r="C305"/>
      <c r="D305"/>
      <c r="E305"/>
      <c r="F305" s="90"/>
    </row>
    <row r="306" spans="1:6">
      <c r="A306" s="5">
        <v>1744</v>
      </c>
      <c r="B306" s="5" t="s">
        <v>18</v>
      </c>
      <c r="E306"/>
      <c r="F306" s="90"/>
    </row>
    <row r="307" spans="1:6">
      <c r="A307" s="5">
        <v>1744</v>
      </c>
      <c r="B307" s="5" t="s">
        <v>19</v>
      </c>
      <c r="E307"/>
      <c r="F307" s="90"/>
    </row>
    <row r="308" spans="1:6">
      <c r="A308" s="5">
        <v>1744</v>
      </c>
      <c r="B308" s="5" t="s">
        <v>20</v>
      </c>
      <c r="C308" s="4">
        <v>43</v>
      </c>
      <c r="E308"/>
      <c r="F308" s="90"/>
    </row>
    <row r="309" spans="1:6">
      <c r="A309" s="5">
        <v>1745</v>
      </c>
      <c r="B309" s="5" t="s">
        <v>9</v>
      </c>
      <c r="C309" s="4">
        <v>42</v>
      </c>
      <c r="E309"/>
      <c r="F309" s="90"/>
    </row>
    <row r="310" spans="1:6">
      <c r="A310" s="5">
        <v>1745</v>
      </c>
      <c r="B310" s="5" t="s">
        <v>10</v>
      </c>
      <c r="E310"/>
      <c r="F310" s="90"/>
    </row>
    <row r="311" spans="1:6">
      <c r="A311" s="5">
        <v>1745</v>
      </c>
      <c r="B311" s="5" t="s">
        <v>11</v>
      </c>
      <c r="E311"/>
      <c r="F311" s="90"/>
    </row>
    <row r="312" spans="1:6">
      <c r="A312" s="5">
        <v>1745</v>
      </c>
      <c r="B312" s="5" t="s">
        <v>12</v>
      </c>
      <c r="E312"/>
      <c r="F312" s="90"/>
    </row>
    <row r="313" spans="1:6">
      <c r="A313" s="5">
        <v>1745</v>
      </c>
      <c r="B313" s="5" t="s">
        <v>13</v>
      </c>
      <c r="E313"/>
      <c r="F313" s="90"/>
    </row>
    <row r="314" spans="1:6">
      <c r="A314" s="5">
        <v>1745</v>
      </c>
      <c r="B314" s="5" t="s">
        <v>14</v>
      </c>
      <c r="E314"/>
      <c r="F314" s="90"/>
    </row>
    <row r="315" spans="1:6">
      <c r="A315" s="5">
        <v>1745</v>
      </c>
      <c r="B315" s="5" t="s">
        <v>15</v>
      </c>
      <c r="E315"/>
      <c r="F315" s="90"/>
    </row>
    <row r="316" spans="1:6">
      <c r="A316" s="5">
        <v>1745</v>
      </c>
      <c r="B316" s="5" t="s">
        <v>16</v>
      </c>
      <c r="C316" s="4">
        <v>44</v>
      </c>
      <c r="E316"/>
      <c r="F316" s="90"/>
    </row>
    <row r="317" spans="1:6">
      <c r="A317" s="5">
        <v>1745</v>
      </c>
      <c r="B317" s="5" t="s">
        <v>17</v>
      </c>
      <c r="E317"/>
      <c r="F317" s="90"/>
    </row>
    <row r="318" spans="1:6">
      <c r="A318" s="5">
        <v>1745</v>
      </c>
      <c r="B318" s="5" t="s">
        <v>18</v>
      </c>
      <c r="E318"/>
      <c r="F318" s="90"/>
    </row>
    <row r="319" spans="1:6">
      <c r="A319" s="5">
        <v>1745</v>
      </c>
      <c r="B319" s="5" t="s">
        <v>19</v>
      </c>
      <c r="E319"/>
      <c r="F319" s="90"/>
    </row>
    <row r="320" spans="1:6">
      <c r="A320" s="5">
        <v>1745</v>
      </c>
      <c r="B320" s="5" t="s">
        <v>20</v>
      </c>
      <c r="C320" s="4">
        <v>50</v>
      </c>
      <c r="E320"/>
      <c r="F320" s="90">
        <f t="shared" ref="F320" si="2">(C320-C308)/C308</f>
        <v>0.16279069767441862</v>
      </c>
    </row>
    <row r="321" spans="1:6">
      <c r="A321" s="5">
        <v>1746</v>
      </c>
      <c r="B321" s="5" t="s">
        <v>9</v>
      </c>
      <c r="E321"/>
      <c r="F321" s="90"/>
    </row>
    <row r="322" spans="1:6">
      <c r="A322" s="5">
        <v>1746</v>
      </c>
      <c r="B322" s="5" t="s">
        <v>10</v>
      </c>
      <c r="C322"/>
      <c r="D322"/>
      <c r="E322"/>
      <c r="F322" s="90"/>
    </row>
    <row r="323" spans="1:6">
      <c r="A323" s="5">
        <v>1746</v>
      </c>
      <c r="B323" s="5" t="s">
        <v>11</v>
      </c>
      <c r="C323"/>
      <c r="D323"/>
      <c r="E323"/>
      <c r="F323" s="90"/>
    </row>
    <row r="324" spans="1:6">
      <c r="A324" s="5">
        <v>1746</v>
      </c>
      <c r="B324" s="5" t="s">
        <v>12</v>
      </c>
      <c r="C324"/>
      <c r="D324"/>
      <c r="E324"/>
      <c r="F324" s="90"/>
    </row>
    <row r="325" spans="1:6">
      <c r="A325" s="5">
        <v>1746</v>
      </c>
      <c r="B325" s="5" t="s">
        <v>13</v>
      </c>
      <c r="C325"/>
      <c r="D325"/>
      <c r="E325"/>
      <c r="F325" s="90"/>
    </row>
    <row r="326" spans="1:6">
      <c r="A326" s="5">
        <v>1746</v>
      </c>
      <c r="B326" s="5" t="s">
        <v>14</v>
      </c>
      <c r="C326"/>
      <c r="D326"/>
      <c r="E326"/>
      <c r="F326" s="90"/>
    </row>
    <row r="327" spans="1:6">
      <c r="A327" s="5">
        <v>1746</v>
      </c>
      <c r="B327" s="5" t="s">
        <v>15</v>
      </c>
      <c r="C327"/>
      <c r="D327"/>
      <c r="E327"/>
      <c r="F327" s="90"/>
    </row>
    <row r="328" spans="1:6">
      <c r="A328" s="5">
        <v>1746</v>
      </c>
      <c r="B328" s="5" t="s">
        <v>16</v>
      </c>
      <c r="C328"/>
      <c r="D328"/>
      <c r="E328"/>
      <c r="F328" s="90"/>
    </row>
    <row r="329" spans="1:6">
      <c r="A329" s="5">
        <v>1746</v>
      </c>
      <c r="B329" s="5" t="s">
        <v>17</v>
      </c>
      <c r="C329"/>
      <c r="D329"/>
      <c r="E329"/>
      <c r="F329" s="90"/>
    </row>
    <row r="330" spans="1:6">
      <c r="A330" s="5">
        <v>1746</v>
      </c>
      <c r="B330" s="5" t="s">
        <v>18</v>
      </c>
      <c r="C330"/>
      <c r="D330"/>
      <c r="E330"/>
      <c r="F330" s="90"/>
    </row>
    <row r="331" spans="1:6">
      <c r="A331" s="5">
        <v>1746</v>
      </c>
      <c r="B331" s="5" t="s">
        <v>19</v>
      </c>
      <c r="C331"/>
      <c r="D331"/>
      <c r="E331"/>
      <c r="F331" s="90"/>
    </row>
    <row r="332" spans="1:6">
      <c r="A332" s="5">
        <v>1746</v>
      </c>
      <c r="B332" s="5" t="s">
        <v>20</v>
      </c>
      <c r="C332"/>
      <c r="D332"/>
      <c r="E332"/>
      <c r="F332" s="90"/>
    </row>
    <row r="333" spans="1:6">
      <c r="A333" s="5">
        <v>1747</v>
      </c>
      <c r="B333" s="5" t="s">
        <v>9</v>
      </c>
      <c r="C333"/>
      <c r="D333"/>
      <c r="E333"/>
      <c r="F333" s="90"/>
    </row>
    <row r="334" spans="1:6">
      <c r="A334" s="5">
        <v>1747</v>
      </c>
      <c r="B334" s="5" t="s">
        <v>10</v>
      </c>
      <c r="C334"/>
      <c r="D334"/>
      <c r="E334"/>
      <c r="F334" s="90"/>
    </row>
    <row r="335" spans="1:6">
      <c r="A335" s="5">
        <v>1747</v>
      </c>
      <c r="B335" s="5" t="s">
        <v>11</v>
      </c>
      <c r="C335"/>
      <c r="D335"/>
      <c r="E335"/>
      <c r="F335" s="90"/>
    </row>
    <row r="336" spans="1:6">
      <c r="A336" s="5">
        <v>1747</v>
      </c>
      <c r="B336" s="5" t="s">
        <v>12</v>
      </c>
      <c r="C336"/>
      <c r="D336"/>
      <c r="E336"/>
      <c r="F336" s="90"/>
    </row>
    <row r="337" spans="1:6">
      <c r="A337" s="5">
        <v>1747</v>
      </c>
      <c r="B337" s="5" t="s">
        <v>13</v>
      </c>
      <c r="C337"/>
      <c r="D337"/>
      <c r="E337"/>
      <c r="F337" s="90"/>
    </row>
    <row r="338" spans="1:6">
      <c r="A338" s="5">
        <v>1747</v>
      </c>
      <c r="B338" s="5" t="s">
        <v>14</v>
      </c>
      <c r="E338"/>
      <c r="F338" s="90"/>
    </row>
    <row r="339" spans="1:6">
      <c r="A339" s="5">
        <v>1747</v>
      </c>
      <c r="B339" s="5" t="s">
        <v>15</v>
      </c>
      <c r="E339"/>
      <c r="F339" s="90"/>
    </row>
    <row r="340" spans="1:6">
      <c r="A340" s="5">
        <v>1747</v>
      </c>
      <c r="B340" s="5" t="s">
        <v>16</v>
      </c>
      <c r="E340"/>
      <c r="F340" s="90"/>
    </row>
    <row r="341" spans="1:6">
      <c r="A341" s="5">
        <v>1747</v>
      </c>
      <c r="B341" s="5" t="s">
        <v>17</v>
      </c>
      <c r="E341"/>
      <c r="F341" s="90"/>
    </row>
    <row r="342" spans="1:6">
      <c r="A342" s="5">
        <v>1747</v>
      </c>
      <c r="B342" s="5" t="s">
        <v>18</v>
      </c>
      <c r="E342"/>
      <c r="F342" s="90"/>
    </row>
    <row r="343" spans="1:6">
      <c r="A343" s="5">
        <v>1747</v>
      </c>
      <c r="B343" s="5" t="s">
        <v>19</v>
      </c>
      <c r="E343"/>
      <c r="F343" s="90"/>
    </row>
    <row r="344" spans="1:6">
      <c r="A344" s="5">
        <v>1747</v>
      </c>
      <c r="B344" s="5" t="s">
        <v>20</v>
      </c>
      <c r="E344"/>
      <c r="F344" s="90"/>
    </row>
    <row r="345" spans="1:6">
      <c r="A345" s="5">
        <v>1748</v>
      </c>
      <c r="B345" s="5" t="s">
        <v>9</v>
      </c>
      <c r="E345"/>
      <c r="F345" s="90"/>
    </row>
    <row r="346" spans="1:6">
      <c r="A346" s="5">
        <v>1748</v>
      </c>
      <c r="B346" s="5" t="s">
        <v>10</v>
      </c>
      <c r="E346"/>
      <c r="F346" s="90"/>
    </row>
    <row r="347" spans="1:6">
      <c r="A347" s="5">
        <v>1748</v>
      </c>
      <c r="B347" s="5" t="s">
        <v>11</v>
      </c>
      <c r="E347"/>
      <c r="F347" s="90"/>
    </row>
    <row r="348" spans="1:6">
      <c r="A348" s="5">
        <v>1748</v>
      </c>
      <c r="B348" s="5" t="s">
        <v>12</v>
      </c>
      <c r="E348"/>
      <c r="F348" s="90"/>
    </row>
    <row r="349" spans="1:6">
      <c r="A349" s="5">
        <v>1748</v>
      </c>
      <c r="B349" s="5" t="s">
        <v>13</v>
      </c>
      <c r="E349"/>
      <c r="F349" s="90"/>
    </row>
    <row r="350" spans="1:6">
      <c r="A350" s="5">
        <v>1748</v>
      </c>
      <c r="B350" s="5" t="s">
        <v>14</v>
      </c>
      <c r="E350"/>
      <c r="F350" s="90"/>
    </row>
    <row r="351" spans="1:6">
      <c r="A351" s="5">
        <v>1748</v>
      </c>
      <c r="B351" s="5" t="s">
        <v>15</v>
      </c>
      <c r="C351" s="4">
        <v>75</v>
      </c>
      <c r="E351"/>
      <c r="F351" s="90"/>
    </row>
    <row r="352" spans="1:6">
      <c r="A352" s="5">
        <v>1748</v>
      </c>
      <c r="B352" s="5" t="s">
        <v>16</v>
      </c>
      <c r="C352" s="4">
        <v>75</v>
      </c>
      <c r="E352"/>
      <c r="F352" s="90"/>
    </row>
    <row r="353" spans="1:6">
      <c r="A353" s="5">
        <v>1748</v>
      </c>
      <c r="B353" s="5" t="s">
        <v>17</v>
      </c>
      <c r="C353" s="4">
        <v>75</v>
      </c>
      <c r="E353"/>
      <c r="F353" s="90"/>
    </row>
    <row r="354" spans="1:6">
      <c r="A354" s="5">
        <v>1748</v>
      </c>
      <c r="B354" s="5" t="s">
        <v>18</v>
      </c>
      <c r="C354" s="4">
        <v>75</v>
      </c>
      <c r="F354" s="90"/>
    </row>
    <row r="355" spans="1:6">
      <c r="A355" s="5">
        <v>1748</v>
      </c>
      <c r="B355" s="5" t="s">
        <v>19</v>
      </c>
      <c r="C355" s="4">
        <v>76</v>
      </c>
      <c r="F355" s="90"/>
    </row>
    <row r="356" spans="1:6">
      <c r="A356" s="5">
        <v>1748</v>
      </c>
      <c r="B356" s="5" t="s">
        <v>20</v>
      </c>
      <c r="C356" s="4">
        <v>78</v>
      </c>
      <c r="F356" s="90"/>
    </row>
    <row r="357" spans="1:6">
      <c r="A357" s="5">
        <v>1749</v>
      </c>
      <c r="B357" s="5" t="s">
        <v>9</v>
      </c>
      <c r="C357" s="4">
        <v>77</v>
      </c>
      <c r="F357" s="90"/>
    </row>
    <row r="358" spans="1:6">
      <c r="A358" s="5">
        <v>1749</v>
      </c>
      <c r="B358" s="5" t="s">
        <v>10</v>
      </c>
      <c r="C358" s="4">
        <v>75</v>
      </c>
      <c r="F358" s="90"/>
    </row>
    <row r="359" spans="1:6">
      <c r="A359" s="5">
        <v>1749</v>
      </c>
      <c r="B359" s="5" t="s">
        <v>11</v>
      </c>
      <c r="C359" s="4">
        <v>74</v>
      </c>
      <c r="F359" s="90"/>
    </row>
    <row r="360" spans="1:6">
      <c r="A360" s="5">
        <v>1749</v>
      </c>
      <c r="B360" s="5" t="s">
        <v>12</v>
      </c>
      <c r="C360" s="4">
        <v>73</v>
      </c>
      <c r="F360" s="90"/>
    </row>
    <row r="361" spans="1:6">
      <c r="A361" s="5">
        <v>1749</v>
      </c>
      <c r="B361" s="5" t="s">
        <v>13</v>
      </c>
      <c r="C361" s="4">
        <v>71</v>
      </c>
      <c r="F361" s="90"/>
    </row>
    <row r="362" spans="1:6">
      <c r="A362" s="5">
        <v>1749</v>
      </c>
      <c r="B362" s="5" t="s">
        <v>14</v>
      </c>
      <c r="C362" s="4">
        <v>67</v>
      </c>
      <c r="D362" s="101">
        <f t="shared" ref="D362:D366" si="3">AVERAGE(C351:C362)</f>
        <v>74.25</v>
      </c>
      <c r="F362" s="90"/>
    </row>
    <row r="363" spans="1:6">
      <c r="A363" s="5">
        <v>1749</v>
      </c>
      <c r="B363" s="5" t="s">
        <v>15</v>
      </c>
      <c r="C363" s="4">
        <v>66</v>
      </c>
      <c r="D363" s="101">
        <f t="shared" si="3"/>
        <v>73.5</v>
      </c>
      <c r="F363" s="90">
        <f t="shared" ref="F363:F396" si="4">(C363-C351)/C351</f>
        <v>-0.12</v>
      </c>
    </row>
    <row r="364" spans="1:6">
      <c r="A364" s="5">
        <v>1749</v>
      </c>
      <c r="B364" s="5" t="s">
        <v>16</v>
      </c>
      <c r="C364" s="4">
        <v>61</v>
      </c>
      <c r="D364" s="101">
        <f t="shared" si="3"/>
        <v>72.333333333333329</v>
      </c>
      <c r="F364" s="90">
        <f t="shared" si="4"/>
        <v>-0.18666666666666668</v>
      </c>
    </row>
    <row r="365" spans="1:6">
      <c r="A365" s="5">
        <v>1749</v>
      </c>
      <c r="B365" s="5" t="s">
        <v>17</v>
      </c>
      <c r="C365" s="4">
        <v>59</v>
      </c>
      <c r="D365" s="101">
        <f t="shared" si="3"/>
        <v>71</v>
      </c>
      <c r="F365" s="90">
        <f t="shared" si="4"/>
        <v>-0.21333333333333335</v>
      </c>
    </row>
    <row r="366" spans="1:6">
      <c r="A366" s="5">
        <v>1749</v>
      </c>
      <c r="B366" s="5" t="s">
        <v>18</v>
      </c>
      <c r="C366" s="4">
        <v>62</v>
      </c>
      <c r="D366" s="101">
        <f t="shared" si="3"/>
        <v>69.916666666666671</v>
      </c>
      <c r="F366" s="90">
        <f t="shared" si="4"/>
        <v>-0.17333333333333334</v>
      </c>
    </row>
    <row r="367" spans="1:6">
      <c r="A367" s="5">
        <v>1749</v>
      </c>
      <c r="B367" s="5" t="s">
        <v>19</v>
      </c>
      <c r="C367" s="4">
        <v>66</v>
      </c>
      <c r="D367" s="101">
        <f>AVERAGE(C356:C367)</f>
        <v>69.083333333333329</v>
      </c>
      <c r="F367" s="90">
        <f t="shared" si="4"/>
        <v>-0.13157894736842105</v>
      </c>
    </row>
    <row r="368" spans="1:6">
      <c r="A368" s="5">
        <v>1749</v>
      </c>
      <c r="B368" s="5" t="s">
        <v>20</v>
      </c>
      <c r="C368" s="4">
        <v>64</v>
      </c>
      <c r="D368" s="101">
        <f>AVERAGE(C357:C368)</f>
        <v>67.916666666666671</v>
      </c>
      <c r="E368" s="4">
        <v>68</v>
      </c>
      <c r="F368" s="90">
        <f t="shared" si="4"/>
        <v>-0.17948717948717949</v>
      </c>
    </row>
    <row r="369" spans="1:6">
      <c r="A369" s="5">
        <v>1750</v>
      </c>
      <c r="B369" s="5" t="s">
        <v>9</v>
      </c>
      <c r="C369" s="4">
        <v>62</v>
      </c>
      <c r="D369" s="101">
        <f t="shared" ref="D369:D432" si="5">AVERAGE(C358:C369)</f>
        <v>66.666666666666671</v>
      </c>
      <c r="F369" s="90">
        <f t="shared" si="4"/>
        <v>-0.19480519480519481</v>
      </c>
    </row>
    <row r="370" spans="1:6">
      <c r="A370" s="5">
        <v>1750</v>
      </c>
      <c r="B370" s="5" t="s">
        <v>10</v>
      </c>
      <c r="C370" s="4">
        <v>58</v>
      </c>
      <c r="D370" s="101">
        <f t="shared" si="5"/>
        <v>65.25</v>
      </c>
      <c r="F370" s="90">
        <f t="shared" si="4"/>
        <v>-0.22666666666666666</v>
      </c>
    </row>
    <row r="371" spans="1:6">
      <c r="A371" s="5">
        <v>1750</v>
      </c>
      <c r="B371" s="5" t="s">
        <v>11</v>
      </c>
      <c r="C371" s="4">
        <v>56</v>
      </c>
      <c r="D371" s="101">
        <f t="shared" si="5"/>
        <v>63.75</v>
      </c>
      <c r="F371" s="90">
        <f t="shared" si="4"/>
        <v>-0.24324324324324326</v>
      </c>
    </row>
    <row r="372" spans="1:6">
      <c r="A372" s="5">
        <v>1750</v>
      </c>
      <c r="B372" s="5" t="s">
        <v>12</v>
      </c>
      <c r="C372" s="4">
        <v>56</v>
      </c>
      <c r="D372" s="101">
        <f t="shared" si="5"/>
        <v>62.333333333333336</v>
      </c>
      <c r="F372" s="90">
        <f t="shared" si="4"/>
        <v>-0.23287671232876711</v>
      </c>
    </row>
    <row r="373" spans="1:6">
      <c r="A373" s="5">
        <v>1750</v>
      </c>
      <c r="B373" s="5" t="s">
        <v>13</v>
      </c>
      <c r="C373" s="4">
        <v>56</v>
      </c>
      <c r="D373" s="101">
        <f t="shared" si="5"/>
        <v>61.083333333333336</v>
      </c>
      <c r="F373" s="90">
        <f t="shared" si="4"/>
        <v>-0.21126760563380281</v>
      </c>
    </row>
    <row r="374" spans="1:6">
      <c r="A374" s="5">
        <v>1750</v>
      </c>
      <c r="B374" s="5" t="s">
        <v>14</v>
      </c>
      <c r="C374" s="4">
        <v>57</v>
      </c>
      <c r="D374" s="101">
        <f t="shared" si="5"/>
        <v>60.25</v>
      </c>
      <c r="F374" s="90">
        <f t="shared" si="4"/>
        <v>-0.14925373134328357</v>
      </c>
    </row>
    <row r="375" spans="1:6">
      <c r="A375" s="5">
        <v>1750</v>
      </c>
      <c r="B375" s="5" t="s">
        <v>15</v>
      </c>
      <c r="C375" s="4">
        <v>61</v>
      </c>
      <c r="D375" s="101">
        <f t="shared" si="5"/>
        <v>59.833333333333336</v>
      </c>
      <c r="F375" s="90">
        <f t="shared" si="4"/>
        <v>-7.575757575757576E-2</v>
      </c>
    </row>
    <row r="376" spans="1:6">
      <c r="A376" s="5">
        <v>1750</v>
      </c>
      <c r="B376" s="5" t="s">
        <v>16</v>
      </c>
      <c r="C376" s="4">
        <v>61</v>
      </c>
      <c r="D376" s="101">
        <f t="shared" si="5"/>
        <v>59.833333333333336</v>
      </c>
      <c r="F376" s="90">
        <f t="shared" si="4"/>
        <v>0</v>
      </c>
    </row>
    <row r="377" spans="1:6">
      <c r="A377" s="5">
        <v>1750</v>
      </c>
      <c r="B377" s="5" t="s">
        <v>17</v>
      </c>
      <c r="C377" s="4">
        <v>63</v>
      </c>
      <c r="D377" s="101">
        <f t="shared" si="5"/>
        <v>60.166666666666664</v>
      </c>
      <c r="F377" s="90">
        <f t="shared" si="4"/>
        <v>6.7796610169491525E-2</v>
      </c>
    </row>
    <row r="378" spans="1:6">
      <c r="A378" s="5">
        <v>1750</v>
      </c>
      <c r="B378" s="5" t="s">
        <v>18</v>
      </c>
      <c r="C378" s="4">
        <v>64</v>
      </c>
      <c r="D378" s="101">
        <f t="shared" si="5"/>
        <v>60.333333333333336</v>
      </c>
      <c r="F378" s="90">
        <f t="shared" si="4"/>
        <v>3.2258064516129031E-2</v>
      </c>
    </row>
    <row r="379" spans="1:6">
      <c r="A379" s="5">
        <v>1750</v>
      </c>
      <c r="B379" s="5" t="s">
        <v>19</v>
      </c>
      <c r="C379" s="4">
        <v>66</v>
      </c>
      <c r="D379" s="101">
        <f t="shared" si="5"/>
        <v>60.333333333333336</v>
      </c>
      <c r="F379" s="90">
        <f t="shared" si="4"/>
        <v>0</v>
      </c>
    </row>
    <row r="380" spans="1:6">
      <c r="A380" s="5">
        <v>1750</v>
      </c>
      <c r="B380" s="5" t="s">
        <v>20</v>
      </c>
      <c r="C380" s="4">
        <v>64</v>
      </c>
      <c r="D380" s="101">
        <f t="shared" si="5"/>
        <v>60.333333333333336</v>
      </c>
      <c r="E380" s="4">
        <v>60</v>
      </c>
      <c r="F380" s="90">
        <f t="shared" si="4"/>
        <v>0</v>
      </c>
    </row>
    <row r="381" spans="1:6">
      <c r="A381" s="5">
        <v>1751</v>
      </c>
      <c r="B381" s="5" t="s">
        <v>9</v>
      </c>
      <c r="C381" s="4">
        <v>64</v>
      </c>
      <c r="D381" s="101">
        <f>AVERAGE(C370:C381)</f>
        <v>60.5</v>
      </c>
      <c r="F381" s="90">
        <f t="shared" si="4"/>
        <v>3.2258064516129031E-2</v>
      </c>
    </row>
    <row r="382" spans="1:6">
      <c r="A382" s="5">
        <v>1751</v>
      </c>
      <c r="B382" s="5" t="s">
        <v>10</v>
      </c>
      <c r="C382" s="4">
        <v>63</v>
      </c>
      <c r="D382" s="101">
        <f t="shared" si="5"/>
        <v>60.916666666666664</v>
      </c>
      <c r="F382" s="90">
        <f t="shared" si="4"/>
        <v>8.6206896551724144E-2</v>
      </c>
    </row>
    <row r="383" spans="1:6">
      <c r="A383" s="5">
        <v>1751</v>
      </c>
      <c r="B383" s="5" t="s">
        <v>11</v>
      </c>
      <c r="C383" s="4">
        <v>66</v>
      </c>
      <c r="D383" s="101">
        <f t="shared" si="5"/>
        <v>61.75</v>
      </c>
      <c r="F383" s="90">
        <f t="shared" si="4"/>
        <v>0.17857142857142858</v>
      </c>
    </row>
    <row r="384" spans="1:6">
      <c r="A384" s="5">
        <v>1751</v>
      </c>
      <c r="B384" s="5" t="s">
        <v>12</v>
      </c>
      <c r="C384" s="4">
        <v>62</v>
      </c>
      <c r="D384" s="101">
        <f t="shared" si="5"/>
        <v>62.25</v>
      </c>
      <c r="F384" s="90">
        <f t="shared" si="4"/>
        <v>0.10714285714285714</v>
      </c>
    </row>
    <row r="385" spans="1:6">
      <c r="A385" s="5">
        <v>1751</v>
      </c>
      <c r="B385" s="5" t="s">
        <v>13</v>
      </c>
      <c r="C385" s="4">
        <v>62</v>
      </c>
      <c r="D385" s="101">
        <f t="shared" si="5"/>
        <v>62.75</v>
      </c>
      <c r="F385" s="90">
        <f t="shared" si="4"/>
        <v>0.10714285714285714</v>
      </c>
    </row>
    <row r="386" spans="1:6">
      <c r="A386" s="5">
        <v>1751</v>
      </c>
      <c r="B386" s="5" t="s">
        <v>14</v>
      </c>
      <c r="C386" s="4">
        <v>63</v>
      </c>
      <c r="D386" s="101">
        <f t="shared" si="5"/>
        <v>63.25</v>
      </c>
      <c r="F386" s="90">
        <f t="shared" si="4"/>
        <v>0.10526315789473684</v>
      </c>
    </row>
    <row r="387" spans="1:6">
      <c r="A387" s="5">
        <v>1751</v>
      </c>
      <c r="B387" s="5" t="s">
        <v>15</v>
      </c>
      <c r="C387" s="4">
        <v>66</v>
      </c>
      <c r="D387" s="101">
        <f t="shared" si="5"/>
        <v>63.666666666666664</v>
      </c>
      <c r="F387" s="90">
        <f t="shared" si="4"/>
        <v>8.1967213114754092E-2</v>
      </c>
    </row>
    <row r="388" spans="1:6">
      <c r="A388" s="5">
        <v>1751</v>
      </c>
      <c r="B388" s="5" t="s">
        <v>16</v>
      </c>
      <c r="C388" s="4">
        <v>68</v>
      </c>
      <c r="D388" s="101">
        <f t="shared" si="5"/>
        <v>64.25</v>
      </c>
      <c r="F388" s="90">
        <f t="shared" si="4"/>
        <v>0.11475409836065574</v>
      </c>
    </row>
    <row r="389" spans="1:6">
      <c r="A389" s="5">
        <v>1751</v>
      </c>
      <c r="B389" s="5" t="s">
        <v>17</v>
      </c>
      <c r="C389" s="4">
        <v>68</v>
      </c>
      <c r="D389" s="101">
        <f t="shared" si="5"/>
        <v>64.666666666666671</v>
      </c>
      <c r="F389" s="90">
        <f t="shared" si="4"/>
        <v>7.9365079365079361E-2</v>
      </c>
    </row>
    <row r="390" spans="1:6">
      <c r="A390" s="5">
        <v>1751</v>
      </c>
      <c r="B390" s="5" t="s">
        <v>18</v>
      </c>
      <c r="C390" s="4">
        <v>65</v>
      </c>
      <c r="D390" s="101">
        <f t="shared" si="5"/>
        <v>64.75</v>
      </c>
      <c r="F390" s="90">
        <f t="shared" si="4"/>
        <v>1.5625E-2</v>
      </c>
    </row>
    <row r="391" spans="1:6">
      <c r="A391" s="5">
        <v>1751</v>
      </c>
      <c r="B391" s="5" t="s">
        <v>19</v>
      </c>
      <c r="C391" s="4">
        <v>67</v>
      </c>
      <c r="D391" s="101">
        <f t="shared" si="5"/>
        <v>64.833333333333329</v>
      </c>
      <c r="F391" s="90">
        <f t="shared" si="4"/>
        <v>1.5151515151515152E-2</v>
      </c>
    </row>
    <row r="392" spans="1:6">
      <c r="A392" s="5">
        <v>1751</v>
      </c>
      <c r="B392" s="5" t="s">
        <v>20</v>
      </c>
      <c r="C392" s="4">
        <v>67</v>
      </c>
      <c r="D392" s="101">
        <f t="shared" si="5"/>
        <v>65.083333333333329</v>
      </c>
      <c r="E392" s="4">
        <v>65</v>
      </c>
      <c r="F392" s="90">
        <f t="shared" si="4"/>
        <v>4.6875E-2</v>
      </c>
    </row>
    <row r="393" spans="1:6">
      <c r="A393" s="5">
        <v>1752</v>
      </c>
      <c r="B393" s="5" t="s">
        <v>9</v>
      </c>
      <c r="C393" s="4">
        <v>67</v>
      </c>
      <c r="D393" s="101">
        <f t="shared" si="5"/>
        <v>65.333333333333329</v>
      </c>
      <c r="F393" s="90">
        <f t="shared" si="4"/>
        <v>4.6875E-2</v>
      </c>
    </row>
    <row r="394" spans="1:6">
      <c r="A394" s="5">
        <v>1752</v>
      </c>
      <c r="B394" s="5" t="s">
        <v>10</v>
      </c>
      <c r="C394" s="4">
        <v>67</v>
      </c>
      <c r="D394" s="101">
        <f t="shared" si="5"/>
        <v>65.666666666666671</v>
      </c>
      <c r="F394" s="90">
        <f t="shared" si="4"/>
        <v>6.3492063492063489E-2</v>
      </c>
    </row>
    <row r="395" spans="1:6">
      <c r="A395" s="5">
        <v>1752</v>
      </c>
      <c r="B395" s="5" t="s">
        <v>11</v>
      </c>
      <c r="C395" s="4">
        <v>64</v>
      </c>
      <c r="D395" s="101">
        <f t="shared" si="5"/>
        <v>65.5</v>
      </c>
      <c r="F395" s="90">
        <f t="shared" si="4"/>
        <v>-3.0303030303030304E-2</v>
      </c>
    </row>
    <row r="396" spans="1:6">
      <c r="A396" s="5">
        <v>1752</v>
      </c>
      <c r="B396" s="5" t="s">
        <v>12</v>
      </c>
      <c r="C396" s="4">
        <v>63</v>
      </c>
      <c r="D396" s="101">
        <f t="shared" si="5"/>
        <v>65.583333333333329</v>
      </c>
      <c r="F396" s="90">
        <f t="shared" si="4"/>
        <v>1.6129032258064516E-2</v>
      </c>
    </row>
    <row r="397" spans="1:6">
      <c r="A397" s="5">
        <v>1752</v>
      </c>
      <c r="B397" s="5" t="s">
        <v>13</v>
      </c>
      <c r="C397" s="4">
        <v>64</v>
      </c>
      <c r="D397" s="101">
        <f t="shared" si="5"/>
        <v>65.75</v>
      </c>
      <c r="F397" s="90">
        <f t="shared" ref="F397:F403" si="6">(C397-C385)/C385</f>
        <v>3.2258064516129031E-2</v>
      </c>
    </row>
    <row r="398" spans="1:6">
      <c r="A398" s="5">
        <v>1752</v>
      </c>
      <c r="B398" s="5" t="s">
        <v>14</v>
      </c>
      <c r="C398" s="4">
        <v>67</v>
      </c>
      <c r="D398" s="101">
        <f t="shared" si="5"/>
        <v>66.083333333333329</v>
      </c>
      <c r="F398" s="90">
        <f t="shared" si="6"/>
        <v>6.3492063492063489E-2</v>
      </c>
    </row>
    <row r="399" spans="1:6">
      <c r="A399" s="5">
        <v>1752</v>
      </c>
      <c r="B399" s="5" t="s">
        <v>15</v>
      </c>
      <c r="C399" s="4">
        <v>67</v>
      </c>
      <c r="D399" s="101">
        <f t="shared" si="5"/>
        <v>66.166666666666671</v>
      </c>
      <c r="F399" s="90">
        <f t="shared" si="6"/>
        <v>1.5151515151515152E-2</v>
      </c>
    </row>
    <row r="400" spans="1:6">
      <c r="A400" s="5">
        <v>1752</v>
      </c>
      <c r="B400" s="5" t="s">
        <v>16</v>
      </c>
      <c r="C400" s="4">
        <v>68</v>
      </c>
      <c r="D400" s="101">
        <f t="shared" si="5"/>
        <v>66.166666666666671</v>
      </c>
      <c r="F400" s="90">
        <f t="shared" si="6"/>
        <v>0</v>
      </c>
    </row>
    <row r="401" spans="1:6">
      <c r="A401" s="5">
        <v>1752</v>
      </c>
      <c r="B401" s="5" t="s">
        <v>17</v>
      </c>
      <c r="C401" s="4">
        <v>68</v>
      </c>
      <c r="D401" s="101">
        <f t="shared" si="5"/>
        <v>66.166666666666671</v>
      </c>
      <c r="F401" s="90">
        <f t="shared" si="6"/>
        <v>0</v>
      </c>
    </row>
    <row r="402" spans="1:6">
      <c r="A402" s="5">
        <v>1752</v>
      </c>
      <c r="B402" s="5" t="s">
        <v>18</v>
      </c>
      <c r="C402" s="4">
        <v>67</v>
      </c>
      <c r="D402" s="101">
        <f t="shared" si="5"/>
        <v>66.333333333333329</v>
      </c>
      <c r="F402" s="90">
        <f t="shared" si="6"/>
        <v>3.0769230769230771E-2</v>
      </c>
    </row>
    <row r="403" spans="1:6">
      <c r="A403" s="5">
        <v>1752</v>
      </c>
      <c r="B403" s="5" t="s">
        <v>19</v>
      </c>
      <c r="C403" s="4">
        <v>69</v>
      </c>
      <c r="D403" s="101">
        <f t="shared" si="5"/>
        <v>66.5</v>
      </c>
      <c r="F403" s="90">
        <f t="shared" si="6"/>
        <v>2.9850746268656716E-2</v>
      </c>
    </row>
    <row r="404" spans="1:6">
      <c r="A404" s="5">
        <v>1752</v>
      </c>
      <c r="B404" s="5" t="s">
        <v>20</v>
      </c>
      <c r="C404" s="4">
        <v>65</v>
      </c>
      <c r="D404" s="101">
        <f t="shared" si="5"/>
        <v>66.333333333333329</v>
      </c>
      <c r="E404" s="4">
        <v>66</v>
      </c>
      <c r="F404" s="90">
        <f>(C404-C392)/C392</f>
        <v>-2.9850746268656716E-2</v>
      </c>
    </row>
    <row r="405" spans="1:6">
      <c r="A405" s="5">
        <v>1753</v>
      </c>
      <c r="B405" s="5" t="s">
        <v>9</v>
      </c>
      <c r="C405" s="4">
        <v>68</v>
      </c>
      <c r="D405" s="101">
        <f t="shared" si="5"/>
        <v>66.416666666666671</v>
      </c>
      <c r="F405" s="90">
        <f t="shared" ref="F405:F468" si="7">(C405-C393)/C393</f>
        <v>1.4925373134328358E-2</v>
      </c>
    </row>
    <row r="406" spans="1:6">
      <c r="A406" s="5">
        <v>1753</v>
      </c>
      <c r="B406" s="5" t="s">
        <v>10</v>
      </c>
      <c r="C406" s="4">
        <v>67</v>
      </c>
      <c r="D406" s="101">
        <f t="shared" si="5"/>
        <v>66.416666666666671</v>
      </c>
      <c r="F406" s="90">
        <f t="shared" si="7"/>
        <v>0</v>
      </c>
    </row>
    <row r="407" spans="1:6">
      <c r="A407" s="5">
        <v>1753</v>
      </c>
      <c r="B407" s="5" t="s">
        <v>11</v>
      </c>
      <c r="C407" s="4">
        <v>65</v>
      </c>
      <c r="D407" s="101">
        <f t="shared" si="5"/>
        <v>66.5</v>
      </c>
      <c r="F407" s="90">
        <f t="shared" si="7"/>
        <v>1.5625E-2</v>
      </c>
    </row>
    <row r="408" spans="1:6">
      <c r="A408" s="5">
        <v>1753</v>
      </c>
      <c r="B408" s="5" t="s">
        <v>12</v>
      </c>
      <c r="C408" s="4">
        <v>65</v>
      </c>
      <c r="D408" s="101">
        <f t="shared" si="5"/>
        <v>66.666666666666671</v>
      </c>
      <c r="F408" s="90">
        <f t="shared" si="7"/>
        <v>3.1746031746031744E-2</v>
      </c>
    </row>
    <row r="409" spans="1:6">
      <c r="A409" s="5">
        <v>1753</v>
      </c>
      <c r="B409" s="5" t="s">
        <v>13</v>
      </c>
      <c r="C409" s="4">
        <v>65</v>
      </c>
      <c r="D409" s="101">
        <f t="shared" si="5"/>
        <v>66.75</v>
      </c>
      <c r="F409" s="90">
        <f t="shared" si="7"/>
        <v>1.5625E-2</v>
      </c>
    </row>
    <row r="410" spans="1:6">
      <c r="A410" s="5">
        <v>1753</v>
      </c>
      <c r="B410" s="5" t="s">
        <v>14</v>
      </c>
      <c r="C410" s="4">
        <v>65</v>
      </c>
      <c r="D410" s="101">
        <f t="shared" si="5"/>
        <v>66.583333333333329</v>
      </c>
      <c r="F410" s="90">
        <f t="shared" si="7"/>
        <v>-2.9850746268656716E-2</v>
      </c>
    </row>
    <row r="411" spans="1:6">
      <c r="A411" s="5">
        <v>1753</v>
      </c>
      <c r="B411" s="5" t="s">
        <v>15</v>
      </c>
      <c r="C411" s="4">
        <v>65</v>
      </c>
      <c r="D411" s="101">
        <f t="shared" si="5"/>
        <v>66.416666666666671</v>
      </c>
      <c r="F411" s="90">
        <f t="shared" si="7"/>
        <v>-2.9850746268656716E-2</v>
      </c>
    </row>
    <row r="412" spans="1:6">
      <c r="A412" s="5">
        <v>1753</v>
      </c>
      <c r="B412" s="5" t="s">
        <v>16</v>
      </c>
      <c r="C412" s="4">
        <v>65</v>
      </c>
      <c r="D412" s="101">
        <f t="shared" si="5"/>
        <v>66.166666666666671</v>
      </c>
      <c r="F412" s="90">
        <f t="shared" si="7"/>
        <v>-4.4117647058823532E-2</v>
      </c>
    </row>
    <row r="413" spans="1:6">
      <c r="A413" s="5">
        <v>1753</v>
      </c>
      <c r="B413" s="5" t="s">
        <v>17</v>
      </c>
      <c r="C413" s="4">
        <v>65</v>
      </c>
      <c r="D413" s="101">
        <f t="shared" si="5"/>
        <v>65.916666666666671</v>
      </c>
      <c r="F413" s="90">
        <f t="shared" si="7"/>
        <v>-4.4117647058823532E-2</v>
      </c>
    </row>
    <row r="414" spans="1:6">
      <c r="A414" s="5">
        <v>1753</v>
      </c>
      <c r="B414" s="5" t="s">
        <v>18</v>
      </c>
      <c r="C414" s="4">
        <v>64</v>
      </c>
      <c r="D414" s="101">
        <f t="shared" si="5"/>
        <v>65.666666666666671</v>
      </c>
      <c r="F414" s="90">
        <f t="shared" si="7"/>
        <v>-4.4776119402985072E-2</v>
      </c>
    </row>
    <row r="415" spans="1:6">
      <c r="A415" s="5">
        <v>1753</v>
      </c>
      <c r="B415" s="5" t="s">
        <v>19</v>
      </c>
      <c r="C415" s="4">
        <v>65</v>
      </c>
      <c r="D415" s="101">
        <f t="shared" si="5"/>
        <v>65.333333333333329</v>
      </c>
      <c r="F415" s="90">
        <f t="shared" si="7"/>
        <v>-5.7971014492753624E-2</v>
      </c>
    </row>
    <row r="416" spans="1:6">
      <c r="A416" s="5">
        <v>1753</v>
      </c>
      <c r="B416" s="5" t="s">
        <v>20</v>
      </c>
      <c r="C416" s="4">
        <v>65</v>
      </c>
      <c r="D416" s="101">
        <f t="shared" si="5"/>
        <v>65.333333333333329</v>
      </c>
      <c r="E416" s="4">
        <v>65</v>
      </c>
      <c r="F416" s="90">
        <f t="shared" si="7"/>
        <v>0</v>
      </c>
    </row>
    <row r="417" spans="1:6">
      <c r="A417" s="5">
        <v>1754</v>
      </c>
      <c r="B417" s="5" t="s">
        <v>9</v>
      </c>
      <c r="C417" s="4">
        <v>65</v>
      </c>
      <c r="D417" s="101">
        <f t="shared" si="5"/>
        <v>65.083333333333329</v>
      </c>
      <c r="F417" s="90">
        <f t="shared" si="7"/>
        <v>-4.4117647058823532E-2</v>
      </c>
    </row>
    <row r="418" spans="1:6">
      <c r="A418" s="5">
        <v>1754</v>
      </c>
      <c r="B418" s="5" t="s">
        <v>10</v>
      </c>
      <c r="C418" s="4">
        <v>63</v>
      </c>
      <c r="D418" s="101">
        <f t="shared" si="5"/>
        <v>64.75</v>
      </c>
      <c r="F418" s="90">
        <f t="shared" si="7"/>
        <v>-5.9701492537313432E-2</v>
      </c>
    </row>
    <row r="419" spans="1:6">
      <c r="A419" s="5">
        <v>1754</v>
      </c>
      <c r="B419" s="5" t="s">
        <v>11</v>
      </c>
      <c r="C419" s="4">
        <v>62</v>
      </c>
      <c r="D419" s="101">
        <f t="shared" si="5"/>
        <v>64.5</v>
      </c>
      <c r="F419" s="90">
        <f t="shared" si="7"/>
        <v>-4.6153846153846156E-2</v>
      </c>
    </row>
    <row r="420" spans="1:6">
      <c r="A420" s="5">
        <v>1754</v>
      </c>
      <c r="B420" s="5" t="s">
        <v>12</v>
      </c>
      <c r="C420" s="4">
        <v>62</v>
      </c>
      <c r="D420" s="101">
        <f t="shared" si="5"/>
        <v>64.25</v>
      </c>
      <c r="F420" s="90">
        <f t="shared" si="7"/>
        <v>-4.6153846153846156E-2</v>
      </c>
    </row>
    <row r="421" spans="1:6">
      <c r="A421" s="5">
        <v>1754</v>
      </c>
      <c r="B421" s="5" t="s">
        <v>13</v>
      </c>
      <c r="C421" s="4">
        <v>63</v>
      </c>
      <c r="D421" s="101">
        <f t="shared" si="5"/>
        <v>64.083333333333329</v>
      </c>
      <c r="F421" s="90">
        <f t="shared" si="7"/>
        <v>-3.0769230769230771E-2</v>
      </c>
    </row>
    <row r="422" spans="1:6">
      <c r="A422" s="5">
        <v>1754</v>
      </c>
      <c r="B422" s="5" t="s">
        <v>14</v>
      </c>
      <c r="C422" s="4">
        <v>63</v>
      </c>
      <c r="D422" s="101">
        <f t="shared" si="5"/>
        <v>63.916666666666664</v>
      </c>
      <c r="F422" s="90">
        <f t="shared" si="7"/>
        <v>-3.0769230769230771E-2</v>
      </c>
    </row>
    <row r="423" spans="1:6">
      <c r="A423" s="5">
        <v>1754</v>
      </c>
      <c r="B423" s="5" t="s">
        <v>15</v>
      </c>
      <c r="C423" s="4">
        <v>66</v>
      </c>
      <c r="D423" s="101">
        <f t="shared" si="5"/>
        <v>64</v>
      </c>
      <c r="F423" s="90">
        <f t="shared" si="7"/>
        <v>1.5384615384615385E-2</v>
      </c>
    </row>
    <row r="424" spans="1:6">
      <c r="A424" s="5">
        <v>1754</v>
      </c>
      <c r="B424" s="5" t="s">
        <v>16</v>
      </c>
      <c r="C424" s="4">
        <v>67</v>
      </c>
      <c r="D424" s="101">
        <f t="shared" si="5"/>
        <v>64.166666666666671</v>
      </c>
      <c r="F424" s="90">
        <f t="shared" si="7"/>
        <v>3.0769230769230771E-2</v>
      </c>
    </row>
    <row r="425" spans="1:6">
      <c r="A425" s="5">
        <v>1754</v>
      </c>
      <c r="B425" s="5" t="s">
        <v>17</v>
      </c>
      <c r="C425" s="4">
        <v>66</v>
      </c>
      <c r="D425" s="101">
        <f t="shared" si="5"/>
        <v>64.25</v>
      </c>
      <c r="F425" s="90">
        <f t="shared" si="7"/>
        <v>1.5384615384615385E-2</v>
      </c>
    </row>
    <row r="426" spans="1:6">
      <c r="A426" s="5">
        <v>1754</v>
      </c>
      <c r="B426" s="5" t="s">
        <v>18</v>
      </c>
      <c r="C426" s="4">
        <v>71</v>
      </c>
      <c r="D426" s="101">
        <f t="shared" si="5"/>
        <v>64.833333333333329</v>
      </c>
      <c r="F426" s="90">
        <f t="shared" si="7"/>
        <v>0.109375</v>
      </c>
    </row>
    <row r="427" spans="1:6">
      <c r="A427" s="5">
        <v>1754</v>
      </c>
      <c r="B427" s="5" t="s">
        <v>19</v>
      </c>
      <c r="C427" s="4">
        <v>67</v>
      </c>
      <c r="D427" s="101">
        <f t="shared" si="5"/>
        <v>65</v>
      </c>
      <c r="F427" s="90">
        <f t="shared" si="7"/>
        <v>3.0769230769230771E-2</v>
      </c>
    </row>
    <row r="428" spans="1:6">
      <c r="A428" s="5">
        <v>1754</v>
      </c>
      <c r="B428" s="5" t="s">
        <v>20</v>
      </c>
      <c r="C428" s="4">
        <v>65</v>
      </c>
      <c r="D428" s="101">
        <f t="shared" si="5"/>
        <v>65</v>
      </c>
      <c r="E428" s="4">
        <v>65</v>
      </c>
      <c r="F428" s="90">
        <f t="shared" si="7"/>
        <v>0</v>
      </c>
    </row>
    <row r="429" spans="1:6">
      <c r="A429" s="5">
        <v>1755</v>
      </c>
      <c r="B429" s="5" t="s">
        <v>9</v>
      </c>
      <c r="C429" s="4">
        <v>66</v>
      </c>
      <c r="D429" s="101">
        <f t="shared" si="5"/>
        <v>65.083333333333329</v>
      </c>
      <c r="F429" s="90">
        <f t="shared" si="7"/>
        <v>1.5384615384615385E-2</v>
      </c>
    </row>
    <row r="430" spans="1:6">
      <c r="A430" s="5">
        <v>1755</v>
      </c>
      <c r="B430" s="5" t="s">
        <v>10</v>
      </c>
      <c r="C430" s="4">
        <v>64</v>
      </c>
      <c r="D430" s="101">
        <f t="shared" si="5"/>
        <v>65.166666666666671</v>
      </c>
      <c r="F430" s="90">
        <f t="shared" si="7"/>
        <v>1.5873015873015872E-2</v>
      </c>
    </row>
    <row r="431" spans="1:6">
      <c r="A431" s="5">
        <v>1755</v>
      </c>
      <c r="B431" s="5" t="s">
        <v>11</v>
      </c>
      <c r="C431" s="4">
        <v>62</v>
      </c>
      <c r="D431" s="101">
        <f t="shared" si="5"/>
        <v>65.166666666666671</v>
      </c>
      <c r="F431" s="90">
        <f t="shared" si="7"/>
        <v>0</v>
      </c>
    </row>
    <row r="432" spans="1:6">
      <c r="A432" s="5">
        <v>1755</v>
      </c>
      <c r="B432" s="5" t="s">
        <v>12</v>
      </c>
      <c r="C432" s="4">
        <v>66</v>
      </c>
      <c r="D432" s="101">
        <f t="shared" si="5"/>
        <v>65.5</v>
      </c>
      <c r="F432" s="90">
        <f t="shared" si="7"/>
        <v>6.4516129032258063E-2</v>
      </c>
    </row>
    <row r="433" spans="1:6">
      <c r="A433" s="5">
        <v>1755</v>
      </c>
      <c r="B433" s="5" t="s">
        <v>13</v>
      </c>
      <c r="C433" s="4">
        <v>64</v>
      </c>
      <c r="D433" s="101">
        <f t="shared" ref="D433:D496" si="8">AVERAGE(C422:C433)</f>
        <v>65.583333333333329</v>
      </c>
      <c r="F433" s="90">
        <f t="shared" si="7"/>
        <v>1.5873015873015872E-2</v>
      </c>
    </row>
    <row r="434" spans="1:6">
      <c r="A434" s="5">
        <v>1755</v>
      </c>
      <c r="B434" s="5" t="s">
        <v>14</v>
      </c>
      <c r="C434" s="4">
        <v>65</v>
      </c>
      <c r="D434" s="101">
        <f t="shared" si="8"/>
        <v>65.75</v>
      </c>
      <c r="F434" s="90">
        <f t="shared" si="7"/>
        <v>3.1746031746031744E-2</v>
      </c>
    </row>
    <row r="435" spans="1:6">
      <c r="A435" s="5">
        <v>1755</v>
      </c>
      <c r="B435" s="5" t="s">
        <v>15</v>
      </c>
      <c r="C435" s="4">
        <v>66</v>
      </c>
      <c r="D435" s="101">
        <f t="shared" si="8"/>
        <v>65.75</v>
      </c>
      <c r="F435" s="90">
        <f t="shared" si="7"/>
        <v>0</v>
      </c>
    </row>
    <row r="436" spans="1:6">
      <c r="A436" s="5">
        <v>1755</v>
      </c>
      <c r="B436" s="5" t="s">
        <v>16</v>
      </c>
      <c r="C436" s="4">
        <v>68</v>
      </c>
      <c r="D436" s="101">
        <f t="shared" si="8"/>
        <v>65.833333333333329</v>
      </c>
      <c r="F436" s="90">
        <f t="shared" si="7"/>
        <v>1.4925373134328358E-2</v>
      </c>
    </row>
    <row r="437" spans="1:6">
      <c r="A437" s="5">
        <v>1755</v>
      </c>
      <c r="B437" s="5" t="s">
        <v>17</v>
      </c>
      <c r="C437" s="4">
        <v>69</v>
      </c>
      <c r="D437" s="101">
        <f t="shared" si="8"/>
        <v>66.083333333333329</v>
      </c>
      <c r="F437" s="90">
        <f t="shared" si="7"/>
        <v>4.5454545454545456E-2</v>
      </c>
    </row>
    <row r="438" spans="1:6">
      <c r="A438" s="5">
        <v>1755</v>
      </c>
      <c r="B438" s="5" t="s">
        <v>18</v>
      </c>
      <c r="C438" s="4">
        <v>69</v>
      </c>
      <c r="D438" s="101">
        <f t="shared" si="8"/>
        <v>65.916666666666671</v>
      </c>
      <c r="F438" s="90">
        <f t="shared" si="7"/>
        <v>-2.8169014084507043E-2</v>
      </c>
    </row>
    <row r="439" spans="1:6">
      <c r="A439" s="5">
        <v>1755</v>
      </c>
      <c r="B439" s="5" t="s">
        <v>19</v>
      </c>
      <c r="C439" s="4">
        <v>70</v>
      </c>
      <c r="D439" s="101">
        <f t="shared" si="8"/>
        <v>66.166666666666671</v>
      </c>
      <c r="F439" s="90">
        <f t="shared" si="7"/>
        <v>4.4776119402985072E-2</v>
      </c>
    </row>
    <row r="440" spans="1:6">
      <c r="A440" s="5">
        <v>1755</v>
      </c>
      <c r="B440" s="5" t="s">
        <v>20</v>
      </c>
      <c r="C440" s="4">
        <v>66</v>
      </c>
      <c r="D440" s="101">
        <f t="shared" si="8"/>
        <v>66.25</v>
      </c>
      <c r="E440" s="4">
        <v>66</v>
      </c>
      <c r="F440" s="90">
        <f t="shared" si="7"/>
        <v>1.5384615384615385E-2</v>
      </c>
    </row>
    <row r="441" spans="1:6">
      <c r="A441" s="5">
        <v>1756</v>
      </c>
      <c r="B441" s="5" t="s">
        <v>9</v>
      </c>
      <c r="C441" s="4">
        <v>66</v>
      </c>
      <c r="D441" s="101">
        <f t="shared" si="8"/>
        <v>66.25</v>
      </c>
      <c r="F441" s="90">
        <f t="shared" si="7"/>
        <v>0</v>
      </c>
    </row>
    <row r="442" spans="1:6">
      <c r="A442" s="5">
        <v>1756</v>
      </c>
      <c r="B442" s="5" t="s">
        <v>10</v>
      </c>
      <c r="C442" s="4">
        <v>66</v>
      </c>
      <c r="D442" s="101">
        <f t="shared" si="8"/>
        <v>66.416666666666671</v>
      </c>
      <c r="F442" s="90">
        <f t="shared" si="7"/>
        <v>3.125E-2</v>
      </c>
    </row>
    <row r="443" spans="1:6">
      <c r="A443" s="5">
        <v>1756</v>
      </c>
      <c r="B443" s="5" t="s">
        <v>11</v>
      </c>
      <c r="C443" s="4">
        <v>64</v>
      </c>
      <c r="D443" s="101">
        <f t="shared" si="8"/>
        <v>66.583333333333329</v>
      </c>
      <c r="F443" s="90">
        <f t="shared" si="7"/>
        <v>3.2258064516129031E-2</v>
      </c>
    </row>
    <row r="444" spans="1:6">
      <c r="A444" s="5">
        <v>1756</v>
      </c>
      <c r="B444" s="5" t="s">
        <v>12</v>
      </c>
      <c r="C444" s="4">
        <v>67</v>
      </c>
      <c r="D444" s="101">
        <f t="shared" si="8"/>
        <v>66.666666666666671</v>
      </c>
      <c r="F444" s="90">
        <f t="shared" si="7"/>
        <v>1.5151515151515152E-2</v>
      </c>
    </row>
    <row r="445" spans="1:6">
      <c r="A445" s="5">
        <v>1756</v>
      </c>
      <c r="B445" s="5" t="s">
        <v>13</v>
      </c>
      <c r="C445" s="4">
        <v>68</v>
      </c>
      <c r="D445" s="101">
        <f t="shared" si="8"/>
        <v>67</v>
      </c>
      <c r="F445" s="90">
        <f t="shared" si="7"/>
        <v>6.25E-2</v>
      </c>
    </row>
    <row r="446" spans="1:6">
      <c r="A446" s="5">
        <v>1756</v>
      </c>
      <c r="B446" s="5" t="s">
        <v>14</v>
      </c>
      <c r="C446" s="4">
        <v>67</v>
      </c>
      <c r="D446" s="101">
        <f t="shared" si="8"/>
        <v>67.166666666666671</v>
      </c>
      <c r="F446" s="90">
        <f t="shared" si="7"/>
        <v>3.0769230769230771E-2</v>
      </c>
    </row>
    <row r="447" spans="1:6">
      <c r="A447" s="5">
        <v>1756</v>
      </c>
      <c r="B447" s="5" t="s">
        <v>15</v>
      </c>
      <c r="C447" s="4">
        <v>67</v>
      </c>
      <c r="D447" s="101">
        <f t="shared" si="8"/>
        <v>67.25</v>
      </c>
      <c r="F447" s="90">
        <f t="shared" si="7"/>
        <v>1.5151515151515152E-2</v>
      </c>
    </row>
    <row r="448" spans="1:6">
      <c r="A448" s="5">
        <v>1756</v>
      </c>
      <c r="B448" s="5" t="s">
        <v>16</v>
      </c>
      <c r="C448" s="4">
        <v>67</v>
      </c>
      <c r="D448" s="101">
        <f t="shared" si="8"/>
        <v>67.166666666666671</v>
      </c>
      <c r="F448" s="90">
        <f t="shared" si="7"/>
        <v>-1.4705882352941176E-2</v>
      </c>
    </row>
    <row r="449" spans="1:6">
      <c r="A449" s="5">
        <v>1756</v>
      </c>
      <c r="B449" s="5" t="s">
        <v>17</v>
      </c>
      <c r="C449" s="4">
        <v>69</v>
      </c>
      <c r="D449" s="101">
        <f t="shared" si="8"/>
        <v>67.166666666666671</v>
      </c>
      <c r="F449" s="90">
        <f t="shared" si="7"/>
        <v>0</v>
      </c>
    </row>
    <row r="450" spans="1:6">
      <c r="A450" s="5">
        <v>1756</v>
      </c>
      <c r="B450" s="5" t="s">
        <v>18</v>
      </c>
      <c r="C450" s="4">
        <v>69</v>
      </c>
      <c r="D450" s="101">
        <f t="shared" si="8"/>
        <v>67.166666666666671</v>
      </c>
      <c r="F450" s="90">
        <f t="shared" si="7"/>
        <v>0</v>
      </c>
    </row>
    <row r="451" spans="1:6">
      <c r="A451" s="5">
        <v>1756</v>
      </c>
      <c r="B451" s="5" t="s">
        <v>19</v>
      </c>
      <c r="C451" s="4">
        <v>64</v>
      </c>
      <c r="D451" s="101">
        <f t="shared" si="8"/>
        <v>66.666666666666671</v>
      </c>
      <c r="F451" s="90">
        <f t="shared" si="7"/>
        <v>-8.5714285714285715E-2</v>
      </c>
    </row>
    <row r="452" spans="1:6">
      <c r="A452" s="5">
        <v>1756</v>
      </c>
      <c r="B452" s="5" t="s">
        <v>20</v>
      </c>
      <c r="C452" s="4">
        <v>63</v>
      </c>
      <c r="D452" s="101">
        <f t="shared" si="8"/>
        <v>66.416666666666671</v>
      </c>
      <c r="E452" s="4">
        <v>66</v>
      </c>
      <c r="F452" s="90">
        <f t="shared" si="7"/>
        <v>-4.5454545454545456E-2</v>
      </c>
    </row>
    <row r="453" spans="1:6">
      <c r="A453" s="5">
        <v>1757</v>
      </c>
      <c r="B453" s="5" t="s">
        <v>9</v>
      </c>
      <c r="C453" s="4">
        <v>62</v>
      </c>
      <c r="D453" s="101">
        <f t="shared" si="8"/>
        <v>66.083333333333329</v>
      </c>
      <c r="F453" s="90">
        <f t="shared" si="7"/>
        <v>-6.0606060606060608E-2</v>
      </c>
    </row>
    <row r="454" spans="1:6">
      <c r="A454" s="5">
        <v>1757</v>
      </c>
      <c r="B454" s="5" t="s">
        <v>10</v>
      </c>
      <c r="C454" s="4">
        <v>60</v>
      </c>
      <c r="D454" s="101">
        <f t="shared" si="8"/>
        <v>65.583333333333329</v>
      </c>
      <c r="F454" s="90">
        <f t="shared" si="7"/>
        <v>-9.0909090909090912E-2</v>
      </c>
    </row>
    <row r="455" spans="1:6">
      <c r="A455" s="5">
        <v>1757</v>
      </c>
      <c r="B455" s="5" t="s">
        <v>11</v>
      </c>
      <c r="C455" s="4">
        <v>60</v>
      </c>
      <c r="D455" s="101">
        <f t="shared" si="8"/>
        <v>65.25</v>
      </c>
      <c r="F455" s="90">
        <f t="shared" si="7"/>
        <v>-6.25E-2</v>
      </c>
    </row>
    <row r="456" spans="1:6">
      <c r="A456" s="5">
        <v>1757</v>
      </c>
      <c r="B456" s="5" t="s">
        <v>12</v>
      </c>
      <c r="C456" s="4">
        <v>61</v>
      </c>
      <c r="D456" s="101">
        <f t="shared" si="8"/>
        <v>64.75</v>
      </c>
      <c r="F456" s="90">
        <f t="shared" si="7"/>
        <v>-8.9552238805970144E-2</v>
      </c>
    </row>
    <row r="457" spans="1:6">
      <c r="A457" s="5">
        <v>1757</v>
      </c>
      <c r="B457" s="5" t="s">
        <v>13</v>
      </c>
      <c r="C457" s="4">
        <v>64</v>
      </c>
      <c r="D457" s="101">
        <f t="shared" si="8"/>
        <v>64.416666666666671</v>
      </c>
      <c r="F457" s="90">
        <f t="shared" si="7"/>
        <v>-5.8823529411764705E-2</v>
      </c>
    </row>
    <row r="458" spans="1:6">
      <c r="A458" s="5">
        <v>1757</v>
      </c>
      <c r="B458" s="5" t="s">
        <v>14</v>
      </c>
      <c r="C458" s="4">
        <v>66</v>
      </c>
      <c r="D458" s="101">
        <f t="shared" si="8"/>
        <v>64.333333333333329</v>
      </c>
      <c r="F458" s="90">
        <f t="shared" si="7"/>
        <v>-1.4925373134328358E-2</v>
      </c>
    </row>
    <row r="459" spans="1:6">
      <c r="A459" s="5">
        <v>1757</v>
      </c>
      <c r="B459" s="5" t="s">
        <v>15</v>
      </c>
      <c r="C459" s="4">
        <v>68</v>
      </c>
      <c r="D459" s="101">
        <f t="shared" si="8"/>
        <v>64.416666666666671</v>
      </c>
      <c r="F459" s="90">
        <f t="shared" si="7"/>
        <v>1.4925373134328358E-2</v>
      </c>
    </row>
    <row r="460" spans="1:6">
      <c r="A460" s="5">
        <v>1757</v>
      </c>
      <c r="B460" s="5" t="s">
        <v>16</v>
      </c>
      <c r="C460" s="4">
        <v>69</v>
      </c>
      <c r="D460" s="101">
        <f t="shared" si="8"/>
        <v>64.583333333333329</v>
      </c>
      <c r="F460" s="90">
        <f t="shared" si="7"/>
        <v>2.9850746268656716E-2</v>
      </c>
    </row>
    <row r="461" spans="1:6">
      <c r="A461" s="5">
        <v>1757</v>
      </c>
      <c r="B461" s="5" t="s">
        <v>17</v>
      </c>
      <c r="C461" s="4">
        <v>69</v>
      </c>
      <c r="D461" s="101">
        <f t="shared" si="8"/>
        <v>64.583333333333329</v>
      </c>
      <c r="F461" s="90">
        <f t="shared" si="7"/>
        <v>0</v>
      </c>
    </row>
    <row r="462" spans="1:6">
      <c r="A462" s="5">
        <v>1757</v>
      </c>
      <c r="B462" s="5" t="s">
        <v>18</v>
      </c>
      <c r="C462" s="4">
        <v>70</v>
      </c>
      <c r="D462" s="101">
        <f t="shared" si="8"/>
        <v>64.666666666666671</v>
      </c>
      <c r="F462" s="90">
        <f t="shared" si="7"/>
        <v>1.4492753623188406E-2</v>
      </c>
    </row>
    <row r="463" spans="1:6">
      <c r="A463" s="5">
        <v>1757</v>
      </c>
      <c r="B463" s="5" t="s">
        <v>19</v>
      </c>
      <c r="C463" s="4">
        <v>68</v>
      </c>
      <c r="D463" s="101">
        <f t="shared" si="8"/>
        <v>65</v>
      </c>
      <c r="F463" s="90">
        <f t="shared" si="7"/>
        <v>6.25E-2</v>
      </c>
    </row>
    <row r="464" spans="1:6">
      <c r="A464" s="5">
        <v>1757</v>
      </c>
      <c r="B464" s="5" t="s">
        <v>20</v>
      </c>
      <c r="C464" s="4">
        <v>68</v>
      </c>
      <c r="D464" s="101">
        <f t="shared" si="8"/>
        <v>65.416666666666671</v>
      </c>
      <c r="E464" s="4">
        <v>65</v>
      </c>
      <c r="F464" s="90">
        <f t="shared" si="7"/>
        <v>7.9365079365079361E-2</v>
      </c>
    </row>
    <row r="465" spans="1:6">
      <c r="A465" s="5">
        <v>1758</v>
      </c>
      <c r="B465" s="5" t="s">
        <v>9</v>
      </c>
      <c r="C465" s="4">
        <v>67</v>
      </c>
      <c r="D465" s="101">
        <f t="shared" si="8"/>
        <v>65.833333333333329</v>
      </c>
      <c r="F465" s="90">
        <f t="shared" si="7"/>
        <v>8.0645161290322578E-2</v>
      </c>
    </row>
    <row r="466" spans="1:6">
      <c r="A466" s="5">
        <v>1758</v>
      </c>
      <c r="B466" s="5" t="s">
        <v>10</v>
      </c>
      <c r="C466" s="4">
        <v>66</v>
      </c>
      <c r="D466" s="101">
        <f t="shared" si="8"/>
        <v>66.333333333333329</v>
      </c>
      <c r="F466" s="90">
        <f t="shared" si="7"/>
        <v>0.1</v>
      </c>
    </row>
    <row r="467" spans="1:6">
      <c r="A467" s="5">
        <v>1758</v>
      </c>
      <c r="B467" s="5" t="s">
        <v>11</v>
      </c>
      <c r="C467" s="4">
        <v>66</v>
      </c>
      <c r="D467" s="101">
        <f t="shared" si="8"/>
        <v>66.833333333333329</v>
      </c>
      <c r="F467" s="90">
        <f t="shared" si="7"/>
        <v>0.1</v>
      </c>
    </row>
    <row r="468" spans="1:6">
      <c r="A468" s="5">
        <v>1758</v>
      </c>
      <c r="B468" s="5" t="s">
        <v>12</v>
      </c>
      <c r="C468" s="4">
        <v>67</v>
      </c>
      <c r="D468" s="101">
        <f t="shared" si="8"/>
        <v>67.333333333333329</v>
      </c>
      <c r="F468" s="90">
        <f t="shared" si="7"/>
        <v>9.8360655737704916E-2</v>
      </c>
    </row>
    <row r="469" spans="1:6">
      <c r="A469" s="5">
        <v>1758</v>
      </c>
      <c r="B469" s="5" t="s">
        <v>13</v>
      </c>
      <c r="C469" s="4">
        <v>68</v>
      </c>
      <c r="D469" s="101">
        <f t="shared" si="8"/>
        <v>67.666666666666671</v>
      </c>
      <c r="F469" s="90">
        <f t="shared" ref="F469:F532" si="9">(C469-C457)/C457</f>
        <v>6.25E-2</v>
      </c>
    </row>
    <row r="470" spans="1:6">
      <c r="A470" s="5">
        <v>1758</v>
      </c>
      <c r="B470" s="5" t="s">
        <v>14</v>
      </c>
      <c r="C470" s="4">
        <v>68</v>
      </c>
      <c r="D470" s="101">
        <f t="shared" si="8"/>
        <v>67.833333333333329</v>
      </c>
      <c r="F470" s="90">
        <f t="shared" si="9"/>
        <v>3.0303030303030304E-2</v>
      </c>
    </row>
    <row r="471" spans="1:6">
      <c r="A471" s="5">
        <v>1758</v>
      </c>
      <c r="B471" s="5" t="s">
        <v>15</v>
      </c>
      <c r="C471" s="4">
        <v>68</v>
      </c>
      <c r="D471" s="101">
        <f t="shared" si="8"/>
        <v>67.833333333333329</v>
      </c>
      <c r="F471" s="90">
        <f t="shared" si="9"/>
        <v>0</v>
      </c>
    </row>
    <row r="472" spans="1:6">
      <c r="A472" s="5">
        <v>1758</v>
      </c>
      <c r="B472" s="5" t="s">
        <v>16</v>
      </c>
      <c r="C472" s="4">
        <v>71</v>
      </c>
      <c r="D472" s="101">
        <f t="shared" si="8"/>
        <v>68</v>
      </c>
      <c r="F472" s="90">
        <f t="shared" si="9"/>
        <v>2.8985507246376812E-2</v>
      </c>
    </row>
    <row r="473" spans="1:6">
      <c r="A473" s="5">
        <v>1758</v>
      </c>
      <c r="B473" s="5" t="s">
        <v>17</v>
      </c>
      <c r="C473" s="4">
        <v>72</v>
      </c>
      <c r="D473" s="101">
        <f t="shared" si="8"/>
        <v>68.25</v>
      </c>
      <c r="F473" s="90">
        <f t="shared" si="9"/>
        <v>4.3478260869565216E-2</v>
      </c>
    </row>
    <row r="474" spans="1:6">
      <c r="A474" s="5">
        <v>1758</v>
      </c>
      <c r="B474" s="5" t="s">
        <v>18</v>
      </c>
      <c r="C474" s="4">
        <v>74</v>
      </c>
      <c r="D474" s="101">
        <f t="shared" si="8"/>
        <v>68.583333333333329</v>
      </c>
      <c r="F474" s="90">
        <f t="shared" si="9"/>
        <v>5.7142857142857141E-2</v>
      </c>
    </row>
    <row r="475" spans="1:6">
      <c r="A475" s="5">
        <v>1758</v>
      </c>
      <c r="B475" s="5" t="s">
        <v>19</v>
      </c>
      <c r="C475" s="4">
        <v>76</v>
      </c>
      <c r="D475" s="101">
        <f t="shared" si="8"/>
        <v>69.25</v>
      </c>
      <c r="F475" s="90">
        <f t="shared" si="9"/>
        <v>0.11764705882352941</v>
      </c>
    </row>
    <row r="476" spans="1:6">
      <c r="A476" s="5">
        <v>1758</v>
      </c>
      <c r="B476" s="5" t="s">
        <v>20</v>
      </c>
      <c r="C476" s="4">
        <v>77</v>
      </c>
      <c r="D476" s="101">
        <f t="shared" si="8"/>
        <v>70</v>
      </c>
      <c r="E476" s="4">
        <v>70</v>
      </c>
      <c r="F476" s="90">
        <f t="shared" si="9"/>
        <v>0.13235294117647059</v>
      </c>
    </row>
    <row r="477" spans="1:6">
      <c r="A477" s="5">
        <v>1759</v>
      </c>
      <c r="B477" s="5" t="s">
        <v>9</v>
      </c>
      <c r="C477" s="4">
        <v>78</v>
      </c>
      <c r="D477" s="101">
        <f t="shared" si="8"/>
        <v>70.916666666666671</v>
      </c>
      <c r="F477" s="90">
        <f t="shared" si="9"/>
        <v>0.16417910447761194</v>
      </c>
    </row>
    <row r="478" spans="1:6">
      <c r="A478" s="5">
        <v>1759</v>
      </c>
      <c r="B478" s="5" t="s">
        <v>10</v>
      </c>
      <c r="C478" s="4">
        <v>79</v>
      </c>
      <c r="D478" s="101">
        <f t="shared" si="8"/>
        <v>72</v>
      </c>
      <c r="F478" s="90">
        <f t="shared" si="9"/>
        <v>0.19696969696969696</v>
      </c>
    </row>
    <row r="479" spans="1:6">
      <c r="A479" s="5">
        <v>1759</v>
      </c>
      <c r="B479" s="5" t="s">
        <v>11</v>
      </c>
      <c r="C479" s="4">
        <v>79</v>
      </c>
      <c r="D479" s="101">
        <f t="shared" si="8"/>
        <v>73.083333333333329</v>
      </c>
      <c r="F479" s="90">
        <f t="shared" si="9"/>
        <v>0.19696969696969696</v>
      </c>
    </row>
    <row r="480" spans="1:6">
      <c r="A480" s="5">
        <v>1759</v>
      </c>
      <c r="B480" s="5" t="s">
        <v>12</v>
      </c>
      <c r="C480" s="4">
        <v>78</v>
      </c>
      <c r="D480" s="101">
        <f t="shared" si="8"/>
        <v>74</v>
      </c>
      <c r="F480" s="90">
        <f t="shared" si="9"/>
        <v>0.16417910447761194</v>
      </c>
    </row>
    <row r="481" spans="1:6">
      <c r="A481" s="5">
        <v>1759</v>
      </c>
      <c r="B481" s="5" t="s">
        <v>13</v>
      </c>
      <c r="C481" s="4">
        <v>77</v>
      </c>
      <c r="D481" s="101">
        <f t="shared" si="8"/>
        <v>74.75</v>
      </c>
      <c r="F481" s="90">
        <f t="shared" si="9"/>
        <v>0.13235294117647059</v>
      </c>
    </row>
    <row r="482" spans="1:6">
      <c r="A482" s="5">
        <v>1759</v>
      </c>
      <c r="B482" s="5" t="s">
        <v>14</v>
      </c>
      <c r="C482" s="4">
        <v>78</v>
      </c>
      <c r="D482" s="101">
        <f t="shared" si="8"/>
        <v>75.583333333333329</v>
      </c>
      <c r="F482" s="90">
        <f t="shared" si="9"/>
        <v>0.14705882352941177</v>
      </c>
    </row>
    <row r="483" spans="1:6">
      <c r="A483" s="5">
        <v>1759</v>
      </c>
      <c r="B483" s="5" t="s">
        <v>15</v>
      </c>
      <c r="C483" s="4">
        <v>77</v>
      </c>
      <c r="D483" s="101">
        <f t="shared" si="8"/>
        <v>76.333333333333329</v>
      </c>
      <c r="F483" s="90">
        <f t="shared" si="9"/>
        <v>0.13235294117647059</v>
      </c>
    </row>
    <row r="484" spans="1:6">
      <c r="A484" s="5">
        <v>1759</v>
      </c>
      <c r="B484" s="5" t="s">
        <v>16</v>
      </c>
      <c r="C484" s="4">
        <v>81</v>
      </c>
      <c r="D484" s="101">
        <f t="shared" si="8"/>
        <v>77.166666666666671</v>
      </c>
      <c r="F484" s="90">
        <f t="shared" si="9"/>
        <v>0.14084507042253522</v>
      </c>
    </row>
    <row r="485" spans="1:6">
      <c r="A485" s="5">
        <v>1759</v>
      </c>
      <c r="B485" s="5" t="s">
        <v>17</v>
      </c>
      <c r="C485" s="4">
        <v>84</v>
      </c>
      <c r="D485" s="101">
        <f t="shared" si="8"/>
        <v>78.166666666666671</v>
      </c>
      <c r="F485" s="90">
        <f t="shared" si="9"/>
        <v>0.16666666666666666</v>
      </c>
    </row>
    <row r="486" spans="1:6">
      <c r="A486" s="5">
        <v>1759</v>
      </c>
      <c r="B486" s="5" t="s">
        <v>18</v>
      </c>
      <c r="C486" s="4">
        <v>79</v>
      </c>
      <c r="D486" s="101">
        <f t="shared" si="8"/>
        <v>78.583333333333329</v>
      </c>
      <c r="F486" s="90">
        <f t="shared" si="9"/>
        <v>6.7567567567567571E-2</v>
      </c>
    </row>
    <row r="487" spans="1:6">
      <c r="A487" s="5">
        <v>1759</v>
      </c>
      <c r="B487" s="5" t="s">
        <v>19</v>
      </c>
      <c r="C487" s="4">
        <v>80</v>
      </c>
      <c r="D487" s="101">
        <f t="shared" si="8"/>
        <v>78.916666666666671</v>
      </c>
      <c r="F487" s="90">
        <f t="shared" si="9"/>
        <v>5.2631578947368418E-2</v>
      </c>
    </row>
    <row r="488" spans="1:6">
      <c r="A488" s="5">
        <v>1759</v>
      </c>
      <c r="B488" s="5" t="s">
        <v>20</v>
      </c>
      <c r="C488" s="4">
        <v>79</v>
      </c>
      <c r="D488" s="101">
        <f t="shared" si="8"/>
        <v>79.083333333333329</v>
      </c>
      <c r="E488" s="4">
        <v>79</v>
      </c>
      <c r="F488" s="90">
        <f t="shared" si="9"/>
        <v>2.5974025974025976E-2</v>
      </c>
    </row>
    <row r="489" spans="1:6">
      <c r="A489" s="5">
        <v>1760</v>
      </c>
      <c r="B489" s="5" t="s">
        <v>9</v>
      </c>
      <c r="C489" s="4">
        <v>86</v>
      </c>
      <c r="D489" s="101">
        <f t="shared" si="8"/>
        <v>79.75</v>
      </c>
      <c r="F489" s="90">
        <f t="shared" si="9"/>
        <v>0.10256410256410256</v>
      </c>
    </row>
    <row r="490" spans="1:6">
      <c r="A490" s="5">
        <v>1760</v>
      </c>
      <c r="B490" s="5" t="s">
        <v>10</v>
      </c>
      <c r="C490" s="4">
        <v>79</v>
      </c>
      <c r="D490" s="101">
        <f t="shared" si="8"/>
        <v>79.75</v>
      </c>
      <c r="F490" s="90">
        <f t="shared" si="9"/>
        <v>0</v>
      </c>
    </row>
    <row r="491" spans="1:6">
      <c r="A491" s="5">
        <v>1760</v>
      </c>
      <c r="B491" s="5" t="s">
        <v>11</v>
      </c>
      <c r="C491" s="4">
        <v>77</v>
      </c>
      <c r="D491" s="101">
        <f t="shared" si="8"/>
        <v>79.583333333333329</v>
      </c>
      <c r="F491" s="90">
        <f t="shared" si="9"/>
        <v>-2.5316455696202531E-2</v>
      </c>
    </row>
    <row r="492" spans="1:6">
      <c r="A492" s="5">
        <v>1760</v>
      </c>
      <c r="B492" s="5" t="s">
        <v>12</v>
      </c>
      <c r="C492" s="4">
        <v>77</v>
      </c>
      <c r="D492" s="101">
        <f t="shared" si="8"/>
        <v>79.5</v>
      </c>
      <c r="F492" s="90">
        <f t="shared" si="9"/>
        <v>-1.282051282051282E-2</v>
      </c>
    </row>
    <row r="493" spans="1:6">
      <c r="A493" s="5">
        <v>1760</v>
      </c>
      <c r="B493" s="5" t="s">
        <v>13</v>
      </c>
      <c r="C493" s="4">
        <v>77</v>
      </c>
      <c r="D493" s="101">
        <f t="shared" si="8"/>
        <v>79.5</v>
      </c>
      <c r="F493" s="90">
        <f t="shared" si="9"/>
        <v>0</v>
      </c>
    </row>
    <row r="494" spans="1:6">
      <c r="A494" s="5">
        <v>1760</v>
      </c>
      <c r="B494" s="5" t="s">
        <v>14</v>
      </c>
      <c r="C494" s="4">
        <v>76</v>
      </c>
      <c r="D494" s="101">
        <f t="shared" si="8"/>
        <v>79.333333333333329</v>
      </c>
      <c r="F494" s="90">
        <f t="shared" si="9"/>
        <v>-2.564102564102564E-2</v>
      </c>
    </row>
    <row r="495" spans="1:6">
      <c r="A495" s="5">
        <v>1760</v>
      </c>
      <c r="B495" s="5" t="s">
        <v>15</v>
      </c>
      <c r="C495" s="4">
        <v>78</v>
      </c>
      <c r="D495" s="101">
        <f t="shared" si="8"/>
        <v>79.416666666666671</v>
      </c>
      <c r="F495" s="90">
        <f t="shared" si="9"/>
        <v>1.2987012987012988E-2</v>
      </c>
    </row>
    <row r="496" spans="1:6">
      <c r="A496" s="5">
        <v>1760</v>
      </c>
      <c r="B496" s="5" t="s">
        <v>16</v>
      </c>
      <c r="C496" s="4">
        <v>78</v>
      </c>
      <c r="D496" s="101">
        <f t="shared" si="8"/>
        <v>79.166666666666671</v>
      </c>
      <c r="F496" s="90">
        <f t="shared" si="9"/>
        <v>-3.7037037037037035E-2</v>
      </c>
    </row>
    <row r="497" spans="1:6">
      <c r="A497" s="5">
        <v>1760</v>
      </c>
      <c r="B497" s="5" t="s">
        <v>17</v>
      </c>
      <c r="C497" s="4">
        <v>80</v>
      </c>
      <c r="D497" s="101">
        <f t="shared" ref="D497:D560" si="10">AVERAGE(C486:C497)</f>
        <v>78.833333333333329</v>
      </c>
      <c r="F497" s="90">
        <f t="shared" si="9"/>
        <v>-4.7619047619047616E-2</v>
      </c>
    </row>
    <row r="498" spans="1:6">
      <c r="A498" s="5">
        <v>1760</v>
      </c>
      <c r="B498" s="5" t="s">
        <v>18</v>
      </c>
      <c r="C498" s="4">
        <v>80</v>
      </c>
      <c r="D498" s="101">
        <f t="shared" si="10"/>
        <v>78.916666666666671</v>
      </c>
      <c r="F498" s="90">
        <f t="shared" si="9"/>
        <v>1.2658227848101266E-2</v>
      </c>
    </row>
    <row r="499" spans="1:6">
      <c r="A499" s="5">
        <v>1760</v>
      </c>
      <c r="B499" s="5" t="s">
        <v>19</v>
      </c>
      <c r="C499" s="4">
        <v>85</v>
      </c>
      <c r="D499" s="101">
        <f t="shared" si="10"/>
        <v>79.333333333333329</v>
      </c>
      <c r="F499" s="90">
        <f t="shared" si="9"/>
        <v>6.25E-2</v>
      </c>
    </row>
    <row r="500" spans="1:6">
      <c r="A500" s="5">
        <v>1760</v>
      </c>
      <c r="B500" s="5" t="s">
        <v>20</v>
      </c>
      <c r="C500" s="4">
        <v>83</v>
      </c>
      <c r="D500" s="101">
        <f t="shared" si="10"/>
        <v>79.666666666666671</v>
      </c>
      <c r="E500" s="4">
        <v>79</v>
      </c>
      <c r="F500" s="90">
        <f t="shared" si="9"/>
        <v>5.0632911392405063E-2</v>
      </c>
    </row>
    <row r="501" spans="1:6">
      <c r="A501" s="5">
        <v>1761</v>
      </c>
      <c r="B501" s="5" t="s">
        <v>9</v>
      </c>
      <c r="C501" s="4">
        <v>83</v>
      </c>
      <c r="D501" s="101">
        <f t="shared" si="10"/>
        <v>79.416666666666671</v>
      </c>
      <c r="F501" s="90">
        <f t="shared" si="9"/>
        <v>-3.4883720930232558E-2</v>
      </c>
    </row>
    <row r="502" spans="1:6">
      <c r="A502" s="5">
        <v>1761</v>
      </c>
      <c r="B502" s="5" t="s">
        <v>10</v>
      </c>
      <c r="C502" s="4">
        <v>84</v>
      </c>
      <c r="D502" s="101">
        <f t="shared" si="10"/>
        <v>79.833333333333329</v>
      </c>
      <c r="F502" s="90">
        <f t="shared" si="9"/>
        <v>6.3291139240506333E-2</v>
      </c>
    </row>
    <row r="503" spans="1:6">
      <c r="A503" s="5">
        <v>1761</v>
      </c>
      <c r="B503" s="5" t="s">
        <v>11</v>
      </c>
      <c r="C503" s="4">
        <v>78</v>
      </c>
      <c r="D503" s="101">
        <f t="shared" si="10"/>
        <v>79.916666666666671</v>
      </c>
      <c r="F503" s="90">
        <f t="shared" si="9"/>
        <v>1.2987012987012988E-2</v>
      </c>
    </row>
    <row r="504" spans="1:6">
      <c r="A504" s="5">
        <v>1761</v>
      </c>
      <c r="B504" s="5" t="s">
        <v>12</v>
      </c>
      <c r="C504" s="4">
        <v>77</v>
      </c>
      <c r="D504" s="101">
        <f t="shared" si="10"/>
        <v>79.916666666666671</v>
      </c>
      <c r="F504" s="90">
        <f t="shared" si="9"/>
        <v>0</v>
      </c>
    </row>
    <row r="505" spans="1:6">
      <c r="A505" s="5">
        <v>1761</v>
      </c>
      <c r="B505" s="5" t="s">
        <v>13</v>
      </c>
      <c r="C505" s="4">
        <v>75</v>
      </c>
      <c r="D505" s="101">
        <f t="shared" si="10"/>
        <v>79.75</v>
      </c>
      <c r="F505" s="90">
        <f t="shared" si="9"/>
        <v>-2.5974025974025976E-2</v>
      </c>
    </row>
    <row r="506" spans="1:6">
      <c r="A506" s="5">
        <v>1761</v>
      </c>
      <c r="B506" s="5" t="s">
        <v>14</v>
      </c>
      <c r="C506" s="4">
        <v>78</v>
      </c>
      <c r="D506" s="101">
        <f t="shared" si="10"/>
        <v>79.916666666666671</v>
      </c>
      <c r="F506" s="90">
        <f t="shared" si="9"/>
        <v>2.6315789473684209E-2</v>
      </c>
    </row>
    <row r="507" spans="1:6">
      <c r="A507" s="5">
        <v>1761</v>
      </c>
      <c r="B507" s="5" t="s">
        <v>15</v>
      </c>
      <c r="C507" s="4">
        <v>73</v>
      </c>
      <c r="D507" s="101">
        <f t="shared" si="10"/>
        <v>79.5</v>
      </c>
      <c r="F507" s="90">
        <f t="shared" si="9"/>
        <v>-6.4102564102564097E-2</v>
      </c>
    </row>
    <row r="508" spans="1:6">
      <c r="A508" s="5">
        <v>1761</v>
      </c>
      <c r="B508" s="5" t="s">
        <v>16</v>
      </c>
      <c r="C508" s="4">
        <v>71</v>
      </c>
      <c r="D508" s="101">
        <f t="shared" si="10"/>
        <v>78.916666666666671</v>
      </c>
      <c r="F508" s="90">
        <f t="shared" si="9"/>
        <v>-8.9743589743589744E-2</v>
      </c>
    </row>
    <row r="509" spans="1:6">
      <c r="A509" s="5">
        <v>1761</v>
      </c>
      <c r="B509" s="5" t="s">
        <v>17</v>
      </c>
      <c r="C509" s="4">
        <v>72</v>
      </c>
      <c r="D509" s="101">
        <f t="shared" si="10"/>
        <v>78.25</v>
      </c>
      <c r="F509" s="90">
        <f t="shared" si="9"/>
        <v>-0.1</v>
      </c>
    </row>
    <row r="510" spans="1:6">
      <c r="A510" s="5">
        <v>1761</v>
      </c>
      <c r="B510" s="5" t="s">
        <v>18</v>
      </c>
      <c r="C510" s="4">
        <v>77</v>
      </c>
      <c r="D510" s="101">
        <f t="shared" si="10"/>
        <v>78</v>
      </c>
      <c r="F510" s="90">
        <f t="shared" si="9"/>
        <v>-3.7499999999999999E-2</v>
      </c>
    </row>
    <row r="511" spans="1:6">
      <c r="A511" s="5">
        <v>1761</v>
      </c>
      <c r="B511" s="5" t="s">
        <v>19</v>
      </c>
      <c r="C511" s="4">
        <v>78</v>
      </c>
      <c r="D511" s="101">
        <f t="shared" si="10"/>
        <v>77.416666666666671</v>
      </c>
      <c r="F511" s="90">
        <f t="shared" si="9"/>
        <v>-8.2352941176470587E-2</v>
      </c>
    </row>
    <row r="512" spans="1:6">
      <c r="A512" s="5">
        <v>1761</v>
      </c>
      <c r="B512" s="5" t="s">
        <v>20</v>
      </c>
      <c r="C512" s="4">
        <v>78</v>
      </c>
      <c r="D512" s="101">
        <f t="shared" si="10"/>
        <v>77</v>
      </c>
      <c r="E512" s="4">
        <v>77</v>
      </c>
      <c r="F512" s="90">
        <f t="shared" si="9"/>
        <v>-6.0240963855421686E-2</v>
      </c>
    </row>
    <row r="513" spans="1:6">
      <c r="A513" s="5">
        <v>1762</v>
      </c>
      <c r="B513" s="5" t="s">
        <v>9</v>
      </c>
      <c r="C513" s="4">
        <v>83</v>
      </c>
      <c r="D513" s="101">
        <f t="shared" si="10"/>
        <v>77</v>
      </c>
      <c r="F513" s="90">
        <f t="shared" si="9"/>
        <v>0</v>
      </c>
    </row>
    <row r="514" spans="1:6">
      <c r="A514" s="5">
        <v>1762</v>
      </c>
      <c r="B514" s="5" t="s">
        <v>10</v>
      </c>
      <c r="C514" s="4">
        <v>82</v>
      </c>
      <c r="D514" s="101">
        <f t="shared" si="10"/>
        <v>76.833333333333329</v>
      </c>
      <c r="F514" s="90">
        <f t="shared" si="9"/>
        <v>-2.3809523809523808E-2</v>
      </c>
    </row>
    <row r="515" spans="1:6">
      <c r="A515" s="5">
        <v>1762</v>
      </c>
      <c r="B515" s="5" t="s">
        <v>11</v>
      </c>
      <c r="C515" s="4">
        <v>83</v>
      </c>
      <c r="D515" s="101">
        <f t="shared" si="10"/>
        <v>77.25</v>
      </c>
      <c r="F515" s="90">
        <f t="shared" si="9"/>
        <v>6.4102564102564097E-2</v>
      </c>
    </row>
    <row r="516" spans="1:6">
      <c r="A516" s="5">
        <v>1762</v>
      </c>
      <c r="B516" s="5" t="s">
        <v>12</v>
      </c>
      <c r="C516" s="4">
        <v>79</v>
      </c>
      <c r="D516" s="101">
        <f t="shared" si="10"/>
        <v>77.416666666666671</v>
      </c>
      <c r="F516" s="90">
        <f t="shared" si="9"/>
        <v>2.5974025974025976E-2</v>
      </c>
    </row>
    <row r="517" spans="1:6">
      <c r="A517" s="5">
        <v>1762</v>
      </c>
      <c r="B517" s="5" t="s">
        <v>13</v>
      </c>
      <c r="C517" s="4">
        <v>85</v>
      </c>
      <c r="D517" s="101">
        <f t="shared" si="10"/>
        <v>78.25</v>
      </c>
      <c r="F517" s="90">
        <f t="shared" si="9"/>
        <v>0.13333333333333333</v>
      </c>
    </row>
    <row r="518" spans="1:6">
      <c r="A518" s="5">
        <v>1762</v>
      </c>
      <c r="B518" s="5" t="s">
        <v>14</v>
      </c>
      <c r="C518" s="4">
        <v>84</v>
      </c>
      <c r="D518" s="101">
        <f t="shared" si="10"/>
        <v>78.75</v>
      </c>
      <c r="F518" s="90">
        <f t="shared" si="9"/>
        <v>7.6923076923076927E-2</v>
      </c>
    </row>
    <row r="519" spans="1:6">
      <c r="A519" s="5">
        <v>1762</v>
      </c>
      <c r="B519" s="5" t="s">
        <v>15</v>
      </c>
      <c r="C519" s="4">
        <v>84</v>
      </c>
      <c r="D519" s="101">
        <f t="shared" si="10"/>
        <v>79.666666666666671</v>
      </c>
      <c r="F519" s="90">
        <f t="shared" si="9"/>
        <v>0.15068493150684931</v>
      </c>
    </row>
    <row r="520" spans="1:6">
      <c r="A520" s="5">
        <v>1762</v>
      </c>
      <c r="B520" s="5" t="s">
        <v>16</v>
      </c>
      <c r="C520" s="4">
        <v>92</v>
      </c>
      <c r="D520" s="101">
        <f t="shared" si="10"/>
        <v>81.416666666666671</v>
      </c>
      <c r="F520" s="90">
        <f t="shared" si="9"/>
        <v>0.29577464788732394</v>
      </c>
    </row>
    <row r="521" spans="1:6">
      <c r="A521" s="5">
        <v>1762</v>
      </c>
      <c r="B521" s="5" t="s">
        <v>17</v>
      </c>
      <c r="C521" s="4">
        <v>93</v>
      </c>
      <c r="D521" s="101">
        <f t="shared" si="10"/>
        <v>83.166666666666671</v>
      </c>
      <c r="F521" s="90">
        <f t="shared" si="9"/>
        <v>0.29166666666666669</v>
      </c>
    </row>
    <row r="522" spans="1:6">
      <c r="A522" s="5">
        <v>1762</v>
      </c>
      <c r="B522" s="5" t="s">
        <v>18</v>
      </c>
      <c r="C522" s="4">
        <v>96</v>
      </c>
      <c r="D522" s="101">
        <f t="shared" si="10"/>
        <v>84.75</v>
      </c>
      <c r="F522" s="90">
        <f t="shared" si="9"/>
        <v>0.24675324675324675</v>
      </c>
    </row>
    <row r="523" spans="1:6">
      <c r="A523" s="5">
        <v>1762</v>
      </c>
      <c r="B523" s="5" t="s">
        <v>19</v>
      </c>
      <c r="C523" s="4">
        <v>96</v>
      </c>
      <c r="D523" s="101">
        <f t="shared" si="10"/>
        <v>86.25</v>
      </c>
      <c r="F523" s="90">
        <f t="shared" si="9"/>
        <v>0.23076923076923078</v>
      </c>
    </row>
    <row r="524" spans="1:6">
      <c r="A524" s="5">
        <v>1762</v>
      </c>
      <c r="B524" s="5" t="s">
        <v>20</v>
      </c>
      <c r="C524" s="4">
        <v>86</v>
      </c>
      <c r="D524" s="101">
        <f t="shared" si="10"/>
        <v>86.916666666666671</v>
      </c>
      <c r="E524" s="4">
        <v>87</v>
      </c>
      <c r="F524" s="90">
        <f t="shared" si="9"/>
        <v>0.10256410256410256</v>
      </c>
    </row>
    <row r="525" spans="1:6">
      <c r="A525" s="5">
        <v>1763</v>
      </c>
      <c r="B525" s="5" t="s">
        <v>9</v>
      </c>
      <c r="C525" s="4">
        <v>93</v>
      </c>
      <c r="D525" s="101">
        <f t="shared" si="10"/>
        <v>87.75</v>
      </c>
      <c r="F525" s="90">
        <f t="shared" si="9"/>
        <v>0.12048192771084337</v>
      </c>
    </row>
    <row r="526" spans="1:6">
      <c r="A526" s="5">
        <v>1763</v>
      </c>
      <c r="B526" s="5" t="s">
        <v>10</v>
      </c>
      <c r="C526" s="4">
        <v>92</v>
      </c>
      <c r="D526" s="101">
        <f t="shared" si="10"/>
        <v>88.583333333333329</v>
      </c>
      <c r="F526" s="90">
        <f t="shared" si="9"/>
        <v>0.12195121951219512</v>
      </c>
    </row>
    <row r="527" spans="1:6">
      <c r="A527" s="5">
        <v>1763</v>
      </c>
      <c r="B527" s="5" t="s">
        <v>11</v>
      </c>
      <c r="C527" s="4">
        <v>83</v>
      </c>
      <c r="D527" s="101">
        <f t="shared" si="10"/>
        <v>88.583333333333329</v>
      </c>
      <c r="F527" s="90">
        <f t="shared" si="9"/>
        <v>0</v>
      </c>
    </row>
    <row r="528" spans="1:6">
      <c r="A528" s="5">
        <v>1763</v>
      </c>
      <c r="B528" s="5" t="s">
        <v>12</v>
      </c>
      <c r="C528" s="4">
        <v>80</v>
      </c>
      <c r="D528" s="101">
        <f t="shared" si="10"/>
        <v>88.666666666666671</v>
      </c>
      <c r="F528" s="90">
        <f t="shared" si="9"/>
        <v>1.2658227848101266E-2</v>
      </c>
    </row>
    <row r="529" spans="1:6">
      <c r="A529" s="5">
        <v>1763</v>
      </c>
      <c r="B529" s="5" t="s">
        <v>13</v>
      </c>
      <c r="C529" s="4">
        <v>76</v>
      </c>
      <c r="D529" s="101">
        <f t="shared" si="10"/>
        <v>87.916666666666671</v>
      </c>
      <c r="F529" s="90">
        <f t="shared" si="9"/>
        <v>-0.10588235294117647</v>
      </c>
    </row>
    <row r="530" spans="1:6">
      <c r="A530" s="5">
        <v>1763</v>
      </c>
      <c r="B530" s="5" t="s">
        <v>14</v>
      </c>
      <c r="C530" s="4">
        <v>80</v>
      </c>
      <c r="D530" s="101">
        <f t="shared" si="10"/>
        <v>87.583333333333329</v>
      </c>
      <c r="F530" s="90">
        <f t="shared" si="9"/>
        <v>-4.7619047619047616E-2</v>
      </c>
    </row>
    <row r="531" spans="1:6">
      <c r="A531" s="5">
        <v>1763</v>
      </c>
      <c r="B531" s="5" t="s">
        <v>15</v>
      </c>
      <c r="C531" s="4">
        <v>76</v>
      </c>
      <c r="D531" s="101">
        <f t="shared" si="10"/>
        <v>86.916666666666671</v>
      </c>
      <c r="F531" s="90">
        <f t="shared" si="9"/>
        <v>-9.5238095238095233E-2</v>
      </c>
    </row>
    <row r="532" spans="1:6">
      <c r="A532" s="5">
        <v>1763</v>
      </c>
      <c r="B532" s="5" t="s">
        <v>16</v>
      </c>
      <c r="C532" s="4">
        <v>75</v>
      </c>
      <c r="D532" s="101">
        <f t="shared" si="10"/>
        <v>85.5</v>
      </c>
      <c r="F532" s="90">
        <f t="shared" si="9"/>
        <v>-0.18478260869565216</v>
      </c>
    </row>
    <row r="533" spans="1:6">
      <c r="A533" s="5">
        <v>1763</v>
      </c>
      <c r="B533" s="5" t="s">
        <v>17</v>
      </c>
      <c r="C533" s="4">
        <v>75</v>
      </c>
      <c r="D533" s="101">
        <f t="shared" si="10"/>
        <v>84</v>
      </c>
      <c r="F533" s="90">
        <f t="shared" ref="F533:F596" si="11">(C533-C521)/C521</f>
        <v>-0.19354838709677419</v>
      </c>
    </row>
    <row r="534" spans="1:6">
      <c r="A534" s="5">
        <v>1763</v>
      </c>
      <c r="B534" s="5" t="s">
        <v>18</v>
      </c>
      <c r="C534" s="4">
        <v>75</v>
      </c>
      <c r="D534" s="101">
        <f t="shared" si="10"/>
        <v>82.25</v>
      </c>
      <c r="F534" s="90">
        <f t="shared" si="11"/>
        <v>-0.21875</v>
      </c>
    </row>
    <row r="535" spans="1:6">
      <c r="A535" s="5">
        <v>1763</v>
      </c>
      <c r="B535" s="5" t="s">
        <v>19</v>
      </c>
      <c r="C535" s="4">
        <v>75</v>
      </c>
      <c r="D535" s="101">
        <f t="shared" si="10"/>
        <v>80.5</v>
      </c>
      <c r="F535" s="90">
        <f t="shared" si="11"/>
        <v>-0.21875</v>
      </c>
    </row>
    <row r="536" spans="1:6">
      <c r="A536" s="5">
        <v>1763</v>
      </c>
      <c r="B536" s="5" t="s">
        <v>20</v>
      </c>
      <c r="C536" s="4">
        <v>73</v>
      </c>
      <c r="D536" s="101">
        <f t="shared" si="10"/>
        <v>79.416666666666671</v>
      </c>
      <c r="E536" s="4">
        <v>79</v>
      </c>
      <c r="F536" s="90">
        <f t="shared" si="11"/>
        <v>-0.15116279069767441</v>
      </c>
    </row>
    <row r="537" spans="1:6">
      <c r="A537" s="5">
        <v>1764</v>
      </c>
      <c r="B537" s="5" t="s">
        <v>9</v>
      </c>
      <c r="C537" s="4">
        <v>79</v>
      </c>
      <c r="D537" s="101">
        <f t="shared" si="10"/>
        <v>78.25</v>
      </c>
      <c r="F537" s="90">
        <f t="shared" si="11"/>
        <v>-0.15053763440860216</v>
      </c>
    </row>
    <row r="538" spans="1:6">
      <c r="A538" s="5">
        <v>1764</v>
      </c>
      <c r="B538" s="5" t="s">
        <v>10</v>
      </c>
      <c r="C538" s="4">
        <v>79</v>
      </c>
      <c r="D538" s="101">
        <f t="shared" si="10"/>
        <v>77.166666666666671</v>
      </c>
      <c r="F538" s="90">
        <f t="shared" si="11"/>
        <v>-0.14130434782608695</v>
      </c>
    </row>
    <row r="539" spans="1:6">
      <c r="A539" s="5">
        <v>1764</v>
      </c>
      <c r="B539" s="5" t="s">
        <v>11</v>
      </c>
      <c r="C539" s="4">
        <v>74</v>
      </c>
      <c r="D539" s="101">
        <f t="shared" si="10"/>
        <v>76.416666666666671</v>
      </c>
      <c r="F539" s="90">
        <f t="shared" si="11"/>
        <v>-0.10843373493975904</v>
      </c>
    </row>
    <row r="540" spans="1:6">
      <c r="A540" s="5">
        <v>1764</v>
      </c>
      <c r="B540" s="5" t="s">
        <v>12</v>
      </c>
      <c r="C540" s="4">
        <v>71</v>
      </c>
      <c r="D540" s="101">
        <f t="shared" si="10"/>
        <v>75.666666666666671</v>
      </c>
      <c r="F540" s="90">
        <f t="shared" si="11"/>
        <v>-0.1125</v>
      </c>
    </row>
    <row r="541" spans="1:6">
      <c r="A541" s="5">
        <v>1764</v>
      </c>
      <c r="B541" s="5" t="s">
        <v>13</v>
      </c>
      <c r="C541" s="4">
        <v>73</v>
      </c>
      <c r="D541" s="101">
        <f t="shared" si="10"/>
        <v>75.416666666666671</v>
      </c>
      <c r="F541" s="90">
        <f t="shared" si="11"/>
        <v>-3.9473684210526314E-2</v>
      </c>
    </row>
    <row r="542" spans="1:6">
      <c r="A542" s="5">
        <v>1764</v>
      </c>
      <c r="B542" s="5" t="s">
        <v>14</v>
      </c>
      <c r="C542" s="4">
        <v>72</v>
      </c>
      <c r="D542" s="101">
        <f t="shared" si="10"/>
        <v>74.75</v>
      </c>
      <c r="F542" s="90">
        <f t="shared" si="11"/>
        <v>-0.1</v>
      </c>
    </row>
    <row r="543" spans="1:6">
      <c r="A543" s="5">
        <v>1764</v>
      </c>
      <c r="B543" s="5" t="s">
        <v>15</v>
      </c>
      <c r="C543" s="4">
        <v>71</v>
      </c>
      <c r="D543" s="101">
        <f t="shared" si="10"/>
        <v>74.333333333333329</v>
      </c>
      <c r="F543" s="90">
        <f t="shared" si="11"/>
        <v>-6.5789473684210523E-2</v>
      </c>
    </row>
    <row r="544" spans="1:6">
      <c r="A544" s="5">
        <v>1764</v>
      </c>
      <c r="B544" s="5" t="s">
        <v>16</v>
      </c>
      <c r="C544" s="4">
        <v>73</v>
      </c>
      <c r="D544" s="101">
        <f t="shared" si="10"/>
        <v>74.166666666666671</v>
      </c>
      <c r="F544" s="90">
        <f t="shared" si="11"/>
        <v>-2.6666666666666668E-2</v>
      </c>
    </row>
    <row r="545" spans="1:6">
      <c r="A545" s="5">
        <v>1764</v>
      </c>
      <c r="B545" s="5" t="s">
        <v>17</v>
      </c>
      <c r="C545" s="4">
        <v>74</v>
      </c>
      <c r="D545" s="101">
        <f t="shared" si="10"/>
        <v>74.083333333333329</v>
      </c>
      <c r="F545" s="90">
        <f t="shared" si="11"/>
        <v>-1.3333333333333334E-2</v>
      </c>
    </row>
    <row r="546" spans="1:6">
      <c r="A546" s="5">
        <v>1764</v>
      </c>
      <c r="B546" s="5" t="s">
        <v>18</v>
      </c>
      <c r="C546" s="4">
        <v>74</v>
      </c>
      <c r="D546" s="101">
        <f t="shared" si="10"/>
        <v>74</v>
      </c>
      <c r="F546" s="90">
        <f t="shared" si="11"/>
        <v>-1.3333333333333334E-2</v>
      </c>
    </row>
    <row r="547" spans="1:6">
      <c r="A547" s="5">
        <v>1764</v>
      </c>
      <c r="B547" s="5" t="s">
        <v>19</v>
      </c>
      <c r="C547" s="4">
        <v>75</v>
      </c>
      <c r="D547" s="101">
        <f t="shared" si="10"/>
        <v>74</v>
      </c>
      <c r="F547" s="90">
        <f t="shared" si="11"/>
        <v>0</v>
      </c>
    </row>
    <row r="548" spans="1:6">
      <c r="A548" s="5">
        <v>1764</v>
      </c>
      <c r="B548" s="5" t="s">
        <v>20</v>
      </c>
      <c r="C548" s="4">
        <v>71</v>
      </c>
      <c r="D548" s="101">
        <f t="shared" si="10"/>
        <v>73.833333333333329</v>
      </c>
      <c r="E548" s="4">
        <v>74</v>
      </c>
      <c r="F548" s="90">
        <f t="shared" si="11"/>
        <v>-2.7397260273972601E-2</v>
      </c>
    </row>
    <row r="549" spans="1:6">
      <c r="A549" s="5">
        <v>1765</v>
      </c>
      <c r="B549" s="5" t="s">
        <v>9</v>
      </c>
      <c r="C549" s="4">
        <v>72</v>
      </c>
      <c r="D549" s="101">
        <f t="shared" si="10"/>
        <v>73.25</v>
      </c>
      <c r="F549" s="90">
        <f t="shared" si="11"/>
        <v>-8.8607594936708861E-2</v>
      </c>
    </row>
    <row r="550" spans="1:6">
      <c r="A550" s="5">
        <v>1765</v>
      </c>
      <c r="B550" s="5" t="s">
        <v>10</v>
      </c>
      <c r="C550" s="4">
        <v>76</v>
      </c>
      <c r="D550" s="101">
        <f t="shared" si="10"/>
        <v>73</v>
      </c>
      <c r="F550" s="90">
        <f t="shared" si="11"/>
        <v>-3.7974683544303799E-2</v>
      </c>
    </row>
    <row r="551" spans="1:6">
      <c r="A551" s="5">
        <v>1765</v>
      </c>
      <c r="B551" s="5" t="s">
        <v>11</v>
      </c>
      <c r="C551" s="4">
        <v>68</v>
      </c>
      <c r="D551" s="101">
        <f t="shared" si="10"/>
        <v>72.5</v>
      </c>
      <c r="F551" s="90">
        <f t="shared" si="11"/>
        <v>-8.1081081081081086E-2</v>
      </c>
    </row>
    <row r="552" spans="1:6">
      <c r="A552" s="5">
        <v>1765</v>
      </c>
      <c r="B552" s="5" t="s">
        <v>12</v>
      </c>
      <c r="C552" s="4">
        <v>68</v>
      </c>
      <c r="D552" s="101">
        <f t="shared" si="10"/>
        <v>72.25</v>
      </c>
      <c r="F552" s="90">
        <f t="shared" si="11"/>
        <v>-4.2253521126760563E-2</v>
      </c>
    </row>
    <row r="553" spans="1:6">
      <c r="A553" s="5">
        <v>1765</v>
      </c>
      <c r="B553" s="5" t="s">
        <v>13</v>
      </c>
      <c r="C553" s="4">
        <v>72</v>
      </c>
      <c r="D553" s="101">
        <f t="shared" si="10"/>
        <v>72.166666666666671</v>
      </c>
      <c r="F553" s="90">
        <f t="shared" si="11"/>
        <v>-1.3698630136986301E-2</v>
      </c>
    </row>
    <row r="554" spans="1:6">
      <c r="A554" s="5">
        <v>1765</v>
      </c>
      <c r="B554" s="5" t="s">
        <v>14</v>
      </c>
      <c r="C554" s="4">
        <v>71</v>
      </c>
      <c r="D554" s="101">
        <f t="shared" si="10"/>
        <v>72.083333333333329</v>
      </c>
      <c r="F554" s="90">
        <f t="shared" si="11"/>
        <v>-1.3888888888888888E-2</v>
      </c>
    </row>
    <row r="555" spans="1:6">
      <c r="A555" s="5">
        <v>1765</v>
      </c>
      <c r="B555" s="5" t="s">
        <v>15</v>
      </c>
      <c r="C555" s="4">
        <v>73</v>
      </c>
      <c r="D555" s="101">
        <f t="shared" si="10"/>
        <v>72.25</v>
      </c>
      <c r="F555" s="90">
        <f t="shared" si="11"/>
        <v>2.8169014084507043E-2</v>
      </c>
    </row>
    <row r="556" spans="1:6">
      <c r="A556" s="5">
        <v>1765</v>
      </c>
      <c r="B556" s="5" t="s">
        <v>16</v>
      </c>
      <c r="C556" s="4">
        <v>73</v>
      </c>
      <c r="D556" s="101">
        <f t="shared" si="10"/>
        <v>72.25</v>
      </c>
      <c r="F556" s="90">
        <f t="shared" si="11"/>
        <v>0</v>
      </c>
    </row>
    <row r="557" spans="1:6">
      <c r="A557" s="5">
        <v>1765</v>
      </c>
      <c r="B557" s="5" t="s">
        <v>17</v>
      </c>
      <c r="C557" s="4">
        <v>73</v>
      </c>
      <c r="D557" s="101">
        <f t="shared" si="10"/>
        <v>72.166666666666671</v>
      </c>
      <c r="F557" s="90">
        <f t="shared" si="11"/>
        <v>-1.3513513513513514E-2</v>
      </c>
    </row>
    <row r="558" spans="1:6">
      <c r="A558" s="5">
        <v>1765</v>
      </c>
      <c r="B558" s="5" t="s">
        <v>18</v>
      </c>
      <c r="C558" s="4">
        <v>74</v>
      </c>
      <c r="D558" s="101">
        <f t="shared" si="10"/>
        <v>72.166666666666671</v>
      </c>
      <c r="F558" s="90">
        <f t="shared" si="11"/>
        <v>0</v>
      </c>
    </row>
    <row r="559" spans="1:6">
      <c r="A559" s="5">
        <v>1765</v>
      </c>
      <c r="B559" s="5" t="s">
        <v>19</v>
      </c>
      <c r="C559" s="4">
        <v>74</v>
      </c>
      <c r="D559" s="101">
        <f t="shared" si="10"/>
        <v>72.083333333333329</v>
      </c>
      <c r="F559" s="90">
        <f t="shared" si="11"/>
        <v>-1.3333333333333334E-2</v>
      </c>
    </row>
    <row r="560" spans="1:6">
      <c r="A560" s="5">
        <v>1765</v>
      </c>
      <c r="B560" s="5" t="s">
        <v>20</v>
      </c>
      <c r="C560" s="4">
        <v>77</v>
      </c>
      <c r="D560" s="101">
        <f t="shared" si="10"/>
        <v>72.583333333333329</v>
      </c>
      <c r="E560" s="4">
        <v>72</v>
      </c>
      <c r="F560" s="90">
        <f t="shared" si="11"/>
        <v>8.4507042253521125E-2</v>
      </c>
    </row>
    <row r="561" spans="1:6">
      <c r="A561" s="5">
        <v>1766</v>
      </c>
      <c r="B561" s="5" t="s">
        <v>9</v>
      </c>
      <c r="C561" s="4">
        <v>75</v>
      </c>
      <c r="D561" s="101">
        <f t="shared" ref="D561:D624" si="12">AVERAGE(C550:C561)</f>
        <v>72.833333333333329</v>
      </c>
      <c r="F561" s="90">
        <f t="shared" si="11"/>
        <v>4.1666666666666664E-2</v>
      </c>
    </row>
    <row r="562" spans="1:6">
      <c r="A562" s="5">
        <v>1766</v>
      </c>
      <c r="B562" s="5" t="s">
        <v>10</v>
      </c>
      <c r="C562" s="4">
        <v>76</v>
      </c>
      <c r="D562" s="101">
        <f t="shared" si="12"/>
        <v>72.833333333333329</v>
      </c>
      <c r="F562" s="90">
        <f t="shared" si="11"/>
        <v>0</v>
      </c>
    </row>
    <row r="563" spans="1:6">
      <c r="A563" s="5">
        <v>1766</v>
      </c>
      <c r="B563" s="5" t="s">
        <v>11</v>
      </c>
      <c r="C563" s="4">
        <v>74</v>
      </c>
      <c r="D563" s="101">
        <f t="shared" si="12"/>
        <v>73.333333333333329</v>
      </c>
      <c r="F563" s="90">
        <f t="shared" si="11"/>
        <v>8.8235294117647065E-2</v>
      </c>
    </row>
    <row r="564" spans="1:6">
      <c r="A564" s="5">
        <v>1766</v>
      </c>
      <c r="B564" s="5" t="s">
        <v>12</v>
      </c>
      <c r="C564" s="4">
        <v>73</v>
      </c>
      <c r="D564" s="101">
        <f t="shared" si="12"/>
        <v>73.75</v>
      </c>
      <c r="F564" s="90">
        <f t="shared" si="11"/>
        <v>7.3529411764705885E-2</v>
      </c>
    </row>
    <row r="565" spans="1:6">
      <c r="A565" s="5">
        <v>1766</v>
      </c>
      <c r="B565" s="5" t="s">
        <v>13</v>
      </c>
      <c r="C565" s="4">
        <v>72</v>
      </c>
      <c r="D565" s="101">
        <f t="shared" si="12"/>
        <v>73.75</v>
      </c>
      <c r="F565" s="90">
        <f t="shared" si="11"/>
        <v>0</v>
      </c>
    </row>
    <row r="566" spans="1:6">
      <c r="A566" s="5">
        <v>1766</v>
      </c>
      <c r="B566" s="5" t="s">
        <v>14</v>
      </c>
      <c r="C566" s="4">
        <v>71</v>
      </c>
      <c r="D566" s="101">
        <f t="shared" si="12"/>
        <v>73.75</v>
      </c>
      <c r="F566" s="90">
        <f t="shared" si="11"/>
        <v>0</v>
      </c>
    </row>
    <row r="567" spans="1:6">
      <c r="A567" s="5">
        <v>1766</v>
      </c>
      <c r="B567" s="5" t="s">
        <v>15</v>
      </c>
      <c r="C567" s="4">
        <v>71</v>
      </c>
      <c r="D567" s="101">
        <f t="shared" si="12"/>
        <v>73.583333333333329</v>
      </c>
      <c r="F567" s="90">
        <f t="shared" si="11"/>
        <v>-2.7397260273972601E-2</v>
      </c>
    </row>
    <row r="568" spans="1:6">
      <c r="A568" s="5">
        <v>1766</v>
      </c>
      <c r="B568" s="5" t="s">
        <v>16</v>
      </c>
      <c r="C568" s="4">
        <v>70</v>
      </c>
      <c r="D568" s="101">
        <f t="shared" si="12"/>
        <v>73.333333333333329</v>
      </c>
      <c r="F568" s="90">
        <f t="shared" si="11"/>
        <v>-4.1095890410958902E-2</v>
      </c>
    </row>
    <row r="569" spans="1:6">
      <c r="A569" s="5">
        <v>1766</v>
      </c>
      <c r="B569" s="5" t="s">
        <v>17</v>
      </c>
      <c r="C569" s="4">
        <v>72</v>
      </c>
      <c r="D569" s="101">
        <f t="shared" si="12"/>
        <v>73.25</v>
      </c>
      <c r="F569" s="90">
        <f t="shared" si="11"/>
        <v>-1.3698630136986301E-2</v>
      </c>
    </row>
    <row r="570" spans="1:6">
      <c r="A570" s="5">
        <v>1766</v>
      </c>
      <c r="B570" s="5" t="s">
        <v>18</v>
      </c>
      <c r="C570" s="4">
        <v>73</v>
      </c>
      <c r="D570" s="101">
        <f t="shared" si="12"/>
        <v>73.166666666666671</v>
      </c>
      <c r="F570" s="90">
        <f t="shared" si="11"/>
        <v>-1.3513513513513514E-2</v>
      </c>
    </row>
    <row r="571" spans="1:6">
      <c r="A571" s="5">
        <v>1766</v>
      </c>
      <c r="B571" s="5" t="s">
        <v>19</v>
      </c>
      <c r="C571" s="4">
        <v>75</v>
      </c>
      <c r="D571" s="101">
        <f t="shared" si="12"/>
        <v>73.25</v>
      </c>
      <c r="F571" s="90">
        <f t="shared" si="11"/>
        <v>1.3513513513513514E-2</v>
      </c>
    </row>
    <row r="572" spans="1:6">
      <c r="A572" s="5">
        <v>1766</v>
      </c>
      <c r="B572" s="5" t="s">
        <v>20</v>
      </c>
      <c r="C572" s="4">
        <v>76</v>
      </c>
      <c r="D572" s="101">
        <f t="shared" si="12"/>
        <v>73.166666666666671</v>
      </c>
      <c r="E572" s="4">
        <v>73</v>
      </c>
      <c r="F572" s="90">
        <f t="shared" si="11"/>
        <v>-1.2987012987012988E-2</v>
      </c>
    </row>
    <row r="573" spans="1:6">
      <c r="A573" s="5">
        <v>1767</v>
      </c>
      <c r="B573" s="5" t="s">
        <v>9</v>
      </c>
      <c r="C573" s="4">
        <v>72</v>
      </c>
      <c r="D573" s="101">
        <f t="shared" si="12"/>
        <v>72.916666666666671</v>
      </c>
      <c r="F573" s="90">
        <f t="shared" si="11"/>
        <v>-0.04</v>
      </c>
    </row>
    <row r="574" spans="1:6">
      <c r="A574" s="5">
        <v>1767</v>
      </c>
      <c r="B574" s="5" t="s">
        <v>10</v>
      </c>
      <c r="C574" s="4">
        <v>74</v>
      </c>
      <c r="D574" s="101">
        <f t="shared" si="12"/>
        <v>72.75</v>
      </c>
      <c r="F574" s="90">
        <f t="shared" si="11"/>
        <v>-2.6315789473684209E-2</v>
      </c>
    </row>
    <row r="575" spans="1:6">
      <c r="A575" s="5">
        <v>1767</v>
      </c>
      <c r="B575" s="5" t="s">
        <v>11</v>
      </c>
      <c r="C575" s="4">
        <v>75</v>
      </c>
      <c r="D575" s="101">
        <f t="shared" si="12"/>
        <v>72.833333333333329</v>
      </c>
      <c r="F575" s="90">
        <f t="shared" si="11"/>
        <v>1.3513513513513514E-2</v>
      </c>
    </row>
    <row r="576" spans="1:6">
      <c r="A576" s="5">
        <v>1767</v>
      </c>
      <c r="B576" s="5" t="s">
        <v>12</v>
      </c>
      <c r="C576" s="4">
        <v>75</v>
      </c>
      <c r="D576" s="101">
        <f t="shared" si="12"/>
        <v>73</v>
      </c>
      <c r="F576" s="90">
        <f t="shared" si="11"/>
        <v>2.7397260273972601E-2</v>
      </c>
    </row>
    <row r="577" spans="1:6">
      <c r="A577" s="5">
        <v>1767</v>
      </c>
      <c r="B577" s="5" t="s">
        <v>13</v>
      </c>
      <c r="C577" s="4">
        <v>78</v>
      </c>
      <c r="D577" s="101">
        <f t="shared" si="12"/>
        <v>73.5</v>
      </c>
      <c r="F577" s="90">
        <f t="shared" si="11"/>
        <v>8.3333333333333329E-2</v>
      </c>
    </row>
    <row r="578" spans="1:6">
      <c r="A578" s="5">
        <v>1767</v>
      </c>
      <c r="B578" s="5" t="s">
        <v>14</v>
      </c>
      <c r="C578" s="4">
        <v>81</v>
      </c>
      <c r="D578" s="101">
        <f t="shared" si="12"/>
        <v>74.333333333333329</v>
      </c>
      <c r="F578" s="90">
        <f t="shared" si="11"/>
        <v>0.14084507042253522</v>
      </c>
    </row>
    <row r="579" spans="1:6">
      <c r="A579" s="5">
        <v>1767</v>
      </c>
      <c r="B579" s="5" t="s">
        <v>15</v>
      </c>
      <c r="C579" s="4">
        <v>81</v>
      </c>
      <c r="D579" s="101">
        <f t="shared" si="12"/>
        <v>75.166666666666671</v>
      </c>
      <c r="F579" s="90">
        <f t="shared" si="11"/>
        <v>0.14084507042253522</v>
      </c>
    </row>
    <row r="580" spans="1:6">
      <c r="A580" s="5">
        <v>1767</v>
      </c>
      <c r="B580" s="5" t="s">
        <v>16</v>
      </c>
      <c r="C580" s="4">
        <v>76</v>
      </c>
      <c r="D580" s="101">
        <f t="shared" si="12"/>
        <v>75.666666666666671</v>
      </c>
      <c r="F580" s="90">
        <f t="shared" si="11"/>
        <v>8.5714285714285715E-2</v>
      </c>
    </row>
    <row r="581" spans="1:6">
      <c r="A581" s="5">
        <v>1767</v>
      </c>
      <c r="B581" s="5" t="s">
        <v>17</v>
      </c>
      <c r="C581" s="4">
        <v>78</v>
      </c>
      <c r="D581" s="101">
        <f t="shared" si="12"/>
        <v>76.166666666666671</v>
      </c>
      <c r="F581" s="90">
        <f t="shared" si="11"/>
        <v>8.3333333333333329E-2</v>
      </c>
    </row>
    <row r="582" spans="1:6">
      <c r="A582" s="5">
        <v>1767</v>
      </c>
      <c r="B582" s="5" t="s">
        <v>18</v>
      </c>
      <c r="C582" s="4">
        <v>78</v>
      </c>
      <c r="D582" s="101">
        <f t="shared" si="12"/>
        <v>76.583333333333329</v>
      </c>
      <c r="F582" s="90">
        <f t="shared" si="11"/>
        <v>6.8493150684931503E-2</v>
      </c>
    </row>
    <row r="583" spans="1:6">
      <c r="A583" s="5">
        <v>1767</v>
      </c>
      <c r="B583" s="5" t="s">
        <v>19</v>
      </c>
      <c r="C583" s="4">
        <v>76</v>
      </c>
      <c r="D583" s="101">
        <f t="shared" si="12"/>
        <v>76.666666666666671</v>
      </c>
      <c r="F583" s="90">
        <f t="shared" si="11"/>
        <v>1.3333333333333334E-2</v>
      </c>
    </row>
    <row r="584" spans="1:6">
      <c r="A584" s="5">
        <v>1767</v>
      </c>
      <c r="B584" s="5" t="s">
        <v>20</v>
      </c>
      <c r="C584" s="4">
        <v>76</v>
      </c>
      <c r="D584" s="101">
        <f t="shared" si="12"/>
        <v>76.666666666666671</v>
      </c>
      <c r="E584" s="4">
        <v>77</v>
      </c>
      <c r="F584" s="90">
        <f t="shared" si="11"/>
        <v>0</v>
      </c>
    </row>
    <row r="585" spans="1:6">
      <c r="A585" s="5">
        <v>1768</v>
      </c>
      <c r="B585" s="5" t="s">
        <v>9</v>
      </c>
      <c r="C585" s="4">
        <v>74</v>
      </c>
      <c r="D585" s="101">
        <f t="shared" si="12"/>
        <v>76.833333333333329</v>
      </c>
      <c r="F585" s="90">
        <f t="shared" si="11"/>
        <v>2.7777777777777776E-2</v>
      </c>
    </row>
    <row r="586" spans="1:6">
      <c r="A586" s="5">
        <v>1768</v>
      </c>
      <c r="B586" s="5" t="s">
        <v>10</v>
      </c>
      <c r="C586" s="4">
        <v>74</v>
      </c>
      <c r="D586" s="101">
        <f t="shared" si="12"/>
        <v>76.833333333333329</v>
      </c>
      <c r="F586" s="90">
        <f t="shared" si="11"/>
        <v>0</v>
      </c>
    </row>
    <row r="587" spans="1:6">
      <c r="A587" s="5">
        <v>1768</v>
      </c>
      <c r="B587" s="5" t="s">
        <v>11</v>
      </c>
      <c r="C587" s="4">
        <v>73</v>
      </c>
      <c r="D587" s="101">
        <f t="shared" si="12"/>
        <v>76.666666666666671</v>
      </c>
      <c r="F587" s="90">
        <f t="shared" si="11"/>
        <v>-2.6666666666666668E-2</v>
      </c>
    </row>
    <row r="588" spans="1:6">
      <c r="A588" s="5">
        <v>1768</v>
      </c>
      <c r="B588" s="5" t="s">
        <v>12</v>
      </c>
      <c r="C588" s="4">
        <v>74</v>
      </c>
      <c r="D588" s="101">
        <f t="shared" si="12"/>
        <v>76.583333333333329</v>
      </c>
      <c r="F588" s="90">
        <f t="shared" si="11"/>
        <v>-1.3333333333333334E-2</v>
      </c>
    </row>
    <row r="589" spans="1:6">
      <c r="A589" s="5">
        <v>1768</v>
      </c>
      <c r="B589" s="5" t="s">
        <v>13</v>
      </c>
      <c r="C589" s="4">
        <v>70</v>
      </c>
      <c r="D589" s="101">
        <f t="shared" si="12"/>
        <v>75.916666666666671</v>
      </c>
      <c r="F589" s="90">
        <f t="shared" si="11"/>
        <v>-0.10256410256410256</v>
      </c>
    </row>
    <row r="590" spans="1:6">
      <c r="A590" s="5">
        <v>1768</v>
      </c>
      <c r="B590" s="5" t="s">
        <v>14</v>
      </c>
      <c r="C590" s="4">
        <v>72</v>
      </c>
      <c r="D590" s="101">
        <f t="shared" si="12"/>
        <v>75.166666666666671</v>
      </c>
      <c r="F590" s="90">
        <f t="shared" si="11"/>
        <v>-0.1111111111111111</v>
      </c>
    </row>
    <row r="591" spans="1:6">
      <c r="A591" s="5">
        <v>1768</v>
      </c>
      <c r="B591" s="5" t="s">
        <v>15</v>
      </c>
      <c r="C591" s="4">
        <v>72</v>
      </c>
      <c r="D591" s="101">
        <f t="shared" si="12"/>
        <v>74.416666666666671</v>
      </c>
      <c r="F591" s="90">
        <f t="shared" si="11"/>
        <v>-0.1111111111111111</v>
      </c>
    </row>
    <row r="592" spans="1:6">
      <c r="A592" s="5">
        <v>1768</v>
      </c>
      <c r="B592" s="5" t="s">
        <v>16</v>
      </c>
      <c r="C592" s="4">
        <v>72</v>
      </c>
      <c r="D592" s="101">
        <f t="shared" si="12"/>
        <v>74.083333333333329</v>
      </c>
      <c r="F592" s="90">
        <f t="shared" si="11"/>
        <v>-5.2631578947368418E-2</v>
      </c>
    </row>
    <row r="593" spans="1:6">
      <c r="A593" s="5">
        <v>1768</v>
      </c>
      <c r="B593" s="5" t="s">
        <v>17</v>
      </c>
      <c r="C593" s="4">
        <v>74</v>
      </c>
      <c r="D593" s="101">
        <f t="shared" si="12"/>
        <v>73.75</v>
      </c>
      <c r="F593" s="90">
        <f t="shared" si="11"/>
        <v>-5.128205128205128E-2</v>
      </c>
    </row>
    <row r="594" spans="1:6">
      <c r="A594" s="5">
        <v>1768</v>
      </c>
      <c r="B594" s="5" t="s">
        <v>18</v>
      </c>
      <c r="C594" s="4">
        <v>77</v>
      </c>
      <c r="D594" s="101">
        <f t="shared" si="12"/>
        <v>73.666666666666671</v>
      </c>
      <c r="F594" s="90">
        <f t="shared" si="11"/>
        <v>-1.282051282051282E-2</v>
      </c>
    </row>
    <row r="595" spans="1:6">
      <c r="A595" s="5">
        <v>1768</v>
      </c>
      <c r="B595" s="5" t="s">
        <v>19</v>
      </c>
      <c r="C595" s="4">
        <v>77</v>
      </c>
      <c r="D595" s="101">
        <f t="shared" si="12"/>
        <v>73.75</v>
      </c>
      <c r="F595" s="90">
        <f t="shared" si="11"/>
        <v>1.3157894736842105E-2</v>
      </c>
    </row>
    <row r="596" spans="1:6">
      <c r="A596" s="5">
        <v>1768</v>
      </c>
      <c r="B596" s="5" t="s">
        <v>20</v>
      </c>
      <c r="C596" s="4">
        <v>76</v>
      </c>
      <c r="D596" s="101">
        <f t="shared" si="12"/>
        <v>73.75</v>
      </c>
      <c r="E596" s="4">
        <v>74</v>
      </c>
      <c r="F596" s="90">
        <f t="shared" si="11"/>
        <v>0</v>
      </c>
    </row>
    <row r="597" spans="1:6">
      <c r="A597" s="5">
        <v>1769</v>
      </c>
      <c r="B597" s="5" t="s">
        <v>9</v>
      </c>
      <c r="C597" s="4">
        <v>76</v>
      </c>
      <c r="D597" s="101">
        <f t="shared" si="12"/>
        <v>73.916666666666671</v>
      </c>
      <c r="F597" s="90">
        <f t="shared" ref="F597:F660" si="13">(C597-C585)/C585</f>
        <v>2.7027027027027029E-2</v>
      </c>
    </row>
    <row r="598" spans="1:6">
      <c r="A598" s="5">
        <v>1769</v>
      </c>
      <c r="B598" s="5" t="s">
        <v>10</v>
      </c>
      <c r="C598" s="4">
        <v>77</v>
      </c>
      <c r="D598" s="101">
        <f t="shared" si="12"/>
        <v>74.166666666666671</v>
      </c>
      <c r="F598" s="90">
        <f t="shared" si="13"/>
        <v>4.0540540540540543E-2</v>
      </c>
    </row>
    <row r="599" spans="1:6">
      <c r="A599" s="5">
        <v>1769</v>
      </c>
      <c r="B599" s="5" t="s">
        <v>11</v>
      </c>
      <c r="C599" s="4">
        <v>76</v>
      </c>
      <c r="D599" s="101">
        <f t="shared" si="12"/>
        <v>74.416666666666671</v>
      </c>
      <c r="F599" s="90">
        <f t="shared" si="13"/>
        <v>4.1095890410958902E-2</v>
      </c>
    </row>
    <row r="600" spans="1:6">
      <c r="A600" s="5">
        <v>1769</v>
      </c>
      <c r="B600" s="5" t="s">
        <v>12</v>
      </c>
      <c r="C600" s="4">
        <v>75</v>
      </c>
      <c r="D600" s="101">
        <f t="shared" si="12"/>
        <v>74.5</v>
      </c>
      <c r="F600" s="90">
        <f t="shared" si="13"/>
        <v>1.3513513513513514E-2</v>
      </c>
    </row>
    <row r="601" spans="1:6">
      <c r="A601" s="5">
        <v>1769</v>
      </c>
      <c r="B601" s="5" t="s">
        <v>13</v>
      </c>
      <c r="C601" s="4">
        <v>77</v>
      </c>
      <c r="D601" s="101">
        <f t="shared" si="12"/>
        <v>75.083333333333329</v>
      </c>
      <c r="F601" s="90">
        <f t="shared" si="13"/>
        <v>0.1</v>
      </c>
    </row>
    <row r="602" spans="1:6">
      <c r="A602" s="5">
        <v>1769</v>
      </c>
      <c r="B602" s="5" t="s">
        <v>14</v>
      </c>
      <c r="C602" s="4">
        <v>76</v>
      </c>
      <c r="D602" s="101">
        <f t="shared" si="12"/>
        <v>75.416666666666671</v>
      </c>
      <c r="F602" s="90">
        <f t="shared" si="13"/>
        <v>5.5555555555555552E-2</v>
      </c>
    </row>
    <row r="603" spans="1:6">
      <c r="A603" s="5">
        <v>1769</v>
      </c>
      <c r="B603" s="5" t="s">
        <v>15</v>
      </c>
      <c r="C603" s="4">
        <v>75</v>
      </c>
      <c r="D603" s="101">
        <f t="shared" si="12"/>
        <v>75.666666666666671</v>
      </c>
      <c r="F603" s="90">
        <f t="shared" si="13"/>
        <v>4.1666666666666664E-2</v>
      </c>
    </row>
    <row r="604" spans="1:6">
      <c r="A604" s="5">
        <v>1769</v>
      </c>
      <c r="B604" s="5" t="s">
        <v>16</v>
      </c>
      <c r="C604" s="4">
        <v>76</v>
      </c>
      <c r="D604" s="101">
        <f t="shared" si="12"/>
        <v>76</v>
      </c>
      <c r="F604" s="90">
        <f t="shared" si="13"/>
        <v>5.5555555555555552E-2</v>
      </c>
    </row>
    <row r="605" spans="1:6">
      <c r="A605" s="5">
        <v>1769</v>
      </c>
      <c r="B605" s="5" t="s">
        <v>17</v>
      </c>
      <c r="C605" s="4">
        <v>76</v>
      </c>
      <c r="D605" s="101">
        <f t="shared" si="12"/>
        <v>76.166666666666671</v>
      </c>
      <c r="F605" s="90">
        <f t="shared" si="13"/>
        <v>2.7027027027027029E-2</v>
      </c>
    </row>
    <row r="606" spans="1:6">
      <c r="A606" s="5">
        <v>1769</v>
      </c>
      <c r="B606" s="5" t="s">
        <v>18</v>
      </c>
      <c r="C606" s="4">
        <v>80</v>
      </c>
      <c r="D606" s="101">
        <f t="shared" si="12"/>
        <v>76.416666666666671</v>
      </c>
      <c r="F606" s="90">
        <f t="shared" si="13"/>
        <v>3.896103896103896E-2</v>
      </c>
    </row>
    <row r="607" spans="1:6">
      <c r="A607" s="5">
        <v>1769</v>
      </c>
      <c r="B607" s="5" t="s">
        <v>19</v>
      </c>
      <c r="C607" s="4">
        <v>78</v>
      </c>
      <c r="D607" s="101">
        <f t="shared" si="12"/>
        <v>76.5</v>
      </c>
      <c r="F607" s="90">
        <f t="shared" si="13"/>
        <v>1.2987012987012988E-2</v>
      </c>
    </row>
    <row r="608" spans="1:6">
      <c r="A608" s="5">
        <v>1769</v>
      </c>
      <c r="B608" s="5" t="s">
        <v>20</v>
      </c>
      <c r="C608" s="4">
        <v>78</v>
      </c>
      <c r="D608" s="101">
        <f t="shared" si="12"/>
        <v>76.666666666666671</v>
      </c>
      <c r="E608" s="4">
        <v>77</v>
      </c>
      <c r="F608" s="90">
        <f t="shared" si="13"/>
        <v>2.6315789473684209E-2</v>
      </c>
    </row>
    <row r="609" spans="1:6">
      <c r="A609" s="5">
        <v>1770</v>
      </c>
      <c r="B609" s="5" t="s">
        <v>9</v>
      </c>
      <c r="C609" s="4">
        <v>78</v>
      </c>
      <c r="D609" s="101">
        <f t="shared" si="12"/>
        <v>76.833333333333329</v>
      </c>
      <c r="F609" s="90">
        <f t="shared" si="13"/>
        <v>2.6315789473684209E-2</v>
      </c>
    </row>
    <row r="610" spans="1:6">
      <c r="A610" s="5">
        <v>1770</v>
      </c>
      <c r="B610" s="5" t="s">
        <v>10</v>
      </c>
      <c r="C610" s="4">
        <v>78</v>
      </c>
      <c r="D610" s="101">
        <f t="shared" si="12"/>
        <v>76.916666666666671</v>
      </c>
      <c r="F610" s="90">
        <f t="shared" si="13"/>
        <v>1.2987012987012988E-2</v>
      </c>
    </row>
    <row r="611" spans="1:6">
      <c r="A611" s="5">
        <v>1770</v>
      </c>
      <c r="B611" s="5" t="s">
        <v>11</v>
      </c>
      <c r="C611" s="4">
        <v>77</v>
      </c>
      <c r="D611" s="101">
        <f t="shared" si="12"/>
        <v>77</v>
      </c>
      <c r="F611" s="90">
        <f t="shared" si="13"/>
        <v>1.3157894736842105E-2</v>
      </c>
    </row>
    <row r="612" spans="1:6">
      <c r="A612" s="5">
        <v>1770</v>
      </c>
      <c r="B612" s="5" t="s">
        <v>12</v>
      </c>
      <c r="C612" s="4">
        <v>75</v>
      </c>
      <c r="D612" s="101">
        <f t="shared" si="12"/>
        <v>77</v>
      </c>
      <c r="F612" s="90">
        <f t="shared" si="13"/>
        <v>0</v>
      </c>
    </row>
    <row r="613" spans="1:6">
      <c r="A613" s="5">
        <v>1770</v>
      </c>
      <c r="B613" s="5" t="s">
        <v>13</v>
      </c>
      <c r="C613" s="4">
        <v>74</v>
      </c>
      <c r="D613" s="101">
        <f t="shared" si="12"/>
        <v>76.75</v>
      </c>
      <c r="F613" s="90">
        <f t="shared" si="13"/>
        <v>-3.896103896103896E-2</v>
      </c>
    </row>
    <row r="614" spans="1:6">
      <c r="A614" s="5">
        <v>1770</v>
      </c>
      <c r="B614" s="5" t="s">
        <v>14</v>
      </c>
      <c r="C614" s="4">
        <v>77</v>
      </c>
      <c r="D614" s="101">
        <f t="shared" si="12"/>
        <v>76.833333333333329</v>
      </c>
      <c r="F614" s="90">
        <f t="shared" si="13"/>
        <v>1.3157894736842105E-2</v>
      </c>
    </row>
    <row r="615" spans="1:6">
      <c r="A615" s="5">
        <v>1770</v>
      </c>
      <c r="B615" s="5" t="s">
        <v>15</v>
      </c>
      <c r="C615" s="4">
        <v>77</v>
      </c>
      <c r="D615" s="101">
        <f t="shared" si="12"/>
        <v>77</v>
      </c>
      <c r="F615" s="90">
        <f t="shared" si="13"/>
        <v>2.6666666666666668E-2</v>
      </c>
    </row>
    <row r="616" spans="1:6">
      <c r="A616" s="5">
        <v>1770</v>
      </c>
      <c r="B616" s="5" t="s">
        <v>16</v>
      </c>
      <c r="C616" s="4">
        <v>76</v>
      </c>
      <c r="D616" s="101">
        <f t="shared" si="12"/>
        <v>77</v>
      </c>
      <c r="F616" s="90">
        <f t="shared" si="13"/>
        <v>0</v>
      </c>
    </row>
    <row r="617" spans="1:6">
      <c r="A617" s="5">
        <v>1770</v>
      </c>
      <c r="B617" s="5" t="s">
        <v>17</v>
      </c>
      <c r="C617" s="4">
        <v>79</v>
      </c>
      <c r="D617" s="101">
        <f t="shared" si="12"/>
        <v>77.25</v>
      </c>
      <c r="F617" s="90">
        <f t="shared" si="13"/>
        <v>3.9473684210526314E-2</v>
      </c>
    </row>
    <row r="618" spans="1:6">
      <c r="A618" s="5">
        <v>1770</v>
      </c>
      <c r="B618" s="5" t="s">
        <v>18</v>
      </c>
      <c r="C618" s="4">
        <v>79</v>
      </c>
      <c r="D618" s="101">
        <f t="shared" si="12"/>
        <v>77.166666666666671</v>
      </c>
      <c r="F618" s="90">
        <f t="shared" si="13"/>
        <v>-1.2500000000000001E-2</v>
      </c>
    </row>
    <row r="619" spans="1:6">
      <c r="A619" s="5">
        <v>1770</v>
      </c>
      <c r="B619" s="5" t="s">
        <v>19</v>
      </c>
      <c r="C619" s="4">
        <v>79</v>
      </c>
      <c r="D619" s="101">
        <f t="shared" si="12"/>
        <v>77.25</v>
      </c>
      <c r="F619" s="90">
        <f t="shared" si="13"/>
        <v>1.282051282051282E-2</v>
      </c>
    </row>
    <row r="620" spans="1:6">
      <c r="A620" s="5">
        <v>1770</v>
      </c>
      <c r="B620" s="5" t="s">
        <v>20</v>
      </c>
      <c r="C620" s="4">
        <v>77</v>
      </c>
      <c r="D620" s="101">
        <f t="shared" si="12"/>
        <v>77.166666666666671</v>
      </c>
      <c r="E620" s="4">
        <v>77</v>
      </c>
      <c r="F620" s="90">
        <f t="shared" si="13"/>
        <v>-1.282051282051282E-2</v>
      </c>
    </row>
    <row r="621" spans="1:6">
      <c r="A621" s="5">
        <v>1771</v>
      </c>
      <c r="B621" s="5" t="s">
        <v>9</v>
      </c>
      <c r="C621" s="4">
        <v>72</v>
      </c>
      <c r="D621" s="101">
        <f t="shared" si="12"/>
        <v>76.666666666666671</v>
      </c>
      <c r="F621" s="90">
        <f t="shared" si="13"/>
        <v>-7.6923076923076927E-2</v>
      </c>
    </row>
    <row r="622" spans="1:6">
      <c r="A622" s="5">
        <v>1771</v>
      </c>
      <c r="B622" s="5" t="s">
        <v>10</v>
      </c>
      <c r="C622" s="4">
        <v>72</v>
      </c>
      <c r="D622" s="101">
        <f t="shared" si="12"/>
        <v>76.166666666666671</v>
      </c>
      <c r="F622" s="90">
        <f t="shared" si="13"/>
        <v>-7.6923076923076927E-2</v>
      </c>
    </row>
    <row r="623" spans="1:6">
      <c r="A623" s="5">
        <v>1771</v>
      </c>
      <c r="B623" s="5" t="s">
        <v>11</v>
      </c>
      <c r="C623" s="4">
        <v>73</v>
      </c>
      <c r="D623" s="101">
        <f t="shared" si="12"/>
        <v>75.833333333333329</v>
      </c>
      <c r="F623" s="90">
        <f t="shared" si="13"/>
        <v>-5.1948051948051951E-2</v>
      </c>
    </row>
    <row r="624" spans="1:6">
      <c r="A624" s="5">
        <v>1771</v>
      </c>
      <c r="B624" s="5" t="s">
        <v>12</v>
      </c>
      <c r="C624" s="4">
        <v>75</v>
      </c>
      <c r="D624" s="101">
        <f t="shared" si="12"/>
        <v>75.833333333333329</v>
      </c>
      <c r="F624" s="90">
        <f t="shared" si="13"/>
        <v>0</v>
      </c>
    </row>
    <row r="625" spans="1:6">
      <c r="A625" s="5">
        <v>1771</v>
      </c>
      <c r="B625" s="5" t="s">
        <v>13</v>
      </c>
      <c r="C625" s="4">
        <v>76</v>
      </c>
      <c r="D625" s="101">
        <f t="shared" ref="D625:D688" si="14">AVERAGE(C614:C625)</f>
        <v>76</v>
      </c>
      <c r="F625" s="90">
        <f t="shared" si="13"/>
        <v>2.7027027027027029E-2</v>
      </c>
    </row>
    <row r="626" spans="1:6">
      <c r="A626" s="5">
        <v>1771</v>
      </c>
      <c r="B626" s="5" t="s">
        <v>14</v>
      </c>
      <c r="C626" s="4">
        <v>80</v>
      </c>
      <c r="D626" s="101">
        <f t="shared" si="14"/>
        <v>76.25</v>
      </c>
      <c r="F626" s="90">
        <f t="shared" si="13"/>
        <v>3.896103896103896E-2</v>
      </c>
    </row>
    <row r="627" spans="1:6">
      <c r="A627" s="5">
        <v>1771</v>
      </c>
      <c r="B627" s="5" t="s">
        <v>15</v>
      </c>
      <c r="C627" s="4">
        <v>83</v>
      </c>
      <c r="D627" s="101">
        <f t="shared" si="14"/>
        <v>76.75</v>
      </c>
      <c r="F627" s="90">
        <f t="shared" si="13"/>
        <v>7.792207792207792E-2</v>
      </c>
    </row>
    <row r="628" spans="1:6">
      <c r="A628" s="5">
        <v>1771</v>
      </c>
      <c r="B628" s="5" t="s">
        <v>16</v>
      </c>
      <c r="C628" s="4">
        <v>84</v>
      </c>
      <c r="D628" s="101">
        <f t="shared" si="14"/>
        <v>77.416666666666671</v>
      </c>
      <c r="F628" s="90">
        <f t="shared" si="13"/>
        <v>0.10526315789473684</v>
      </c>
    </row>
    <row r="629" spans="1:6">
      <c r="A629" s="5">
        <v>1771</v>
      </c>
      <c r="B629" s="5" t="s">
        <v>17</v>
      </c>
      <c r="C629" s="4">
        <v>83</v>
      </c>
      <c r="D629" s="101">
        <f t="shared" si="14"/>
        <v>77.75</v>
      </c>
      <c r="F629" s="90">
        <f t="shared" si="13"/>
        <v>5.0632911392405063E-2</v>
      </c>
    </row>
    <row r="630" spans="1:6">
      <c r="A630" s="5">
        <v>1771</v>
      </c>
      <c r="B630" s="5" t="s">
        <v>18</v>
      </c>
      <c r="C630" s="4">
        <v>85</v>
      </c>
      <c r="D630" s="101">
        <f t="shared" si="14"/>
        <v>78.25</v>
      </c>
      <c r="F630" s="90">
        <f t="shared" si="13"/>
        <v>7.5949367088607597E-2</v>
      </c>
    </row>
    <row r="631" spans="1:6">
      <c r="A631" s="5">
        <v>1771</v>
      </c>
      <c r="B631" s="5" t="s">
        <v>19</v>
      </c>
      <c r="C631" s="4">
        <v>81</v>
      </c>
      <c r="D631" s="101">
        <f t="shared" si="14"/>
        <v>78.416666666666671</v>
      </c>
      <c r="F631" s="90">
        <f t="shared" si="13"/>
        <v>2.5316455696202531E-2</v>
      </c>
    </row>
    <row r="632" spans="1:6">
      <c r="A632" s="5">
        <v>1771</v>
      </c>
      <c r="B632" s="5" t="s">
        <v>20</v>
      </c>
      <c r="C632" s="4">
        <v>83</v>
      </c>
      <c r="D632" s="101">
        <f t="shared" si="14"/>
        <v>78.916666666666671</v>
      </c>
      <c r="E632" s="4">
        <v>79</v>
      </c>
      <c r="F632" s="90">
        <f t="shared" si="13"/>
        <v>7.792207792207792E-2</v>
      </c>
    </row>
    <row r="633" spans="1:6">
      <c r="A633" s="5">
        <v>1772</v>
      </c>
      <c r="B633" s="5" t="s">
        <v>9</v>
      </c>
      <c r="C633" s="4">
        <v>84</v>
      </c>
      <c r="D633" s="101">
        <f t="shared" si="14"/>
        <v>79.916666666666671</v>
      </c>
      <c r="F633" s="90">
        <f t="shared" si="13"/>
        <v>0.16666666666666666</v>
      </c>
    </row>
    <row r="634" spans="1:6">
      <c r="A634" s="5">
        <v>1772</v>
      </c>
      <c r="B634" s="5" t="s">
        <v>10</v>
      </c>
      <c r="C634" s="4">
        <v>89</v>
      </c>
      <c r="D634" s="101">
        <f t="shared" si="14"/>
        <v>81.333333333333329</v>
      </c>
      <c r="F634" s="90">
        <f t="shared" si="13"/>
        <v>0.2361111111111111</v>
      </c>
    </row>
    <row r="635" spans="1:6">
      <c r="A635" s="5">
        <v>1772</v>
      </c>
      <c r="B635" s="5" t="s">
        <v>11</v>
      </c>
      <c r="C635" s="4">
        <v>85</v>
      </c>
      <c r="D635" s="101">
        <f t="shared" si="14"/>
        <v>82.333333333333329</v>
      </c>
      <c r="F635" s="90">
        <f t="shared" si="13"/>
        <v>0.16438356164383561</v>
      </c>
    </row>
    <row r="636" spans="1:6">
      <c r="A636" s="5">
        <v>1772</v>
      </c>
      <c r="B636" s="5" t="s">
        <v>12</v>
      </c>
      <c r="C636" s="4">
        <v>87</v>
      </c>
      <c r="D636" s="101">
        <f t="shared" si="14"/>
        <v>83.333333333333329</v>
      </c>
      <c r="F636" s="90">
        <f t="shared" si="13"/>
        <v>0.16</v>
      </c>
    </row>
    <row r="637" spans="1:6">
      <c r="A637" s="5">
        <v>1772</v>
      </c>
      <c r="B637" s="5" t="s">
        <v>13</v>
      </c>
      <c r="C637" s="4">
        <v>90</v>
      </c>
      <c r="D637" s="101">
        <f t="shared" si="14"/>
        <v>84.5</v>
      </c>
      <c r="F637" s="90">
        <f t="shared" si="13"/>
        <v>0.18421052631578946</v>
      </c>
    </row>
    <row r="638" spans="1:6">
      <c r="A638" s="5">
        <v>1772</v>
      </c>
      <c r="B638" s="5" t="s">
        <v>14</v>
      </c>
      <c r="C638" s="4">
        <v>90</v>
      </c>
      <c r="D638" s="101">
        <f t="shared" si="14"/>
        <v>85.333333333333329</v>
      </c>
      <c r="F638" s="90">
        <f t="shared" si="13"/>
        <v>0.125</v>
      </c>
    </row>
    <row r="639" spans="1:6">
      <c r="A639" s="5">
        <v>1772</v>
      </c>
      <c r="B639" s="5" t="s">
        <v>15</v>
      </c>
      <c r="C639" s="4">
        <v>92</v>
      </c>
      <c r="D639" s="101">
        <f t="shared" si="14"/>
        <v>86.083333333333329</v>
      </c>
      <c r="F639" s="90">
        <f t="shared" si="13"/>
        <v>0.10843373493975904</v>
      </c>
    </row>
    <row r="640" spans="1:6">
      <c r="A640" s="5">
        <v>1772</v>
      </c>
      <c r="B640" s="5" t="s">
        <v>16</v>
      </c>
      <c r="C640" s="4">
        <v>92</v>
      </c>
      <c r="D640" s="101">
        <f t="shared" si="14"/>
        <v>86.75</v>
      </c>
      <c r="F640" s="90">
        <f t="shared" si="13"/>
        <v>9.5238095238095233E-2</v>
      </c>
    </row>
    <row r="641" spans="1:6">
      <c r="A641" s="5">
        <v>1772</v>
      </c>
      <c r="B641" s="5" t="s">
        <v>17</v>
      </c>
      <c r="C641" s="4">
        <v>89</v>
      </c>
      <c r="D641" s="101">
        <f t="shared" si="14"/>
        <v>87.25</v>
      </c>
      <c r="F641" s="90">
        <f t="shared" si="13"/>
        <v>7.2289156626506021E-2</v>
      </c>
    </row>
    <row r="642" spans="1:6">
      <c r="A642" s="5">
        <v>1772</v>
      </c>
      <c r="B642" s="5" t="s">
        <v>18</v>
      </c>
      <c r="C642" s="4">
        <v>95</v>
      </c>
      <c r="D642" s="101">
        <f t="shared" si="14"/>
        <v>88.083333333333329</v>
      </c>
      <c r="F642" s="90">
        <f t="shared" si="13"/>
        <v>0.11764705882352941</v>
      </c>
    </row>
    <row r="643" spans="1:6">
      <c r="A643" s="5">
        <v>1772</v>
      </c>
      <c r="B643" s="5" t="s">
        <v>19</v>
      </c>
      <c r="C643" s="4">
        <v>87</v>
      </c>
      <c r="D643" s="101">
        <f t="shared" si="14"/>
        <v>88.583333333333329</v>
      </c>
      <c r="F643" s="90">
        <f t="shared" si="13"/>
        <v>7.407407407407407E-2</v>
      </c>
    </row>
    <row r="644" spans="1:6">
      <c r="A644" s="5">
        <v>1772</v>
      </c>
      <c r="B644" s="5" t="s">
        <v>20</v>
      </c>
      <c r="C644" s="4">
        <v>92</v>
      </c>
      <c r="D644" s="101">
        <f t="shared" si="14"/>
        <v>89.333333333333329</v>
      </c>
      <c r="E644" s="4">
        <v>89</v>
      </c>
      <c r="F644" s="90">
        <f t="shared" si="13"/>
        <v>0.10843373493975904</v>
      </c>
    </row>
    <row r="645" spans="1:6">
      <c r="A645" s="5">
        <v>1773</v>
      </c>
      <c r="B645" s="5" t="s">
        <v>9</v>
      </c>
      <c r="C645" s="4">
        <v>89</v>
      </c>
      <c r="D645" s="101">
        <f t="shared" si="14"/>
        <v>89.75</v>
      </c>
      <c r="F645" s="90">
        <f t="shared" si="13"/>
        <v>5.9523809523809521E-2</v>
      </c>
    </row>
    <row r="646" spans="1:6">
      <c r="A646" s="5">
        <v>1773</v>
      </c>
      <c r="B646" s="5" t="s">
        <v>10</v>
      </c>
      <c r="C646" s="4">
        <v>89</v>
      </c>
      <c r="D646" s="101">
        <f t="shared" si="14"/>
        <v>89.75</v>
      </c>
      <c r="F646" s="90">
        <f t="shared" si="13"/>
        <v>0</v>
      </c>
    </row>
    <row r="647" spans="1:6">
      <c r="A647" s="5">
        <v>1773</v>
      </c>
      <c r="B647" s="5" t="s">
        <v>11</v>
      </c>
      <c r="C647" s="4">
        <v>89</v>
      </c>
      <c r="D647" s="101">
        <f t="shared" si="14"/>
        <v>90.083333333333329</v>
      </c>
      <c r="F647" s="90">
        <f t="shared" si="13"/>
        <v>4.7058823529411764E-2</v>
      </c>
    </row>
    <row r="648" spans="1:6">
      <c r="A648" s="5">
        <v>1773</v>
      </c>
      <c r="B648" s="5" t="s">
        <v>12</v>
      </c>
      <c r="C648" s="4">
        <v>87</v>
      </c>
      <c r="D648" s="101">
        <f t="shared" si="14"/>
        <v>90.083333333333329</v>
      </c>
      <c r="F648" s="90">
        <f t="shared" si="13"/>
        <v>0</v>
      </c>
    </row>
    <row r="649" spans="1:6">
      <c r="A649" s="5">
        <v>1773</v>
      </c>
      <c r="B649" s="5" t="s">
        <v>13</v>
      </c>
      <c r="C649" s="4">
        <v>85</v>
      </c>
      <c r="D649" s="101">
        <f t="shared" si="14"/>
        <v>89.666666666666671</v>
      </c>
      <c r="F649" s="90">
        <f t="shared" si="13"/>
        <v>-5.5555555555555552E-2</v>
      </c>
    </row>
    <row r="650" spans="1:6">
      <c r="A650" s="5">
        <v>1773</v>
      </c>
      <c r="B650" s="5" t="s">
        <v>14</v>
      </c>
      <c r="C650" s="4">
        <v>82</v>
      </c>
      <c r="D650" s="101">
        <f t="shared" si="14"/>
        <v>89</v>
      </c>
      <c r="F650" s="90">
        <f t="shared" si="13"/>
        <v>-8.8888888888888892E-2</v>
      </c>
    </row>
    <row r="651" spans="1:6">
      <c r="A651" s="5">
        <v>1773</v>
      </c>
      <c r="B651" s="5" t="s">
        <v>15</v>
      </c>
      <c r="C651" s="4">
        <v>81</v>
      </c>
      <c r="D651" s="101">
        <f t="shared" si="14"/>
        <v>88.083333333333329</v>
      </c>
      <c r="F651" s="90">
        <f t="shared" si="13"/>
        <v>-0.11956521739130435</v>
      </c>
    </row>
    <row r="652" spans="1:6">
      <c r="A652" s="5">
        <v>1773</v>
      </c>
      <c r="B652" s="5" t="s">
        <v>16</v>
      </c>
      <c r="C652" s="4">
        <v>85</v>
      </c>
      <c r="D652" s="101">
        <f t="shared" si="14"/>
        <v>87.5</v>
      </c>
      <c r="F652" s="90">
        <f t="shared" si="13"/>
        <v>-7.6086956521739135E-2</v>
      </c>
    </row>
    <row r="653" spans="1:6">
      <c r="A653" s="5">
        <v>1773</v>
      </c>
      <c r="B653" s="5" t="s">
        <v>17</v>
      </c>
      <c r="C653" s="4">
        <v>80</v>
      </c>
      <c r="D653" s="101">
        <f t="shared" si="14"/>
        <v>86.75</v>
      </c>
      <c r="F653" s="90">
        <f t="shared" si="13"/>
        <v>-0.10112359550561797</v>
      </c>
    </row>
    <row r="654" spans="1:6">
      <c r="A654" s="5">
        <v>1773</v>
      </c>
      <c r="B654" s="5" t="s">
        <v>18</v>
      </c>
      <c r="C654" s="4">
        <v>80</v>
      </c>
      <c r="D654" s="101">
        <f t="shared" si="14"/>
        <v>85.5</v>
      </c>
      <c r="F654" s="90">
        <f t="shared" si="13"/>
        <v>-0.15789473684210525</v>
      </c>
    </row>
    <row r="655" spans="1:6">
      <c r="A655" s="5">
        <v>1773</v>
      </c>
      <c r="B655" s="5" t="s">
        <v>19</v>
      </c>
      <c r="C655" s="4">
        <v>80</v>
      </c>
      <c r="D655" s="101">
        <f t="shared" si="14"/>
        <v>84.916666666666671</v>
      </c>
      <c r="F655" s="90">
        <f t="shared" si="13"/>
        <v>-8.0459770114942528E-2</v>
      </c>
    </row>
    <row r="656" spans="1:6">
      <c r="A656" s="5">
        <v>1773</v>
      </c>
      <c r="B656" s="5" t="s">
        <v>20</v>
      </c>
      <c r="C656" s="4">
        <v>78</v>
      </c>
      <c r="D656" s="101">
        <f t="shared" si="14"/>
        <v>83.75</v>
      </c>
      <c r="E656" s="4">
        <v>84</v>
      </c>
      <c r="F656" s="90">
        <f t="shared" si="13"/>
        <v>-0.15217391304347827</v>
      </c>
    </row>
    <row r="657" spans="1:6">
      <c r="A657" s="5">
        <v>1774</v>
      </c>
      <c r="B657" s="5" t="s">
        <v>9</v>
      </c>
      <c r="C657" s="4">
        <v>78</v>
      </c>
      <c r="D657" s="101">
        <f t="shared" si="14"/>
        <v>82.833333333333329</v>
      </c>
      <c r="F657" s="90">
        <f t="shared" si="13"/>
        <v>-0.12359550561797752</v>
      </c>
    </row>
    <row r="658" spans="1:6">
      <c r="A658" s="5">
        <v>1774</v>
      </c>
      <c r="B658" s="5" t="s">
        <v>10</v>
      </c>
      <c r="C658" s="4">
        <v>78</v>
      </c>
      <c r="D658" s="101">
        <f t="shared" si="14"/>
        <v>81.916666666666671</v>
      </c>
      <c r="F658" s="90">
        <f t="shared" si="13"/>
        <v>-0.12359550561797752</v>
      </c>
    </row>
    <row r="659" spans="1:6">
      <c r="A659" s="5">
        <v>1774</v>
      </c>
      <c r="B659" s="5" t="s">
        <v>11</v>
      </c>
      <c r="C659" s="4">
        <v>78</v>
      </c>
      <c r="D659" s="101">
        <f t="shared" si="14"/>
        <v>81</v>
      </c>
      <c r="F659" s="90">
        <f t="shared" si="13"/>
        <v>-0.12359550561797752</v>
      </c>
    </row>
    <row r="660" spans="1:6">
      <c r="A660" s="5">
        <v>1774</v>
      </c>
      <c r="B660" s="5" t="s">
        <v>12</v>
      </c>
      <c r="C660" s="4">
        <v>77</v>
      </c>
      <c r="D660" s="101">
        <f t="shared" si="14"/>
        <v>80.166666666666671</v>
      </c>
      <c r="F660" s="90">
        <f t="shared" si="13"/>
        <v>-0.11494252873563218</v>
      </c>
    </row>
    <row r="661" spans="1:6">
      <c r="A661" s="5">
        <v>1774</v>
      </c>
      <c r="B661" s="5" t="s">
        <v>13</v>
      </c>
      <c r="C661" s="4">
        <v>76</v>
      </c>
      <c r="D661" s="101">
        <f t="shared" si="14"/>
        <v>79.416666666666671</v>
      </c>
      <c r="F661" s="90">
        <f t="shared" ref="F661:F724" si="15">(C661-C649)/C649</f>
        <v>-0.10588235294117647</v>
      </c>
    </row>
    <row r="662" spans="1:6">
      <c r="A662" s="5">
        <v>1774</v>
      </c>
      <c r="B662" s="5" t="s">
        <v>14</v>
      </c>
      <c r="C662" s="4">
        <v>77</v>
      </c>
      <c r="D662" s="101">
        <f t="shared" si="14"/>
        <v>79</v>
      </c>
      <c r="F662" s="90">
        <f t="shared" si="15"/>
        <v>-6.097560975609756E-2</v>
      </c>
    </row>
    <row r="663" spans="1:6">
      <c r="A663" s="5">
        <v>1774</v>
      </c>
      <c r="B663" s="5" t="s">
        <v>15</v>
      </c>
      <c r="C663" s="4">
        <v>77</v>
      </c>
      <c r="D663" s="101">
        <f t="shared" si="14"/>
        <v>78.666666666666671</v>
      </c>
      <c r="F663" s="90">
        <f t="shared" si="15"/>
        <v>-4.9382716049382713E-2</v>
      </c>
    </row>
    <row r="664" spans="1:6">
      <c r="A664" s="5">
        <v>1774</v>
      </c>
      <c r="B664" s="5" t="s">
        <v>16</v>
      </c>
      <c r="C664" s="4">
        <v>75</v>
      </c>
      <c r="D664" s="101">
        <f t="shared" si="14"/>
        <v>77.833333333333329</v>
      </c>
      <c r="F664" s="90">
        <f t="shared" si="15"/>
        <v>-0.11764705882352941</v>
      </c>
    </row>
    <row r="665" spans="1:6">
      <c r="A665" s="5">
        <v>1774</v>
      </c>
      <c r="B665" s="5" t="s">
        <v>17</v>
      </c>
      <c r="C665" s="4">
        <v>73</v>
      </c>
      <c r="D665" s="101">
        <f t="shared" si="14"/>
        <v>77.25</v>
      </c>
      <c r="F665" s="90">
        <f t="shared" si="15"/>
        <v>-8.7499999999999994E-2</v>
      </c>
    </row>
    <row r="666" spans="1:6">
      <c r="A666" s="5">
        <v>1774</v>
      </c>
      <c r="B666" s="5" t="s">
        <v>18</v>
      </c>
      <c r="C666" s="4">
        <v>76</v>
      </c>
      <c r="D666" s="101">
        <f t="shared" si="14"/>
        <v>76.916666666666671</v>
      </c>
      <c r="F666" s="90">
        <f t="shared" si="15"/>
        <v>-0.05</v>
      </c>
    </row>
    <row r="667" spans="1:6">
      <c r="A667" s="5">
        <v>1774</v>
      </c>
      <c r="B667" s="5" t="s">
        <v>19</v>
      </c>
      <c r="C667" s="4">
        <v>77</v>
      </c>
      <c r="D667" s="101">
        <f t="shared" si="14"/>
        <v>76.666666666666671</v>
      </c>
      <c r="F667" s="90">
        <f t="shared" si="15"/>
        <v>-3.7499999999999999E-2</v>
      </c>
    </row>
    <row r="668" spans="1:6">
      <c r="A668" s="5">
        <v>1774</v>
      </c>
      <c r="B668" s="5" t="s">
        <v>20</v>
      </c>
      <c r="C668" s="4">
        <v>76</v>
      </c>
      <c r="D668" s="101">
        <f t="shared" si="14"/>
        <v>76.5</v>
      </c>
      <c r="E668" s="4">
        <v>76</v>
      </c>
      <c r="F668" s="90">
        <f t="shared" si="15"/>
        <v>-2.564102564102564E-2</v>
      </c>
    </row>
    <row r="669" spans="1:6">
      <c r="A669" s="5">
        <v>1775</v>
      </c>
      <c r="B669" s="5" t="s">
        <v>9</v>
      </c>
      <c r="C669" s="4">
        <v>75</v>
      </c>
      <c r="D669" s="101">
        <f t="shared" si="14"/>
        <v>76.25</v>
      </c>
      <c r="F669" s="90">
        <f t="shared" si="15"/>
        <v>-3.8461538461538464E-2</v>
      </c>
    </row>
    <row r="670" spans="1:6">
      <c r="A670" s="5">
        <v>1775</v>
      </c>
      <c r="B670" s="5" t="s">
        <v>10</v>
      </c>
      <c r="C670" s="4">
        <v>74</v>
      </c>
      <c r="D670" s="101">
        <f t="shared" si="14"/>
        <v>75.916666666666671</v>
      </c>
      <c r="F670" s="90">
        <f t="shared" si="15"/>
        <v>-5.128205128205128E-2</v>
      </c>
    </row>
    <row r="671" spans="1:6">
      <c r="A671" s="5">
        <v>1775</v>
      </c>
      <c r="B671" s="5" t="s">
        <v>11</v>
      </c>
      <c r="C671" s="4">
        <v>72</v>
      </c>
      <c r="D671" s="101">
        <f t="shared" si="14"/>
        <v>75.416666666666671</v>
      </c>
      <c r="F671" s="90">
        <f t="shared" si="15"/>
        <v>-7.6923076923076927E-2</v>
      </c>
    </row>
    <row r="672" spans="1:6">
      <c r="A672" s="5">
        <v>1775</v>
      </c>
      <c r="B672" s="5" t="s">
        <v>12</v>
      </c>
      <c r="C672" s="4">
        <v>72</v>
      </c>
      <c r="D672" s="101">
        <f t="shared" si="14"/>
        <v>75</v>
      </c>
      <c r="F672" s="90">
        <f t="shared" si="15"/>
        <v>-6.4935064935064929E-2</v>
      </c>
    </row>
    <row r="673" spans="1:6">
      <c r="A673" s="5">
        <v>1775</v>
      </c>
      <c r="B673" s="5" t="s">
        <v>13</v>
      </c>
      <c r="C673" s="4">
        <v>72</v>
      </c>
      <c r="D673" s="101">
        <f t="shared" si="14"/>
        <v>74.666666666666671</v>
      </c>
      <c r="F673" s="90">
        <f t="shared" si="15"/>
        <v>-5.2631578947368418E-2</v>
      </c>
    </row>
    <row r="674" spans="1:6">
      <c r="A674" s="5">
        <v>1775</v>
      </c>
      <c r="B674" s="5" t="s">
        <v>14</v>
      </c>
      <c r="C674" s="4">
        <v>71</v>
      </c>
      <c r="D674" s="101">
        <f t="shared" si="14"/>
        <v>74.166666666666671</v>
      </c>
      <c r="F674" s="90">
        <f t="shared" si="15"/>
        <v>-7.792207792207792E-2</v>
      </c>
    </row>
    <row r="675" spans="1:6">
      <c r="A675" s="5">
        <v>1775</v>
      </c>
      <c r="B675" s="5" t="s">
        <v>15</v>
      </c>
      <c r="C675" s="4">
        <v>74</v>
      </c>
      <c r="D675" s="101">
        <f t="shared" si="14"/>
        <v>73.916666666666671</v>
      </c>
      <c r="F675" s="90">
        <f t="shared" si="15"/>
        <v>-3.896103896103896E-2</v>
      </c>
    </row>
    <row r="676" spans="1:6">
      <c r="A676" s="5">
        <v>1775</v>
      </c>
      <c r="B676" s="5" t="s">
        <v>16</v>
      </c>
      <c r="C676" s="4">
        <v>75</v>
      </c>
      <c r="D676" s="101">
        <f t="shared" si="14"/>
        <v>73.916666666666671</v>
      </c>
      <c r="F676" s="90">
        <f t="shared" si="15"/>
        <v>0</v>
      </c>
    </row>
    <row r="677" spans="1:6">
      <c r="A677" s="5">
        <v>1775</v>
      </c>
      <c r="B677" s="5" t="s">
        <v>17</v>
      </c>
      <c r="C677" s="4">
        <v>78</v>
      </c>
      <c r="D677" s="101">
        <f t="shared" si="14"/>
        <v>74.333333333333329</v>
      </c>
      <c r="F677" s="90">
        <f t="shared" si="15"/>
        <v>6.8493150684931503E-2</v>
      </c>
    </row>
    <row r="678" spans="1:6">
      <c r="A678" s="5">
        <v>1775</v>
      </c>
      <c r="B678" s="5" t="s">
        <v>18</v>
      </c>
      <c r="C678" s="4">
        <v>79</v>
      </c>
      <c r="D678" s="101">
        <f t="shared" si="14"/>
        <v>74.583333333333329</v>
      </c>
      <c r="F678" s="90">
        <f t="shared" si="15"/>
        <v>3.9473684210526314E-2</v>
      </c>
    </row>
    <row r="679" spans="1:6">
      <c r="A679" s="5">
        <v>1775</v>
      </c>
      <c r="B679" s="5" t="s">
        <v>19</v>
      </c>
      <c r="C679" s="4">
        <v>79</v>
      </c>
      <c r="D679" s="101">
        <f t="shared" si="14"/>
        <v>74.75</v>
      </c>
      <c r="F679" s="90">
        <f t="shared" si="15"/>
        <v>2.5974025974025976E-2</v>
      </c>
    </row>
    <row r="680" spans="1:6">
      <c r="A680" s="5">
        <v>1775</v>
      </c>
      <c r="B680" s="5" t="s">
        <v>20</v>
      </c>
      <c r="C680" s="4">
        <v>76</v>
      </c>
      <c r="D680" s="101">
        <f t="shared" si="14"/>
        <v>74.75</v>
      </c>
      <c r="E680" s="4">
        <v>75</v>
      </c>
      <c r="F680" s="90">
        <f t="shared" si="15"/>
        <v>0</v>
      </c>
    </row>
    <row r="681" spans="1:6">
      <c r="A681" s="5">
        <v>1776</v>
      </c>
      <c r="B681" s="5" t="s">
        <v>9</v>
      </c>
      <c r="C681" s="4">
        <v>75</v>
      </c>
      <c r="D681" s="101">
        <f t="shared" si="14"/>
        <v>74.75</v>
      </c>
      <c r="F681" s="90">
        <f t="shared" si="15"/>
        <v>0</v>
      </c>
    </row>
    <row r="682" spans="1:6">
      <c r="A682" s="5">
        <v>1776</v>
      </c>
      <c r="B682" s="5" t="s">
        <v>10</v>
      </c>
      <c r="C682" s="4">
        <v>74</v>
      </c>
      <c r="D682" s="101">
        <f t="shared" si="14"/>
        <v>74.75</v>
      </c>
      <c r="F682" s="90">
        <f t="shared" si="15"/>
        <v>0</v>
      </c>
    </row>
    <row r="683" spans="1:6">
      <c r="A683" s="5">
        <v>1776</v>
      </c>
      <c r="B683" s="5" t="s">
        <v>11</v>
      </c>
      <c r="C683" s="4">
        <v>78</v>
      </c>
      <c r="D683" s="101">
        <f t="shared" si="14"/>
        <v>75.25</v>
      </c>
      <c r="F683" s="90">
        <f t="shared" si="15"/>
        <v>8.3333333333333329E-2</v>
      </c>
    </row>
    <row r="684" spans="1:6">
      <c r="A684" s="5">
        <v>1776</v>
      </c>
      <c r="B684" s="5" t="s">
        <v>12</v>
      </c>
      <c r="C684" s="4">
        <v>82</v>
      </c>
      <c r="D684" s="101">
        <f t="shared" si="14"/>
        <v>76.083333333333329</v>
      </c>
      <c r="F684" s="90">
        <f t="shared" si="15"/>
        <v>0.1388888888888889</v>
      </c>
    </row>
    <row r="685" spans="1:6">
      <c r="A685" s="5">
        <v>1776</v>
      </c>
      <c r="B685" s="5" t="s">
        <v>13</v>
      </c>
      <c r="C685" s="4">
        <v>84</v>
      </c>
      <c r="D685" s="101">
        <f t="shared" si="14"/>
        <v>77.083333333333329</v>
      </c>
      <c r="F685" s="90">
        <f t="shared" si="15"/>
        <v>0.16666666666666666</v>
      </c>
    </row>
    <row r="686" spans="1:6">
      <c r="A686" s="5">
        <v>1776</v>
      </c>
      <c r="B686" s="5" t="s">
        <v>14</v>
      </c>
      <c r="C686" s="4">
        <v>91</v>
      </c>
      <c r="D686" s="101">
        <f t="shared" si="14"/>
        <v>78.75</v>
      </c>
      <c r="F686" s="90">
        <f t="shared" si="15"/>
        <v>0.28169014084507044</v>
      </c>
    </row>
    <row r="687" spans="1:6">
      <c r="A687" s="5">
        <v>1776</v>
      </c>
      <c r="B687" s="5" t="s">
        <v>15</v>
      </c>
      <c r="C687" s="4">
        <v>92</v>
      </c>
      <c r="D687" s="101">
        <f t="shared" si="14"/>
        <v>80.25</v>
      </c>
      <c r="F687" s="90">
        <f t="shared" si="15"/>
        <v>0.24324324324324326</v>
      </c>
    </row>
    <row r="688" spans="1:6">
      <c r="A688" s="5">
        <v>1776</v>
      </c>
      <c r="B688" s="5" t="s">
        <v>16</v>
      </c>
      <c r="C688" s="4">
        <v>92</v>
      </c>
      <c r="D688" s="101">
        <f t="shared" si="14"/>
        <v>81.666666666666671</v>
      </c>
      <c r="F688" s="90">
        <f t="shared" si="15"/>
        <v>0.22666666666666666</v>
      </c>
    </row>
    <row r="689" spans="1:6">
      <c r="A689" s="5">
        <v>1776</v>
      </c>
      <c r="B689" s="5" t="s">
        <v>17</v>
      </c>
      <c r="C689" s="4">
        <v>93</v>
      </c>
      <c r="D689" s="101">
        <f t="shared" ref="D689:D752" si="16">AVERAGE(C678:C689)</f>
        <v>82.916666666666671</v>
      </c>
      <c r="F689" s="90">
        <f t="shared" si="15"/>
        <v>0.19230769230769232</v>
      </c>
    </row>
    <row r="690" spans="1:6">
      <c r="A690" s="5">
        <v>1776</v>
      </c>
      <c r="B690" s="5" t="s">
        <v>18</v>
      </c>
      <c r="C690" s="4">
        <v>93</v>
      </c>
      <c r="D690" s="101">
        <f t="shared" si="16"/>
        <v>84.083333333333329</v>
      </c>
      <c r="F690" s="90">
        <f t="shared" si="15"/>
        <v>0.17721518987341772</v>
      </c>
    </row>
    <row r="691" spans="1:6">
      <c r="A691" s="5">
        <v>1776</v>
      </c>
      <c r="B691" s="5" t="s">
        <v>19</v>
      </c>
      <c r="C691" s="4">
        <v>93</v>
      </c>
      <c r="D691" s="101">
        <f t="shared" si="16"/>
        <v>85.25</v>
      </c>
      <c r="F691" s="90">
        <f t="shared" si="15"/>
        <v>0.17721518987341772</v>
      </c>
    </row>
    <row r="692" spans="1:6">
      <c r="A692" s="5">
        <v>1776</v>
      </c>
      <c r="B692" s="5" t="s">
        <v>20</v>
      </c>
      <c r="C692" s="4">
        <v>93</v>
      </c>
      <c r="D692" s="101">
        <f t="shared" si="16"/>
        <v>86.666666666666671</v>
      </c>
      <c r="E692" s="4">
        <v>86</v>
      </c>
      <c r="F692" s="90">
        <f t="shared" si="15"/>
        <v>0.22368421052631579</v>
      </c>
    </row>
    <row r="693" spans="1:6">
      <c r="A693" s="5">
        <v>1777</v>
      </c>
      <c r="B693" s="5" t="s">
        <v>9</v>
      </c>
      <c r="C693" s="4">
        <v>109</v>
      </c>
      <c r="D693" s="101">
        <f t="shared" si="16"/>
        <v>89.5</v>
      </c>
      <c r="F693" s="90">
        <f t="shared" si="15"/>
        <v>0.45333333333333331</v>
      </c>
    </row>
    <row r="694" spans="1:6">
      <c r="A694" s="5">
        <v>1777</v>
      </c>
      <c r="B694" s="5" t="s">
        <v>10</v>
      </c>
      <c r="C694" s="4">
        <v>124</v>
      </c>
      <c r="D694" s="101">
        <f t="shared" si="16"/>
        <v>93.666666666666671</v>
      </c>
      <c r="F694" s="90">
        <f t="shared" si="15"/>
        <v>0.67567567567567566</v>
      </c>
    </row>
    <row r="695" spans="1:6">
      <c r="A695" s="5">
        <v>1777</v>
      </c>
      <c r="B695" s="5" t="s">
        <v>11</v>
      </c>
      <c r="C695" s="4">
        <v>124</v>
      </c>
      <c r="D695" s="101">
        <f t="shared" si="16"/>
        <v>97.5</v>
      </c>
      <c r="F695" s="90">
        <f t="shared" si="15"/>
        <v>0.58974358974358976</v>
      </c>
    </row>
    <row r="696" spans="1:6">
      <c r="A696" s="5">
        <v>1777</v>
      </c>
      <c r="B696" s="5" t="s">
        <v>12</v>
      </c>
      <c r="C696" s="4">
        <v>124</v>
      </c>
      <c r="D696" s="101">
        <f t="shared" si="16"/>
        <v>101</v>
      </c>
      <c r="F696" s="90">
        <f t="shared" si="15"/>
        <v>0.51219512195121952</v>
      </c>
    </row>
    <row r="697" spans="1:6">
      <c r="A697" s="5">
        <v>1777</v>
      </c>
      <c r="B697" s="5" t="s">
        <v>13</v>
      </c>
      <c r="C697" s="4">
        <v>124</v>
      </c>
      <c r="D697" s="101">
        <f t="shared" si="16"/>
        <v>104.33333333333333</v>
      </c>
      <c r="F697" s="90">
        <f t="shared" si="15"/>
        <v>0.47619047619047616</v>
      </c>
    </row>
    <row r="698" spans="1:6">
      <c r="A698" s="5">
        <v>1777</v>
      </c>
      <c r="B698" s="5" t="s">
        <v>14</v>
      </c>
      <c r="C698" s="4">
        <v>124</v>
      </c>
      <c r="D698" s="101">
        <f t="shared" si="16"/>
        <v>107.08333333333333</v>
      </c>
      <c r="F698" s="90">
        <f t="shared" si="15"/>
        <v>0.36263736263736263</v>
      </c>
    </row>
    <row r="699" spans="1:6">
      <c r="A699" s="5">
        <v>1777</v>
      </c>
      <c r="B699" s="5" t="s">
        <v>15</v>
      </c>
      <c r="C699" s="4">
        <v>124</v>
      </c>
      <c r="D699" s="101">
        <f t="shared" si="16"/>
        <v>109.75</v>
      </c>
      <c r="F699" s="90">
        <f t="shared" si="15"/>
        <v>0.34782608695652173</v>
      </c>
    </row>
    <row r="700" spans="1:6">
      <c r="A700" s="5">
        <v>1777</v>
      </c>
      <c r="B700" s="5" t="s">
        <v>16</v>
      </c>
      <c r="C700" s="4">
        <v>124</v>
      </c>
      <c r="D700" s="101">
        <f t="shared" si="16"/>
        <v>112.41666666666667</v>
      </c>
      <c r="F700" s="90">
        <f t="shared" si="15"/>
        <v>0.34782608695652173</v>
      </c>
    </row>
    <row r="701" spans="1:6">
      <c r="A701" s="5">
        <v>1777</v>
      </c>
      <c r="B701" s="5" t="s">
        <v>17</v>
      </c>
      <c r="C701" s="4">
        <v>124</v>
      </c>
      <c r="D701" s="101">
        <f t="shared" si="16"/>
        <v>115</v>
      </c>
      <c r="F701" s="90">
        <f t="shared" si="15"/>
        <v>0.33333333333333331</v>
      </c>
    </row>
    <row r="702" spans="1:6">
      <c r="A702" s="5">
        <v>1777</v>
      </c>
      <c r="B702" s="5" t="s">
        <v>18</v>
      </c>
      <c r="C702" s="4">
        <v>124</v>
      </c>
      <c r="D702" s="101">
        <f t="shared" si="16"/>
        <v>117.58333333333333</v>
      </c>
      <c r="F702" s="90">
        <f t="shared" si="15"/>
        <v>0.33333333333333331</v>
      </c>
    </row>
    <row r="703" spans="1:6">
      <c r="A703" s="5">
        <v>1777</v>
      </c>
      <c r="B703" s="5" t="s">
        <v>19</v>
      </c>
      <c r="C703" s="4">
        <v>124</v>
      </c>
      <c r="D703" s="101">
        <f t="shared" si="16"/>
        <v>120.16666666666667</v>
      </c>
      <c r="F703" s="90">
        <f t="shared" si="15"/>
        <v>0.33333333333333331</v>
      </c>
    </row>
    <row r="704" spans="1:6">
      <c r="A704" s="5">
        <v>1777</v>
      </c>
      <c r="B704" s="5" t="s">
        <v>20</v>
      </c>
      <c r="C704" s="4">
        <v>124</v>
      </c>
      <c r="D704" s="101">
        <f t="shared" si="16"/>
        <v>122.75</v>
      </c>
      <c r="E704" s="4">
        <v>123</v>
      </c>
      <c r="F704" s="90">
        <f t="shared" si="15"/>
        <v>0.33333333333333331</v>
      </c>
    </row>
    <row r="705" spans="1:6">
      <c r="A705" s="5">
        <v>1778</v>
      </c>
      <c r="B705" s="5" t="s">
        <v>9</v>
      </c>
      <c r="C705" s="4">
        <v>121</v>
      </c>
      <c r="D705" s="101">
        <f t="shared" si="16"/>
        <v>123.75</v>
      </c>
      <c r="F705" s="90">
        <f t="shared" si="15"/>
        <v>0.11009174311926606</v>
      </c>
    </row>
    <row r="706" spans="1:6">
      <c r="A706" s="5">
        <v>1778</v>
      </c>
      <c r="B706" s="5" t="s">
        <v>10</v>
      </c>
      <c r="C706" s="4">
        <v>127</v>
      </c>
      <c r="D706" s="101">
        <f t="shared" si="16"/>
        <v>124</v>
      </c>
      <c r="F706" s="90">
        <f t="shared" si="15"/>
        <v>2.4193548387096774E-2</v>
      </c>
    </row>
    <row r="707" spans="1:6">
      <c r="A707" s="5">
        <v>1778</v>
      </c>
      <c r="B707" s="5" t="s">
        <v>11</v>
      </c>
      <c r="C707" s="4">
        <v>127</v>
      </c>
      <c r="D707" s="101">
        <f t="shared" si="16"/>
        <v>124.25</v>
      </c>
      <c r="F707" s="90">
        <f t="shared" si="15"/>
        <v>2.4193548387096774E-2</v>
      </c>
    </row>
    <row r="708" spans="1:6">
      <c r="A708" s="5">
        <v>1778</v>
      </c>
      <c r="B708" s="5" t="s">
        <v>12</v>
      </c>
      <c r="C708" s="4">
        <v>127</v>
      </c>
      <c r="D708" s="101">
        <f t="shared" si="16"/>
        <v>124.5</v>
      </c>
      <c r="F708" s="90">
        <f t="shared" si="15"/>
        <v>2.4193548387096774E-2</v>
      </c>
    </row>
    <row r="709" spans="1:6">
      <c r="A709" s="5">
        <v>1778</v>
      </c>
      <c r="B709" s="5" t="s">
        <v>13</v>
      </c>
      <c r="C709" s="4">
        <v>127</v>
      </c>
      <c r="D709" s="101">
        <f t="shared" si="16"/>
        <v>124.75</v>
      </c>
      <c r="F709" s="90">
        <f t="shared" si="15"/>
        <v>2.4193548387096774E-2</v>
      </c>
    </row>
    <row r="710" spans="1:6">
      <c r="A710" s="5">
        <v>1778</v>
      </c>
      <c r="B710" s="5" t="s">
        <v>14</v>
      </c>
      <c r="C710" s="4">
        <v>127</v>
      </c>
      <c r="D710" s="101">
        <f t="shared" si="16"/>
        <v>125</v>
      </c>
      <c r="F710" s="90">
        <f t="shared" si="15"/>
        <v>2.4193548387096774E-2</v>
      </c>
    </row>
    <row r="711" spans="1:6">
      <c r="A711" s="5">
        <v>1778</v>
      </c>
      <c r="B711" s="5" t="s">
        <v>15</v>
      </c>
      <c r="C711" s="4">
        <v>127</v>
      </c>
      <c r="D711" s="101">
        <f t="shared" si="16"/>
        <v>125.25</v>
      </c>
      <c r="F711" s="90">
        <f t="shared" si="15"/>
        <v>2.4193548387096774E-2</v>
      </c>
    </row>
    <row r="712" spans="1:6">
      <c r="A712" s="5">
        <v>1778</v>
      </c>
      <c r="B712" s="5" t="s">
        <v>16</v>
      </c>
      <c r="C712" s="4">
        <v>127</v>
      </c>
      <c r="D712" s="101">
        <f t="shared" si="16"/>
        <v>125.5</v>
      </c>
      <c r="F712" s="90">
        <f t="shared" si="15"/>
        <v>2.4193548387096774E-2</v>
      </c>
    </row>
    <row r="713" spans="1:6">
      <c r="A713" s="5">
        <v>1778</v>
      </c>
      <c r="B713" s="5" t="s">
        <v>17</v>
      </c>
      <c r="C713" s="4">
        <v>167</v>
      </c>
      <c r="D713" s="101">
        <f t="shared" si="16"/>
        <v>129.08333333333334</v>
      </c>
      <c r="F713" s="90">
        <f t="shared" si="15"/>
        <v>0.34677419354838712</v>
      </c>
    </row>
    <row r="714" spans="1:6">
      <c r="A714" s="5">
        <v>1778</v>
      </c>
      <c r="B714" s="5" t="s">
        <v>18</v>
      </c>
      <c r="C714" s="4">
        <v>166</v>
      </c>
      <c r="D714" s="101">
        <f t="shared" si="16"/>
        <v>132.58333333333334</v>
      </c>
      <c r="F714" s="90">
        <f t="shared" si="15"/>
        <v>0.33870967741935482</v>
      </c>
    </row>
    <row r="715" spans="1:6">
      <c r="A715" s="5">
        <v>1778</v>
      </c>
      <c r="B715" s="5" t="s">
        <v>19</v>
      </c>
      <c r="C715" s="4">
        <v>166</v>
      </c>
      <c r="D715" s="101">
        <f t="shared" si="16"/>
        <v>136.08333333333334</v>
      </c>
      <c r="F715" s="90">
        <f t="shared" si="15"/>
        <v>0.33870967741935482</v>
      </c>
    </row>
    <row r="716" spans="1:6">
      <c r="A716" s="5">
        <v>1778</v>
      </c>
      <c r="B716" s="5" t="s">
        <v>20</v>
      </c>
      <c r="C716" s="4">
        <v>166</v>
      </c>
      <c r="D716" s="101">
        <f t="shared" si="16"/>
        <v>139.58333333333334</v>
      </c>
      <c r="E716" s="4">
        <v>140</v>
      </c>
      <c r="F716" s="90">
        <f t="shared" si="15"/>
        <v>0.33870967741935482</v>
      </c>
    </row>
    <row r="717" spans="1:6">
      <c r="A717" s="5">
        <v>1779</v>
      </c>
      <c r="B717" s="5" t="s">
        <v>9</v>
      </c>
      <c r="C717" s="4">
        <v>165</v>
      </c>
      <c r="D717" s="101">
        <f t="shared" si="16"/>
        <v>143.25</v>
      </c>
      <c r="F717" s="90">
        <f t="shared" si="15"/>
        <v>0.36363636363636365</v>
      </c>
    </row>
    <row r="718" spans="1:6">
      <c r="A718" s="5">
        <v>1779</v>
      </c>
      <c r="B718" s="5" t="s">
        <v>10</v>
      </c>
      <c r="C718" s="4">
        <v>232</v>
      </c>
      <c r="D718" s="101">
        <f t="shared" si="16"/>
        <v>152</v>
      </c>
      <c r="F718" s="90">
        <f t="shared" si="15"/>
        <v>0.82677165354330706</v>
      </c>
    </row>
    <row r="719" spans="1:6">
      <c r="A719" s="5">
        <v>1779</v>
      </c>
      <c r="B719" s="5" t="s">
        <v>11</v>
      </c>
      <c r="C719" s="4">
        <v>232</v>
      </c>
      <c r="D719" s="101">
        <f t="shared" si="16"/>
        <v>160.75</v>
      </c>
      <c r="F719" s="90">
        <f t="shared" si="15"/>
        <v>0.82677165354330706</v>
      </c>
    </row>
    <row r="720" spans="1:6">
      <c r="A720" s="5">
        <v>1779</v>
      </c>
      <c r="B720" s="5" t="s">
        <v>12</v>
      </c>
      <c r="C720" s="4">
        <v>232</v>
      </c>
      <c r="D720" s="101">
        <f t="shared" si="16"/>
        <v>169.5</v>
      </c>
      <c r="F720" s="90">
        <f t="shared" si="15"/>
        <v>0.82677165354330706</v>
      </c>
    </row>
    <row r="721" spans="1:6">
      <c r="A721" s="5">
        <v>1779</v>
      </c>
      <c r="B721" s="5" t="s">
        <v>13</v>
      </c>
      <c r="C721" s="4">
        <v>232</v>
      </c>
      <c r="D721" s="101">
        <f t="shared" si="16"/>
        <v>178.25</v>
      </c>
      <c r="F721" s="90">
        <f t="shared" si="15"/>
        <v>0.82677165354330706</v>
      </c>
    </row>
    <row r="722" spans="1:6">
      <c r="A722" s="5">
        <v>1779</v>
      </c>
      <c r="B722" s="5" t="s">
        <v>14</v>
      </c>
      <c r="C722" s="4">
        <v>232</v>
      </c>
      <c r="D722" s="101">
        <f t="shared" si="16"/>
        <v>187</v>
      </c>
      <c r="F722" s="90">
        <f t="shared" si="15"/>
        <v>0.82677165354330706</v>
      </c>
    </row>
    <row r="723" spans="1:6">
      <c r="A723" s="5">
        <v>1779</v>
      </c>
      <c r="B723" s="5" t="s">
        <v>15</v>
      </c>
      <c r="C723" s="4">
        <v>232</v>
      </c>
      <c r="D723" s="101">
        <f t="shared" si="16"/>
        <v>195.75</v>
      </c>
      <c r="F723" s="90">
        <f t="shared" si="15"/>
        <v>0.82677165354330706</v>
      </c>
    </row>
    <row r="724" spans="1:6">
      <c r="A724" s="5">
        <v>1779</v>
      </c>
      <c r="B724" s="5" t="s">
        <v>16</v>
      </c>
      <c r="C724" s="4">
        <v>232</v>
      </c>
      <c r="D724" s="101">
        <f t="shared" si="16"/>
        <v>204.5</v>
      </c>
      <c r="F724" s="90">
        <f t="shared" si="15"/>
        <v>0.82677165354330706</v>
      </c>
    </row>
    <row r="725" spans="1:6">
      <c r="A725" s="5">
        <v>1779</v>
      </c>
      <c r="B725" s="5" t="s">
        <v>17</v>
      </c>
      <c r="C725" s="4">
        <v>232</v>
      </c>
      <c r="D725" s="101">
        <f t="shared" si="16"/>
        <v>209.91666666666666</v>
      </c>
      <c r="F725" s="90">
        <f t="shared" ref="F725:F788" si="17">(C725-C713)/C713</f>
        <v>0.38922155688622756</v>
      </c>
    </row>
    <row r="726" spans="1:6">
      <c r="A726" s="5">
        <v>1779</v>
      </c>
      <c r="B726" s="5" t="s">
        <v>18</v>
      </c>
      <c r="C726" s="4">
        <v>232</v>
      </c>
      <c r="D726" s="101">
        <f t="shared" si="16"/>
        <v>215.41666666666666</v>
      </c>
      <c r="F726" s="90">
        <f t="shared" si="17"/>
        <v>0.39759036144578314</v>
      </c>
    </row>
    <row r="727" spans="1:6">
      <c r="A727" s="5">
        <v>1779</v>
      </c>
      <c r="B727" s="5" t="s">
        <v>19</v>
      </c>
      <c r="C727" s="4">
        <v>232</v>
      </c>
      <c r="D727" s="101">
        <f t="shared" si="16"/>
        <v>220.91666666666666</v>
      </c>
      <c r="F727" s="90">
        <f t="shared" si="17"/>
        <v>0.39759036144578314</v>
      </c>
    </row>
    <row r="728" spans="1:6">
      <c r="A728" s="5">
        <v>1779</v>
      </c>
      <c r="B728" s="5" t="s">
        <v>20</v>
      </c>
      <c r="C728" s="4">
        <v>232</v>
      </c>
      <c r="D728" s="101">
        <f t="shared" si="16"/>
        <v>226.41666666666666</v>
      </c>
      <c r="E728" s="4">
        <v>226</v>
      </c>
      <c r="F728" s="90">
        <f t="shared" si="17"/>
        <v>0.39759036144578314</v>
      </c>
    </row>
    <row r="729" spans="1:6">
      <c r="A729" s="5">
        <v>1780</v>
      </c>
      <c r="B729" s="5" t="s">
        <v>9</v>
      </c>
      <c r="C729" s="4">
        <v>232</v>
      </c>
      <c r="D729" s="101">
        <f t="shared" si="16"/>
        <v>232</v>
      </c>
      <c r="F729" s="90">
        <f t="shared" si="17"/>
        <v>0.40606060606060607</v>
      </c>
    </row>
    <row r="730" spans="1:6">
      <c r="A730" s="5">
        <v>1780</v>
      </c>
      <c r="B730" s="5" t="s">
        <v>10</v>
      </c>
      <c r="C730" s="4">
        <v>232</v>
      </c>
      <c r="D730" s="101">
        <f t="shared" si="16"/>
        <v>232</v>
      </c>
      <c r="F730" s="90">
        <f t="shared" si="17"/>
        <v>0</v>
      </c>
    </row>
    <row r="731" spans="1:6">
      <c r="A731" s="5">
        <v>1780</v>
      </c>
      <c r="B731" s="5" t="s">
        <v>11</v>
      </c>
      <c r="C731" s="4">
        <v>232</v>
      </c>
      <c r="D731" s="101">
        <f t="shared" si="16"/>
        <v>232</v>
      </c>
      <c r="F731" s="90">
        <f t="shared" si="17"/>
        <v>0</v>
      </c>
    </row>
    <row r="732" spans="1:6">
      <c r="A732" s="5">
        <v>1780</v>
      </c>
      <c r="B732" s="5" t="s">
        <v>12</v>
      </c>
      <c r="C732" s="4">
        <v>232</v>
      </c>
      <c r="D732" s="101">
        <f t="shared" si="16"/>
        <v>232</v>
      </c>
      <c r="F732" s="90">
        <f t="shared" si="17"/>
        <v>0</v>
      </c>
    </row>
    <row r="733" spans="1:6">
      <c r="A733" s="5">
        <v>1780</v>
      </c>
      <c r="B733" s="5" t="s">
        <v>13</v>
      </c>
      <c r="C733" s="4">
        <v>232</v>
      </c>
      <c r="D733" s="101">
        <f t="shared" si="16"/>
        <v>232</v>
      </c>
      <c r="F733" s="90">
        <f t="shared" si="17"/>
        <v>0</v>
      </c>
    </row>
    <row r="734" spans="1:6">
      <c r="A734" s="5">
        <v>1780</v>
      </c>
      <c r="B734" s="5" t="s">
        <v>14</v>
      </c>
      <c r="C734" s="4">
        <v>232</v>
      </c>
      <c r="D734" s="101">
        <f t="shared" si="16"/>
        <v>232</v>
      </c>
      <c r="F734" s="90">
        <f t="shared" si="17"/>
        <v>0</v>
      </c>
    </row>
    <row r="735" spans="1:6">
      <c r="A735" s="5">
        <v>1780</v>
      </c>
      <c r="B735" s="5" t="s">
        <v>15</v>
      </c>
      <c r="C735" s="4">
        <v>232</v>
      </c>
      <c r="D735" s="101">
        <f t="shared" si="16"/>
        <v>232</v>
      </c>
      <c r="F735" s="90">
        <f t="shared" si="17"/>
        <v>0</v>
      </c>
    </row>
    <row r="736" spans="1:6">
      <c r="A736" s="5">
        <v>1780</v>
      </c>
      <c r="B736" s="5" t="s">
        <v>16</v>
      </c>
      <c r="C736" s="4">
        <v>216</v>
      </c>
      <c r="D736" s="101">
        <f t="shared" si="16"/>
        <v>230.66666666666666</v>
      </c>
      <c r="F736" s="90">
        <f t="shared" si="17"/>
        <v>-6.8965517241379309E-2</v>
      </c>
    </row>
    <row r="737" spans="1:6">
      <c r="A737" s="5">
        <v>1780</v>
      </c>
      <c r="B737" s="5" t="s">
        <v>17</v>
      </c>
      <c r="C737" s="4">
        <v>216</v>
      </c>
      <c r="D737" s="101">
        <f t="shared" si="16"/>
        <v>229.33333333333334</v>
      </c>
      <c r="F737" s="90">
        <f t="shared" si="17"/>
        <v>-6.8965517241379309E-2</v>
      </c>
    </row>
    <row r="738" spans="1:6">
      <c r="A738" s="5">
        <v>1780</v>
      </c>
      <c r="B738" s="5" t="s">
        <v>18</v>
      </c>
      <c r="C738" s="4">
        <v>216</v>
      </c>
      <c r="D738" s="101">
        <f t="shared" si="16"/>
        <v>228</v>
      </c>
      <c r="F738" s="90">
        <f t="shared" si="17"/>
        <v>-6.8965517241379309E-2</v>
      </c>
    </row>
    <row r="739" spans="1:6">
      <c r="A739" s="5">
        <v>1780</v>
      </c>
      <c r="B739" s="5" t="s">
        <v>19</v>
      </c>
      <c r="C739" s="4">
        <v>216</v>
      </c>
      <c r="D739" s="101">
        <f t="shared" si="16"/>
        <v>226.66666666666666</v>
      </c>
      <c r="F739" s="90">
        <f t="shared" si="17"/>
        <v>-6.8965517241379309E-2</v>
      </c>
    </row>
    <row r="740" spans="1:6">
      <c r="A740" s="5">
        <v>1780</v>
      </c>
      <c r="B740" s="5" t="s">
        <v>20</v>
      </c>
      <c r="C740" s="4">
        <v>216</v>
      </c>
      <c r="D740" s="101">
        <f t="shared" si="16"/>
        <v>225.33333333333334</v>
      </c>
      <c r="E740" s="4">
        <v>225</v>
      </c>
      <c r="F740" s="90">
        <f t="shared" si="17"/>
        <v>-6.8965517241379309E-2</v>
      </c>
    </row>
    <row r="741" spans="1:6">
      <c r="A741" s="5">
        <v>1781</v>
      </c>
      <c r="B741" s="5" t="s">
        <v>9</v>
      </c>
      <c r="C741" s="4">
        <v>216</v>
      </c>
      <c r="D741" s="101">
        <f t="shared" si="16"/>
        <v>224</v>
      </c>
      <c r="F741" s="90">
        <f t="shared" si="17"/>
        <v>-6.8965517241379309E-2</v>
      </c>
    </row>
    <row r="742" spans="1:6">
      <c r="A742" s="5">
        <v>1781</v>
      </c>
      <c r="B742" s="5" t="s">
        <v>10</v>
      </c>
      <c r="C742" s="4">
        <v>216</v>
      </c>
      <c r="D742" s="101">
        <f t="shared" si="16"/>
        <v>222.66666666666666</v>
      </c>
      <c r="F742" s="90">
        <f t="shared" si="17"/>
        <v>-6.8965517241379309E-2</v>
      </c>
    </row>
    <row r="743" spans="1:6">
      <c r="A743" s="5">
        <v>1781</v>
      </c>
      <c r="B743" s="5" t="s">
        <v>11</v>
      </c>
      <c r="C743" s="4">
        <v>216</v>
      </c>
      <c r="D743" s="101">
        <f t="shared" si="16"/>
        <v>221.33333333333334</v>
      </c>
      <c r="F743" s="90">
        <f t="shared" si="17"/>
        <v>-6.8965517241379309E-2</v>
      </c>
    </row>
    <row r="744" spans="1:6">
      <c r="A744" s="5">
        <v>1781</v>
      </c>
      <c r="B744" s="5" t="s">
        <v>12</v>
      </c>
      <c r="C744" s="4">
        <v>216</v>
      </c>
      <c r="D744" s="101">
        <f t="shared" si="16"/>
        <v>220</v>
      </c>
      <c r="F744" s="90">
        <f t="shared" si="17"/>
        <v>-6.8965517241379309E-2</v>
      </c>
    </row>
    <row r="745" spans="1:6">
      <c r="A745" s="5">
        <v>1781</v>
      </c>
      <c r="B745" s="5" t="s">
        <v>13</v>
      </c>
      <c r="C745" s="4">
        <v>216</v>
      </c>
      <c r="D745" s="101">
        <f t="shared" si="16"/>
        <v>218.66666666666666</v>
      </c>
      <c r="F745" s="90">
        <f t="shared" si="17"/>
        <v>-6.8965517241379309E-2</v>
      </c>
    </row>
    <row r="746" spans="1:6">
      <c r="A746" s="5">
        <v>1781</v>
      </c>
      <c r="B746" s="5" t="s">
        <v>14</v>
      </c>
      <c r="C746" s="4">
        <v>216</v>
      </c>
      <c r="D746" s="101">
        <f t="shared" si="16"/>
        <v>217.33333333333334</v>
      </c>
      <c r="F746" s="90">
        <f t="shared" si="17"/>
        <v>-6.8965517241379309E-2</v>
      </c>
    </row>
    <row r="747" spans="1:6">
      <c r="A747" s="5">
        <v>1781</v>
      </c>
      <c r="B747" s="5" t="s">
        <v>15</v>
      </c>
      <c r="C747" s="4">
        <v>216</v>
      </c>
      <c r="D747" s="101">
        <f t="shared" si="16"/>
        <v>216</v>
      </c>
      <c r="F747" s="90">
        <f t="shared" si="17"/>
        <v>-6.8965517241379309E-2</v>
      </c>
    </row>
    <row r="748" spans="1:6">
      <c r="A748" s="5">
        <v>1781</v>
      </c>
      <c r="B748" s="5" t="s">
        <v>16</v>
      </c>
      <c r="C748" s="4">
        <v>216</v>
      </c>
      <c r="D748" s="101">
        <f t="shared" si="16"/>
        <v>216</v>
      </c>
      <c r="F748" s="90">
        <f t="shared" si="17"/>
        <v>0</v>
      </c>
    </row>
    <row r="749" spans="1:6">
      <c r="A749" s="5">
        <v>1781</v>
      </c>
      <c r="B749" s="5" t="s">
        <v>17</v>
      </c>
      <c r="C749" s="4">
        <v>216</v>
      </c>
      <c r="D749" s="101">
        <f t="shared" si="16"/>
        <v>216</v>
      </c>
      <c r="F749" s="90">
        <f t="shared" si="17"/>
        <v>0</v>
      </c>
    </row>
    <row r="750" spans="1:6">
      <c r="A750" s="5">
        <v>1781</v>
      </c>
      <c r="B750" s="5" t="s">
        <v>18</v>
      </c>
      <c r="C750" s="4">
        <v>216</v>
      </c>
      <c r="D750" s="101">
        <f t="shared" si="16"/>
        <v>216</v>
      </c>
      <c r="F750" s="90">
        <f t="shared" si="17"/>
        <v>0</v>
      </c>
    </row>
    <row r="751" spans="1:6">
      <c r="A751" s="5">
        <v>1781</v>
      </c>
      <c r="B751" s="5" t="s">
        <v>19</v>
      </c>
      <c r="C751" s="4">
        <v>216</v>
      </c>
      <c r="D751" s="101">
        <f t="shared" si="16"/>
        <v>216</v>
      </c>
      <c r="F751" s="90">
        <f t="shared" si="17"/>
        <v>0</v>
      </c>
    </row>
    <row r="752" spans="1:6">
      <c r="A752" s="5">
        <v>1781</v>
      </c>
      <c r="B752" s="5" t="s">
        <v>20</v>
      </c>
      <c r="C752" s="4">
        <v>216</v>
      </c>
      <c r="D752" s="101">
        <f t="shared" si="16"/>
        <v>216</v>
      </c>
      <c r="E752" s="4">
        <v>216</v>
      </c>
      <c r="F752" s="90">
        <f t="shared" si="17"/>
        <v>0</v>
      </c>
    </row>
    <row r="753" spans="1:6">
      <c r="A753" s="5">
        <v>1782</v>
      </c>
      <c r="B753" s="5" t="s">
        <v>9</v>
      </c>
      <c r="C753" s="4">
        <v>216</v>
      </c>
      <c r="D753" s="101">
        <f t="shared" ref="D753:D816" si="18">AVERAGE(C742:C753)</f>
        <v>216</v>
      </c>
      <c r="F753" s="90">
        <f t="shared" si="17"/>
        <v>0</v>
      </c>
    </row>
    <row r="754" spans="1:6">
      <c r="A754" s="5">
        <v>1782</v>
      </c>
      <c r="B754" s="5" t="s">
        <v>10</v>
      </c>
      <c r="C754" s="4">
        <v>216</v>
      </c>
      <c r="D754" s="101">
        <f t="shared" si="18"/>
        <v>216</v>
      </c>
      <c r="E754"/>
      <c r="F754" s="90">
        <f t="shared" si="17"/>
        <v>0</v>
      </c>
    </row>
    <row r="755" spans="1:6">
      <c r="A755" s="5">
        <v>1782</v>
      </c>
      <c r="B755" s="5" t="s">
        <v>11</v>
      </c>
      <c r="D755" s="101">
        <f t="shared" si="18"/>
        <v>216</v>
      </c>
      <c r="E755"/>
      <c r="F755" s="90">
        <f t="shared" si="17"/>
        <v>-1</v>
      </c>
    </row>
    <row r="756" spans="1:6">
      <c r="A756" s="5">
        <v>1782</v>
      </c>
      <c r="B756" s="5" t="s">
        <v>12</v>
      </c>
      <c r="D756" s="101">
        <f t="shared" si="18"/>
        <v>216</v>
      </c>
      <c r="E756"/>
      <c r="F756" s="90">
        <f t="shared" si="17"/>
        <v>-1</v>
      </c>
    </row>
    <row r="757" spans="1:6">
      <c r="A757" s="5">
        <v>1782</v>
      </c>
      <c r="B757" s="5" t="s">
        <v>13</v>
      </c>
      <c r="D757" s="101">
        <f t="shared" si="18"/>
        <v>216</v>
      </c>
      <c r="E757"/>
      <c r="F757" s="90">
        <f t="shared" si="17"/>
        <v>-1</v>
      </c>
    </row>
    <row r="758" spans="1:6">
      <c r="A758" s="5">
        <v>1782</v>
      </c>
      <c r="B758" s="5" t="s">
        <v>14</v>
      </c>
      <c r="D758" s="101">
        <f t="shared" si="18"/>
        <v>216</v>
      </c>
      <c r="E758"/>
      <c r="F758" s="90">
        <f t="shared" si="17"/>
        <v>-1</v>
      </c>
    </row>
    <row r="759" spans="1:6">
      <c r="A759" s="5">
        <v>1782</v>
      </c>
      <c r="B759" s="5" t="s">
        <v>15</v>
      </c>
      <c r="D759" s="101">
        <f t="shared" si="18"/>
        <v>216</v>
      </c>
      <c r="E759"/>
      <c r="F759" s="90">
        <f t="shared" si="17"/>
        <v>-1</v>
      </c>
    </row>
    <row r="760" spans="1:6">
      <c r="A760" s="5">
        <v>1782</v>
      </c>
      <c r="B760" s="5" t="s">
        <v>16</v>
      </c>
      <c r="D760" s="101">
        <f t="shared" si="18"/>
        <v>216</v>
      </c>
      <c r="E760"/>
      <c r="F760" s="90">
        <f t="shared" si="17"/>
        <v>-1</v>
      </c>
    </row>
    <row r="761" spans="1:6">
      <c r="A761" s="5">
        <v>1782</v>
      </c>
      <c r="B761" s="5" t="s">
        <v>17</v>
      </c>
      <c r="D761" s="101">
        <f t="shared" si="18"/>
        <v>216</v>
      </c>
      <c r="E761"/>
      <c r="F761" s="90">
        <f t="shared" si="17"/>
        <v>-1</v>
      </c>
    </row>
    <row r="762" spans="1:6">
      <c r="A762" s="5">
        <v>1782</v>
      </c>
      <c r="B762" s="5" t="s">
        <v>18</v>
      </c>
      <c r="D762" s="101">
        <f t="shared" si="18"/>
        <v>216</v>
      </c>
      <c r="E762"/>
      <c r="F762" s="90">
        <f t="shared" si="17"/>
        <v>-1</v>
      </c>
    </row>
    <row r="763" spans="1:6">
      <c r="A763" s="5">
        <v>1782</v>
      </c>
      <c r="B763" s="5" t="s">
        <v>19</v>
      </c>
      <c r="D763" s="101">
        <f t="shared" si="18"/>
        <v>216</v>
      </c>
      <c r="E763"/>
      <c r="F763" s="90">
        <f t="shared" si="17"/>
        <v>-1</v>
      </c>
    </row>
    <row r="764" spans="1:6">
      <c r="A764" s="5">
        <v>1782</v>
      </c>
      <c r="B764" s="5" t="s">
        <v>20</v>
      </c>
      <c r="D764" s="101">
        <f t="shared" si="18"/>
        <v>216</v>
      </c>
      <c r="E764"/>
      <c r="F764" s="90">
        <f t="shared" si="17"/>
        <v>-1</v>
      </c>
    </row>
    <row r="765" spans="1:6">
      <c r="A765" s="5">
        <v>1783</v>
      </c>
      <c r="B765" s="5" t="s">
        <v>9</v>
      </c>
      <c r="D765" s="101">
        <f t="shared" si="18"/>
        <v>216</v>
      </c>
      <c r="E765"/>
      <c r="F765" s="90">
        <f t="shared" si="17"/>
        <v>-1</v>
      </c>
    </row>
    <row r="766" spans="1:6">
      <c r="A766" s="5">
        <v>1783</v>
      </c>
      <c r="B766" s="5" t="s">
        <v>10</v>
      </c>
      <c r="D766" s="101" t="e">
        <f t="shared" si="18"/>
        <v>#DIV/0!</v>
      </c>
      <c r="E766"/>
      <c r="F766" s="90">
        <f t="shared" si="17"/>
        <v>-1</v>
      </c>
    </row>
    <row r="767" spans="1:6">
      <c r="A767" s="5">
        <v>1783</v>
      </c>
      <c r="B767" s="5" t="s">
        <v>11</v>
      </c>
      <c r="D767" s="101" t="e">
        <f t="shared" si="18"/>
        <v>#DIV/0!</v>
      </c>
      <c r="E767"/>
      <c r="F767" s="90" t="e">
        <f t="shared" si="17"/>
        <v>#DIV/0!</v>
      </c>
    </row>
    <row r="768" spans="1:6">
      <c r="A768" s="5">
        <v>1783</v>
      </c>
      <c r="B768" s="5" t="s">
        <v>12</v>
      </c>
      <c r="D768" s="101" t="e">
        <f t="shared" si="18"/>
        <v>#DIV/0!</v>
      </c>
      <c r="E768"/>
      <c r="F768" s="90" t="e">
        <f t="shared" si="17"/>
        <v>#DIV/0!</v>
      </c>
    </row>
    <row r="769" spans="1:6">
      <c r="A769" s="5">
        <v>1783</v>
      </c>
      <c r="B769" s="5" t="s">
        <v>13</v>
      </c>
      <c r="D769" s="101" t="e">
        <f t="shared" si="18"/>
        <v>#DIV/0!</v>
      </c>
      <c r="E769"/>
      <c r="F769" s="90" t="e">
        <f t="shared" si="17"/>
        <v>#DIV/0!</v>
      </c>
    </row>
    <row r="770" spans="1:6">
      <c r="A770" s="5">
        <v>1783</v>
      </c>
      <c r="B770" s="5" t="s">
        <v>14</v>
      </c>
      <c r="C770"/>
      <c r="D770" s="101" t="e">
        <f t="shared" si="18"/>
        <v>#DIV/0!</v>
      </c>
      <c r="E770"/>
      <c r="F770" s="90" t="e">
        <f t="shared" si="17"/>
        <v>#DIV/0!</v>
      </c>
    </row>
    <row r="771" spans="1:6">
      <c r="A771" s="5">
        <v>1783</v>
      </c>
      <c r="B771" s="5" t="s">
        <v>15</v>
      </c>
      <c r="C771"/>
      <c r="D771" s="101" t="e">
        <f t="shared" si="18"/>
        <v>#DIV/0!</v>
      </c>
      <c r="E771"/>
      <c r="F771" s="90" t="e">
        <f t="shared" si="17"/>
        <v>#DIV/0!</v>
      </c>
    </row>
    <row r="772" spans="1:6">
      <c r="A772" s="5">
        <v>1783</v>
      </c>
      <c r="B772" s="5" t="s">
        <v>16</v>
      </c>
      <c r="C772"/>
      <c r="D772" s="101" t="e">
        <f t="shared" si="18"/>
        <v>#DIV/0!</v>
      </c>
      <c r="E772"/>
      <c r="F772" s="90" t="e">
        <f t="shared" si="17"/>
        <v>#DIV/0!</v>
      </c>
    </row>
    <row r="773" spans="1:6">
      <c r="A773" s="5">
        <v>1783</v>
      </c>
      <c r="B773" s="5" t="s">
        <v>17</v>
      </c>
      <c r="C773"/>
      <c r="D773" s="101" t="e">
        <f t="shared" si="18"/>
        <v>#DIV/0!</v>
      </c>
      <c r="E773"/>
      <c r="F773" s="90" t="e">
        <f t="shared" si="17"/>
        <v>#DIV/0!</v>
      </c>
    </row>
    <row r="774" spans="1:6">
      <c r="A774" s="5">
        <v>1783</v>
      </c>
      <c r="B774" s="5" t="s">
        <v>18</v>
      </c>
      <c r="C774"/>
      <c r="D774" s="101" t="e">
        <f t="shared" si="18"/>
        <v>#DIV/0!</v>
      </c>
      <c r="E774"/>
      <c r="F774" s="90" t="e">
        <f t="shared" si="17"/>
        <v>#DIV/0!</v>
      </c>
    </row>
    <row r="775" spans="1:6">
      <c r="A775" s="5">
        <v>1783</v>
      </c>
      <c r="B775" s="5" t="s">
        <v>19</v>
      </c>
      <c r="C775"/>
      <c r="D775" s="101" t="e">
        <f t="shared" si="18"/>
        <v>#DIV/0!</v>
      </c>
      <c r="E775"/>
      <c r="F775" s="90" t="e">
        <f t="shared" si="17"/>
        <v>#DIV/0!</v>
      </c>
    </row>
    <row r="776" spans="1:6">
      <c r="A776" s="5">
        <v>1783</v>
      </c>
      <c r="B776" s="5" t="s">
        <v>20</v>
      </c>
      <c r="C776"/>
      <c r="D776" s="101" t="e">
        <f t="shared" si="18"/>
        <v>#DIV/0!</v>
      </c>
      <c r="E776"/>
      <c r="F776" s="90" t="e">
        <f t="shared" si="17"/>
        <v>#DIV/0!</v>
      </c>
    </row>
    <row r="777" spans="1:6">
      <c r="A777" s="5">
        <v>1784</v>
      </c>
      <c r="B777" s="5" t="s">
        <v>9</v>
      </c>
      <c r="C777"/>
      <c r="D777" s="101" t="e">
        <f t="shared" si="18"/>
        <v>#DIV/0!</v>
      </c>
      <c r="E777"/>
      <c r="F777" s="90" t="e">
        <f t="shared" si="17"/>
        <v>#DIV/0!</v>
      </c>
    </row>
    <row r="778" spans="1:6">
      <c r="A778" s="5">
        <v>1784</v>
      </c>
      <c r="B778" s="5" t="s">
        <v>10</v>
      </c>
      <c r="C778"/>
      <c r="D778" s="101" t="e">
        <f t="shared" si="18"/>
        <v>#DIV/0!</v>
      </c>
      <c r="E778"/>
      <c r="F778" s="90" t="e">
        <f t="shared" si="17"/>
        <v>#DIV/0!</v>
      </c>
    </row>
    <row r="779" spans="1:6">
      <c r="A779" s="5">
        <v>1784</v>
      </c>
      <c r="B779" s="5" t="s">
        <v>11</v>
      </c>
      <c r="C779"/>
      <c r="D779" s="101" t="e">
        <f t="shared" si="18"/>
        <v>#DIV/0!</v>
      </c>
      <c r="E779"/>
      <c r="F779" s="90" t="e">
        <f t="shared" si="17"/>
        <v>#DIV/0!</v>
      </c>
    </row>
    <row r="780" spans="1:6">
      <c r="A780" s="5">
        <v>1784</v>
      </c>
      <c r="B780" s="5" t="s">
        <v>12</v>
      </c>
      <c r="C780"/>
      <c r="D780" s="101" t="e">
        <f t="shared" si="18"/>
        <v>#DIV/0!</v>
      </c>
      <c r="E780"/>
      <c r="F780" s="90" t="e">
        <f t="shared" si="17"/>
        <v>#DIV/0!</v>
      </c>
    </row>
    <row r="781" spans="1:6">
      <c r="A781" s="5">
        <v>1784</v>
      </c>
      <c r="B781" s="5" t="s">
        <v>13</v>
      </c>
      <c r="C781"/>
      <c r="D781" s="101" t="e">
        <f t="shared" si="18"/>
        <v>#DIV/0!</v>
      </c>
      <c r="E781"/>
      <c r="F781" s="90" t="e">
        <f t="shared" si="17"/>
        <v>#DIV/0!</v>
      </c>
    </row>
    <row r="782" spans="1:6">
      <c r="A782" s="5">
        <v>1784</v>
      </c>
      <c r="B782" s="5" t="s">
        <v>14</v>
      </c>
      <c r="C782"/>
      <c r="D782" s="101" t="e">
        <f t="shared" si="18"/>
        <v>#DIV/0!</v>
      </c>
      <c r="E782"/>
      <c r="F782" s="90" t="e">
        <f t="shared" si="17"/>
        <v>#DIV/0!</v>
      </c>
    </row>
    <row r="783" spans="1:6">
      <c r="A783" s="5">
        <v>1784</v>
      </c>
      <c r="B783" s="5" t="s">
        <v>15</v>
      </c>
      <c r="C783"/>
      <c r="D783" s="101" t="e">
        <f t="shared" si="18"/>
        <v>#DIV/0!</v>
      </c>
      <c r="E783"/>
      <c r="F783" s="90" t="e">
        <f t="shared" si="17"/>
        <v>#DIV/0!</v>
      </c>
    </row>
    <row r="784" spans="1:6">
      <c r="A784" s="5">
        <v>1784</v>
      </c>
      <c r="B784" s="5" t="s">
        <v>16</v>
      </c>
      <c r="C784"/>
      <c r="D784" s="101" t="e">
        <f t="shared" si="18"/>
        <v>#DIV/0!</v>
      </c>
      <c r="E784"/>
      <c r="F784" s="90" t="e">
        <f t="shared" si="17"/>
        <v>#DIV/0!</v>
      </c>
    </row>
    <row r="785" spans="1:6">
      <c r="A785" s="5">
        <v>1784</v>
      </c>
      <c r="B785" s="5" t="s">
        <v>17</v>
      </c>
      <c r="C785"/>
      <c r="D785" s="101" t="e">
        <f t="shared" si="18"/>
        <v>#DIV/0!</v>
      </c>
      <c r="E785"/>
      <c r="F785" s="90" t="e">
        <f t="shared" si="17"/>
        <v>#DIV/0!</v>
      </c>
    </row>
    <row r="786" spans="1:6">
      <c r="A786" s="5">
        <v>1784</v>
      </c>
      <c r="B786" s="5" t="s">
        <v>18</v>
      </c>
      <c r="D786" s="101" t="e">
        <f t="shared" si="18"/>
        <v>#DIV/0!</v>
      </c>
      <c r="F786" s="90" t="e">
        <f t="shared" si="17"/>
        <v>#DIV/0!</v>
      </c>
    </row>
    <row r="787" spans="1:6">
      <c r="A787" s="5">
        <v>1784</v>
      </c>
      <c r="B787" s="5" t="s">
        <v>19</v>
      </c>
      <c r="D787" s="101" t="e">
        <f t="shared" si="18"/>
        <v>#DIV/0!</v>
      </c>
      <c r="F787" s="90" t="e">
        <f t="shared" si="17"/>
        <v>#DIV/0!</v>
      </c>
    </row>
    <row r="788" spans="1:6">
      <c r="A788" s="5">
        <v>1784</v>
      </c>
      <c r="B788" s="5" t="s">
        <v>20</v>
      </c>
      <c r="D788" s="101" t="e">
        <f t="shared" si="18"/>
        <v>#DIV/0!</v>
      </c>
      <c r="F788" s="90" t="e">
        <f t="shared" si="17"/>
        <v>#DIV/0!</v>
      </c>
    </row>
    <row r="789" spans="1:6">
      <c r="A789" s="5">
        <v>1785</v>
      </c>
      <c r="B789" s="5" t="s">
        <v>9</v>
      </c>
      <c r="C789" s="4">
        <v>97</v>
      </c>
      <c r="D789" s="101">
        <f t="shared" si="18"/>
        <v>97</v>
      </c>
      <c r="F789" s="90" t="e">
        <f t="shared" ref="F789:F852" si="19">(C789-C777)/C777</f>
        <v>#DIV/0!</v>
      </c>
    </row>
    <row r="790" spans="1:6">
      <c r="A790" s="5">
        <v>1785</v>
      </c>
      <c r="B790" s="5" t="s">
        <v>10</v>
      </c>
      <c r="C790" s="4">
        <v>97</v>
      </c>
      <c r="D790" s="101">
        <f t="shared" si="18"/>
        <v>97</v>
      </c>
      <c r="F790" s="90" t="e">
        <f t="shared" si="19"/>
        <v>#DIV/0!</v>
      </c>
    </row>
    <row r="791" spans="1:6">
      <c r="A791" s="5">
        <v>1785</v>
      </c>
      <c r="B791" s="5" t="s">
        <v>11</v>
      </c>
      <c r="C791" s="4">
        <v>95</v>
      </c>
      <c r="D791" s="101">
        <f t="shared" si="18"/>
        <v>96.333333333333329</v>
      </c>
      <c r="F791" s="90" t="e">
        <f t="shared" si="19"/>
        <v>#DIV/0!</v>
      </c>
    </row>
    <row r="792" spans="1:6">
      <c r="A792" s="5">
        <v>1785</v>
      </c>
      <c r="B792" s="5" t="s">
        <v>12</v>
      </c>
      <c r="C792" s="4">
        <v>93</v>
      </c>
      <c r="D792" s="101">
        <f t="shared" si="18"/>
        <v>95.5</v>
      </c>
      <c r="F792" s="90" t="e">
        <f t="shared" si="19"/>
        <v>#DIV/0!</v>
      </c>
    </row>
    <row r="793" spans="1:6">
      <c r="A793" s="5">
        <v>1785</v>
      </c>
      <c r="B793" s="5" t="s">
        <v>13</v>
      </c>
      <c r="C793" s="4">
        <v>93</v>
      </c>
      <c r="D793" s="101">
        <f t="shared" si="18"/>
        <v>95</v>
      </c>
      <c r="F793" s="90" t="e">
        <f t="shared" si="19"/>
        <v>#DIV/0!</v>
      </c>
    </row>
    <row r="794" spans="1:6">
      <c r="A794" s="5">
        <v>1785</v>
      </c>
      <c r="B794" s="5" t="s">
        <v>14</v>
      </c>
      <c r="C794" s="4">
        <v>94</v>
      </c>
      <c r="D794" s="101">
        <f t="shared" si="18"/>
        <v>94.833333333333329</v>
      </c>
      <c r="F794" s="90" t="e">
        <f t="shared" si="19"/>
        <v>#DIV/0!</v>
      </c>
    </row>
    <row r="795" spans="1:6">
      <c r="A795" s="5">
        <v>1785</v>
      </c>
      <c r="B795" s="5" t="s">
        <v>15</v>
      </c>
      <c r="C795" s="4">
        <v>91</v>
      </c>
      <c r="D795" s="101">
        <f t="shared" si="18"/>
        <v>94.285714285714292</v>
      </c>
      <c r="F795" s="90" t="e">
        <f t="shared" si="19"/>
        <v>#DIV/0!</v>
      </c>
    </row>
    <row r="796" spans="1:6">
      <c r="A796" s="5">
        <v>1785</v>
      </c>
      <c r="B796" s="5" t="s">
        <v>16</v>
      </c>
      <c r="C796" s="4">
        <v>89</v>
      </c>
      <c r="D796" s="101">
        <f t="shared" si="18"/>
        <v>93.625</v>
      </c>
      <c r="F796" s="90" t="e">
        <f t="shared" si="19"/>
        <v>#DIV/0!</v>
      </c>
    </row>
    <row r="797" spans="1:6">
      <c r="A797" s="5">
        <v>1785</v>
      </c>
      <c r="B797" s="5" t="s">
        <v>17</v>
      </c>
      <c r="C797" s="4">
        <v>90</v>
      </c>
      <c r="D797" s="101">
        <f t="shared" si="18"/>
        <v>93.222222222222229</v>
      </c>
      <c r="F797" s="90" t="e">
        <f t="shared" si="19"/>
        <v>#DIV/0!</v>
      </c>
    </row>
    <row r="798" spans="1:6">
      <c r="A798" s="5">
        <v>1785</v>
      </c>
      <c r="B798" s="5" t="s">
        <v>18</v>
      </c>
      <c r="C798" s="4">
        <v>90</v>
      </c>
      <c r="D798" s="101">
        <f t="shared" si="18"/>
        <v>92.9</v>
      </c>
      <c r="F798" s="90" t="e">
        <f t="shared" si="19"/>
        <v>#DIV/0!</v>
      </c>
    </row>
    <row r="799" spans="1:6">
      <c r="A799" s="5">
        <v>1785</v>
      </c>
      <c r="B799" s="5" t="s">
        <v>19</v>
      </c>
      <c r="C799" s="4">
        <v>90</v>
      </c>
      <c r="D799" s="101">
        <f t="shared" si="18"/>
        <v>92.63636363636364</v>
      </c>
      <c r="F799" s="90" t="e">
        <f t="shared" si="19"/>
        <v>#DIV/0!</v>
      </c>
    </row>
    <row r="800" spans="1:6">
      <c r="A800" s="5">
        <v>1785</v>
      </c>
      <c r="B800" s="5" t="s">
        <v>20</v>
      </c>
      <c r="C800" s="4">
        <v>89</v>
      </c>
      <c r="D800" s="101">
        <f t="shared" si="18"/>
        <v>92.333333333333329</v>
      </c>
      <c r="E800" s="4">
        <v>92</v>
      </c>
      <c r="F800" s="90" t="e">
        <f t="shared" si="19"/>
        <v>#DIV/0!</v>
      </c>
    </row>
    <row r="801" spans="1:6">
      <c r="A801" s="5">
        <v>1786</v>
      </c>
      <c r="B801" s="5" t="s">
        <v>9</v>
      </c>
      <c r="C801" s="4">
        <v>89</v>
      </c>
      <c r="D801" s="101">
        <f t="shared" si="18"/>
        <v>91.666666666666671</v>
      </c>
      <c r="F801" s="90">
        <f t="shared" si="19"/>
        <v>-8.247422680412371E-2</v>
      </c>
    </row>
    <row r="802" spans="1:6">
      <c r="A802" s="5">
        <v>1786</v>
      </c>
      <c r="B802" s="5" t="s">
        <v>10</v>
      </c>
      <c r="C802" s="4">
        <v>89</v>
      </c>
      <c r="D802" s="101">
        <f t="shared" si="18"/>
        <v>91</v>
      </c>
      <c r="F802" s="90">
        <f t="shared" si="19"/>
        <v>-8.247422680412371E-2</v>
      </c>
    </row>
    <row r="803" spans="1:6">
      <c r="A803" s="5">
        <v>1786</v>
      </c>
      <c r="B803" s="5" t="s">
        <v>11</v>
      </c>
      <c r="C803" s="4">
        <v>89</v>
      </c>
      <c r="D803" s="101">
        <f t="shared" si="18"/>
        <v>90.5</v>
      </c>
      <c r="F803" s="90">
        <f t="shared" si="19"/>
        <v>-6.3157894736842107E-2</v>
      </c>
    </row>
    <row r="804" spans="1:6">
      <c r="A804" s="5">
        <v>1786</v>
      </c>
      <c r="B804" s="5" t="s">
        <v>12</v>
      </c>
      <c r="C804" s="4">
        <v>87</v>
      </c>
      <c r="D804" s="101">
        <f t="shared" si="18"/>
        <v>90</v>
      </c>
      <c r="F804" s="90">
        <f t="shared" si="19"/>
        <v>-6.4516129032258063E-2</v>
      </c>
    </row>
    <row r="805" spans="1:6">
      <c r="A805" s="5">
        <v>1786</v>
      </c>
      <c r="B805" s="5" t="s">
        <v>13</v>
      </c>
      <c r="C805" s="4">
        <v>87</v>
      </c>
      <c r="D805" s="101">
        <f t="shared" si="18"/>
        <v>89.5</v>
      </c>
      <c r="F805" s="90">
        <f t="shared" si="19"/>
        <v>-6.4516129032258063E-2</v>
      </c>
    </row>
    <row r="806" spans="1:6">
      <c r="A806" s="5">
        <v>1786</v>
      </c>
      <c r="B806" s="5" t="s">
        <v>14</v>
      </c>
      <c r="C806" s="4">
        <v>87</v>
      </c>
      <c r="D806" s="101">
        <f t="shared" si="18"/>
        <v>88.916666666666671</v>
      </c>
      <c r="F806" s="90">
        <f t="shared" si="19"/>
        <v>-7.4468085106382975E-2</v>
      </c>
    </row>
    <row r="807" spans="1:6">
      <c r="A807" s="5">
        <v>1786</v>
      </c>
      <c r="B807" s="5" t="s">
        <v>15</v>
      </c>
      <c r="C807" s="4">
        <v>85</v>
      </c>
      <c r="D807" s="101">
        <f t="shared" si="18"/>
        <v>88.416666666666671</v>
      </c>
      <c r="F807" s="90">
        <f t="shared" si="19"/>
        <v>-6.5934065934065936E-2</v>
      </c>
    </row>
    <row r="808" spans="1:6">
      <c r="A808" s="5">
        <v>1786</v>
      </c>
      <c r="B808" s="5" t="s">
        <v>16</v>
      </c>
      <c r="C808" s="4">
        <v>85</v>
      </c>
      <c r="D808" s="101">
        <f t="shared" si="18"/>
        <v>88.083333333333329</v>
      </c>
      <c r="F808" s="90">
        <f t="shared" si="19"/>
        <v>-4.49438202247191E-2</v>
      </c>
    </row>
    <row r="809" spans="1:6">
      <c r="A809" s="5">
        <v>1786</v>
      </c>
      <c r="B809" s="5" t="s">
        <v>17</v>
      </c>
      <c r="C809" s="4">
        <v>90</v>
      </c>
      <c r="D809" s="101">
        <f t="shared" si="18"/>
        <v>88.083333333333329</v>
      </c>
      <c r="F809" s="90">
        <f t="shared" si="19"/>
        <v>0</v>
      </c>
    </row>
    <row r="810" spans="1:6">
      <c r="A810" s="5">
        <v>1786</v>
      </c>
      <c r="B810" s="5" t="s">
        <v>18</v>
      </c>
      <c r="C810" s="4">
        <v>94</v>
      </c>
      <c r="D810" s="101">
        <f t="shared" si="18"/>
        <v>88.416666666666671</v>
      </c>
      <c r="F810" s="90">
        <f t="shared" si="19"/>
        <v>4.4444444444444446E-2</v>
      </c>
    </row>
    <row r="811" spans="1:6">
      <c r="A811" s="5">
        <v>1786</v>
      </c>
      <c r="B811" s="5" t="s">
        <v>19</v>
      </c>
      <c r="C811" s="4">
        <v>96</v>
      </c>
      <c r="D811" s="101">
        <f t="shared" si="18"/>
        <v>88.916666666666671</v>
      </c>
      <c r="F811" s="90">
        <f t="shared" si="19"/>
        <v>6.6666666666666666E-2</v>
      </c>
    </row>
    <row r="812" spans="1:6">
      <c r="A812" s="5">
        <v>1786</v>
      </c>
      <c r="B812" s="5" t="s">
        <v>20</v>
      </c>
      <c r="C812" s="4">
        <v>97</v>
      </c>
      <c r="D812" s="101">
        <f t="shared" si="18"/>
        <v>89.583333333333329</v>
      </c>
      <c r="E812" s="4">
        <v>90</v>
      </c>
      <c r="F812" s="90">
        <f t="shared" si="19"/>
        <v>8.98876404494382E-2</v>
      </c>
    </row>
    <row r="813" spans="1:6">
      <c r="A813" s="5">
        <v>1787</v>
      </c>
      <c r="B813" s="5" t="s">
        <v>9</v>
      </c>
      <c r="C813" s="4">
        <v>97</v>
      </c>
      <c r="D813" s="101">
        <f t="shared" si="18"/>
        <v>90.25</v>
      </c>
      <c r="F813" s="90">
        <f t="shared" si="19"/>
        <v>8.98876404494382E-2</v>
      </c>
    </row>
    <row r="814" spans="1:6">
      <c r="A814" s="5">
        <v>1787</v>
      </c>
      <c r="B814" s="5" t="s">
        <v>10</v>
      </c>
      <c r="C814" s="4">
        <v>96</v>
      </c>
      <c r="D814" s="101">
        <f t="shared" si="18"/>
        <v>90.833333333333329</v>
      </c>
      <c r="F814" s="90">
        <f t="shared" si="19"/>
        <v>7.8651685393258425E-2</v>
      </c>
    </row>
    <row r="815" spans="1:6">
      <c r="A815" s="5">
        <v>1787</v>
      </c>
      <c r="B815" s="5" t="s">
        <v>11</v>
      </c>
      <c r="C815" s="4">
        <v>95</v>
      </c>
      <c r="D815" s="101">
        <f t="shared" si="18"/>
        <v>91.333333333333329</v>
      </c>
      <c r="F815" s="90">
        <f t="shared" si="19"/>
        <v>6.741573033707865E-2</v>
      </c>
    </row>
    <row r="816" spans="1:6">
      <c r="A816" s="5">
        <v>1787</v>
      </c>
      <c r="B816" s="5" t="s">
        <v>12</v>
      </c>
      <c r="C816" s="4">
        <v>93</v>
      </c>
      <c r="D816" s="101">
        <f t="shared" si="18"/>
        <v>91.833333333333329</v>
      </c>
      <c r="F816" s="90">
        <f t="shared" si="19"/>
        <v>6.8965517241379309E-2</v>
      </c>
    </row>
    <row r="817" spans="1:6">
      <c r="A817" s="5">
        <v>1787</v>
      </c>
      <c r="B817" s="5" t="s">
        <v>13</v>
      </c>
      <c r="C817" s="4">
        <v>92</v>
      </c>
      <c r="D817" s="101">
        <f t="shared" ref="D817:D880" si="20">AVERAGE(C806:C817)</f>
        <v>92.25</v>
      </c>
      <c r="F817" s="90">
        <f t="shared" si="19"/>
        <v>5.7471264367816091E-2</v>
      </c>
    </row>
    <row r="818" spans="1:6">
      <c r="A818" s="5">
        <v>1787</v>
      </c>
      <c r="B818" s="5" t="s">
        <v>14</v>
      </c>
      <c r="C818" s="4">
        <v>92</v>
      </c>
      <c r="D818" s="101">
        <f t="shared" si="20"/>
        <v>92.666666666666671</v>
      </c>
      <c r="F818" s="90">
        <f t="shared" si="19"/>
        <v>5.7471264367816091E-2</v>
      </c>
    </row>
    <row r="819" spans="1:6">
      <c r="A819" s="5">
        <v>1787</v>
      </c>
      <c r="B819" s="5" t="s">
        <v>15</v>
      </c>
      <c r="C819" s="4">
        <v>88</v>
      </c>
      <c r="D819" s="101">
        <f t="shared" si="20"/>
        <v>92.916666666666671</v>
      </c>
      <c r="F819" s="90">
        <f t="shared" si="19"/>
        <v>3.5294117647058823E-2</v>
      </c>
    </row>
    <row r="820" spans="1:6">
      <c r="A820" s="5">
        <v>1787</v>
      </c>
      <c r="B820" s="5" t="s">
        <v>16</v>
      </c>
      <c r="C820" s="4">
        <v>88</v>
      </c>
      <c r="D820" s="101">
        <f t="shared" si="20"/>
        <v>93.166666666666671</v>
      </c>
      <c r="F820" s="90">
        <f t="shared" si="19"/>
        <v>3.5294117647058823E-2</v>
      </c>
    </row>
    <row r="821" spans="1:6">
      <c r="A821" s="5">
        <v>1787</v>
      </c>
      <c r="B821" s="5" t="s">
        <v>17</v>
      </c>
      <c r="C821" s="4">
        <v>87</v>
      </c>
      <c r="D821" s="101">
        <f t="shared" si="20"/>
        <v>92.916666666666671</v>
      </c>
      <c r="F821" s="90">
        <f t="shared" si="19"/>
        <v>-3.3333333333333333E-2</v>
      </c>
    </row>
    <row r="822" spans="1:6">
      <c r="A822" s="5">
        <v>1787</v>
      </c>
      <c r="B822" s="5" t="s">
        <v>18</v>
      </c>
      <c r="C822" s="4">
        <v>85</v>
      </c>
      <c r="D822" s="101">
        <f t="shared" si="20"/>
        <v>92.166666666666671</v>
      </c>
      <c r="F822" s="90">
        <f t="shared" si="19"/>
        <v>-9.5744680851063829E-2</v>
      </c>
    </row>
    <row r="823" spans="1:6">
      <c r="A823" s="5">
        <v>1787</v>
      </c>
      <c r="B823" s="5" t="s">
        <v>19</v>
      </c>
      <c r="C823" s="4">
        <v>85</v>
      </c>
      <c r="D823" s="101">
        <f t="shared" si="20"/>
        <v>91.25</v>
      </c>
      <c r="F823" s="90">
        <f t="shared" si="19"/>
        <v>-0.11458333333333333</v>
      </c>
    </row>
    <row r="824" spans="1:6">
      <c r="A824" s="5">
        <v>1787</v>
      </c>
      <c r="B824" s="5" t="s">
        <v>20</v>
      </c>
      <c r="C824" s="4">
        <v>84</v>
      </c>
      <c r="D824" s="101">
        <f t="shared" si="20"/>
        <v>90.166666666666671</v>
      </c>
      <c r="E824" s="4">
        <v>90</v>
      </c>
      <c r="F824" s="90">
        <f t="shared" si="19"/>
        <v>-0.13402061855670103</v>
      </c>
    </row>
    <row r="825" spans="1:6">
      <c r="A825" s="5">
        <v>1788</v>
      </c>
      <c r="B825" s="5" t="s">
        <v>9</v>
      </c>
      <c r="D825" s="101">
        <f t="shared" si="20"/>
        <v>89.545454545454547</v>
      </c>
      <c r="F825" s="90">
        <f t="shared" si="19"/>
        <v>-1</v>
      </c>
    </row>
    <row r="826" spans="1:6">
      <c r="A826" s="5">
        <v>1788</v>
      </c>
      <c r="B826" s="5" t="s">
        <v>10</v>
      </c>
      <c r="D826" s="101">
        <f t="shared" si="20"/>
        <v>88.9</v>
      </c>
      <c r="F826" s="90">
        <f t="shared" si="19"/>
        <v>-1</v>
      </c>
    </row>
    <row r="827" spans="1:6">
      <c r="A827" s="5">
        <v>1788</v>
      </c>
      <c r="B827" s="5" t="s">
        <v>11</v>
      </c>
      <c r="C827" s="4">
        <v>82</v>
      </c>
      <c r="D827" s="101">
        <f t="shared" si="20"/>
        <v>87.6</v>
      </c>
      <c r="F827" s="90">
        <f t="shared" si="19"/>
        <v>-0.1368421052631579</v>
      </c>
    </row>
    <row r="828" spans="1:6">
      <c r="A828" s="5">
        <v>1788</v>
      </c>
      <c r="B828" s="5" t="s">
        <v>12</v>
      </c>
      <c r="D828" s="101">
        <f t="shared" si="20"/>
        <v>87</v>
      </c>
      <c r="F828" s="90">
        <f t="shared" si="19"/>
        <v>-1</v>
      </c>
    </row>
    <row r="829" spans="1:6">
      <c r="A829" s="5">
        <v>1788</v>
      </c>
      <c r="B829" s="5" t="s">
        <v>13</v>
      </c>
      <c r="D829" s="101">
        <f t="shared" si="20"/>
        <v>86.375</v>
      </c>
      <c r="F829" s="90">
        <f t="shared" si="19"/>
        <v>-1</v>
      </c>
    </row>
    <row r="830" spans="1:6">
      <c r="A830" s="5">
        <v>1788</v>
      </c>
      <c r="B830" s="5" t="s">
        <v>14</v>
      </c>
      <c r="D830" s="101">
        <f t="shared" si="20"/>
        <v>85.571428571428569</v>
      </c>
      <c r="F830" s="90">
        <f t="shared" si="19"/>
        <v>-1</v>
      </c>
    </row>
    <row r="831" spans="1:6">
      <c r="A831" s="5">
        <v>1788</v>
      </c>
      <c r="B831" s="5" t="s">
        <v>15</v>
      </c>
      <c r="D831" s="101">
        <f t="shared" si="20"/>
        <v>85.166666666666671</v>
      </c>
      <c r="F831" s="90">
        <f t="shared" si="19"/>
        <v>-1</v>
      </c>
    </row>
    <row r="832" spans="1:6">
      <c r="A832" s="5">
        <v>1788</v>
      </c>
      <c r="B832" s="5" t="s">
        <v>16</v>
      </c>
      <c r="D832" s="101">
        <f t="shared" si="20"/>
        <v>84.6</v>
      </c>
      <c r="F832" s="90">
        <f t="shared" si="19"/>
        <v>-1</v>
      </c>
    </row>
    <row r="833" spans="1:6">
      <c r="A833" s="5">
        <v>1788</v>
      </c>
      <c r="B833" s="5" t="s">
        <v>17</v>
      </c>
      <c r="D833" s="101">
        <f t="shared" si="20"/>
        <v>84</v>
      </c>
      <c r="F833" s="90">
        <f t="shared" si="19"/>
        <v>-1</v>
      </c>
    </row>
    <row r="834" spans="1:6">
      <c r="A834" s="5">
        <v>1788</v>
      </c>
      <c r="B834" s="5" t="s">
        <v>18</v>
      </c>
      <c r="D834" s="101">
        <f t="shared" si="20"/>
        <v>83.666666666666671</v>
      </c>
      <c r="F834" s="90">
        <f t="shared" si="19"/>
        <v>-1</v>
      </c>
    </row>
    <row r="835" spans="1:6">
      <c r="A835" s="5">
        <v>1788</v>
      </c>
      <c r="B835" s="5" t="s">
        <v>19</v>
      </c>
      <c r="D835" s="101">
        <f t="shared" si="20"/>
        <v>83</v>
      </c>
      <c r="F835" s="90">
        <f t="shared" si="19"/>
        <v>-1</v>
      </c>
    </row>
    <row r="836" spans="1:6">
      <c r="A836" s="5">
        <v>1788</v>
      </c>
      <c r="B836" s="5" t="s">
        <v>20</v>
      </c>
      <c r="C836" s="4">
        <v>85</v>
      </c>
      <c r="D836" s="101">
        <f t="shared" si="20"/>
        <v>83.5</v>
      </c>
      <c r="F836" s="90">
        <f t="shared" si="19"/>
        <v>1.1904761904761904E-2</v>
      </c>
    </row>
    <row r="837" spans="1:6">
      <c r="A837" s="5">
        <v>1789</v>
      </c>
      <c r="B837" s="5" t="s">
        <v>9</v>
      </c>
      <c r="C837" s="4">
        <v>86</v>
      </c>
      <c r="D837" s="101">
        <f t="shared" si="20"/>
        <v>84.333333333333329</v>
      </c>
      <c r="F837" s="90" t="e">
        <f t="shared" si="19"/>
        <v>#DIV/0!</v>
      </c>
    </row>
    <row r="838" spans="1:6">
      <c r="A838" s="5">
        <v>1789</v>
      </c>
      <c r="B838" s="5" t="s">
        <v>10</v>
      </c>
      <c r="C838" s="4">
        <v>87</v>
      </c>
      <c r="D838" s="101">
        <f t="shared" si="20"/>
        <v>85</v>
      </c>
      <c r="F838" s="90" t="e">
        <f t="shared" si="19"/>
        <v>#DIV/0!</v>
      </c>
    </row>
    <row r="839" spans="1:6">
      <c r="A839" s="5">
        <v>1789</v>
      </c>
      <c r="B839" s="5" t="s">
        <v>11</v>
      </c>
      <c r="C839" s="4">
        <v>85</v>
      </c>
      <c r="D839" s="101">
        <f t="shared" si="20"/>
        <v>85.75</v>
      </c>
      <c r="F839" s="90">
        <f t="shared" si="19"/>
        <v>3.6585365853658534E-2</v>
      </c>
    </row>
    <row r="840" spans="1:6">
      <c r="A840" s="5">
        <v>1789</v>
      </c>
      <c r="B840" s="5" t="s">
        <v>12</v>
      </c>
      <c r="C840" s="4">
        <v>85</v>
      </c>
      <c r="D840" s="101">
        <f t="shared" si="20"/>
        <v>85.6</v>
      </c>
      <c r="F840" s="90" t="e">
        <f t="shared" si="19"/>
        <v>#DIV/0!</v>
      </c>
    </row>
    <row r="841" spans="1:6">
      <c r="A841" s="5">
        <v>1789</v>
      </c>
      <c r="B841" s="5" t="s">
        <v>13</v>
      </c>
      <c r="C841" s="4">
        <v>85</v>
      </c>
      <c r="D841" s="101">
        <f t="shared" si="20"/>
        <v>85.5</v>
      </c>
      <c r="F841" s="90" t="e">
        <f t="shared" si="19"/>
        <v>#DIV/0!</v>
      </c>
    </row>
    <row r="842" spans="1:6">
      <c r="A842" s="5">
        <v>1789</v>
      </c>
      <c r="B842" s="5" t="s">
        <v>14</v>
      </c>
      <c r="C842" s="4">
        <v>89</v>
      </c>
      <c r="D842" s="101">
        <f t="shared" si="20"/>
        <v>86</v>
      </c>
      <c r="F842" s="90" t="e">
        <f t="shared" si="19"/>
        <v>#DIV/0!</v>
      </c>
    </row>
    <row r="843" spans="1:6">
      <c r="A843" s="5">
        <v>1789</v>
      </c>
      <c r="B843" s="5" t="s">
        <v>15</v>
      </c>
      <c r="C843" s="4">
        <v>88</v>
      </c>
      <c r="D843" s="101">
        <f t="shared" si="20"/>
        <v>86.25</v>
      </c>
      <c r="F843" s="90" t="e">
        <f t="shared" si="19"/>
        <v>#DIV/0!</v>
      </c>
    </row>
    <row r="844" spans="1:6">
      <c r="A844" s="5">
        <v>1789</v>
      </c>
      <c r="B844" s="5" t="s">
        <v>16</v>
      </c>
      <c r="C844" s="4">
        <v>86</v>
      </c>
      <c r="D844" s="101">
        <f t="shared" si="20"/>
        <v>86.222222222222229</v>
      </c>
      <c r="F844" s="90" t="e">
        <f t="shared" si="19"/>
        <v>#DIV/0!</v>
      </c>
    </row>
    <row r="845" spans="1:6">
      <c r="A845" s="5">
        <v>1789</v>
      </c>
      <c r="B845" s="5" t="s">
        <v>17</v>
      </c>
      <c r="C845" s="4">
        <v>86</v>
      </c>
      <c r="D845" s="101">
        <f t="shared" si="20"/>
        <v>86.2</v>
      </c>
      <c r="F845" s="90" t="e">
        <f t="shared" si="19"/>
        <v>#DIV/0!</v>
      </c>
    </row>
    <row r="846" spans="1:6">
      <c r="A846" s="5">
        <v>1789</v>
      </c>
      <c r="B846" s="5" t="s">
        <v>18</v>
      </c>
      <c r="C846" s="4">
        <v>88</v>
      </c>
      <c r="D846" s="101">
        <f t="shared" si="20"/>
        <v>86.36363636363636</v>
      </c>
      <c r="F846" s="90" t="e">
        <f t="shared" si="19"/>
        <v>#DIV/0!</v>
      </c>
    </row>
    <row r="847" spans="1:6">
      <c r="A847" s="5">
        <v>1789</v>
      </c>
      <c r="B847" s="5" t="s">
        <v>19</v>
      </c>
      <c r="C847" s="4">
        <v>86</v>
      </c>
      <c r="D847" s="101">
        <f t="shared" si="20"/>
        <v>86.333333333333329</v>
      </c>
      <c r="F847" s="90" t="e">
        <f t="shared" si="19"/>
        <v>#DIV/0!</v>
      </c>
    </row>
    <row r="848" spans="1:6">
      <c r="A848" s="5">
        <v>1789</v>
      </c>
      <c r="B848" s="5" t="s">
        <v>20</v>
      </c>
      <c r="C848" s="4">
        <v>85</v>
      </c>
      <c r="D848" s="101">
        <f t="shared" si="20"/>
        <v>86.333333333333329</v>
      </c>
      <c r="E848" s="4">
        <v>86</v>
      </c>
      <c r="F848" s="90">
        <f t="shared" si="19"/>
        <v>0</v>
      </c>
    </row>
    <row r="849" spans="1:6">
      <c r="A849" s="5">
        <v>1790</v>
      </c>
      <c r="B849" s="5" t="s">
        <v>9</v>
      </c>
      <c r="C849" s="4">
        <v>86</v>
      </c>
      <c r="D849" s="101">
        <f t="shared" si="20"/>
        <v>86.333333333333329</v>
      </c>
      <c r="F849" s="90">
        <f t="shared" si="19"/>
        <v>0</v>
      </c>
    </row>
    <row r="850" spans="1:6">
      <c r="A850" s="5">
        <v>1790</v>
      </c>
      <c r="B850" s="5" t="s">
        <v>10</v>
      </c>
      <c r="C850" s="4">
        <v>87</v>
      </c>
      <c r="D850" s="101">
        <f t="shared" si="20"/>
        <v>86.333333333333329</v>
      </c>
      <c r="F850" s="90">
        <f t="shared" si="19"/>
        <v>0</v>
      </c>
    </row>
    <row r="851" spans="1:6">
      <c r="A851" s="5">
        <v>1790</v>
      </c>
      <c r="B851" s="5" t="s">
        <v>11</v>
      </c>
      <c r="C851" s="4">
        <v>91</v>
      </c>
      <c r="D851" s="101">
        <f t="shared" si="20"/>
        <v>86.833333333333329</v>
      </c>
      <c r="F851" s="90">
        <f t="shared" si="19"/>
        <v>7.0588235294117646E-2</v>
      </c>
    </row>
    <row r="852" spans="1:6">
      <c r="A852" s="5">
        <v>1790</v>
      </c>
      <c r="B852" s="5" t="s">
        <v>12</v>
      </c>
      <c r="C852" s="4">
        <v>92</v>
      </c>
      <c r="D852" s="101">
        <f t="shared" si="20"/>
        <v>87.416666666666671</v>
      </c>
      <c r="F852" s="90">
        <f t="shared" si="19"/>
        <v>8.2352941176470587E-2</v>
      </c>
    </row>
    <row r="853" spans="1:6">
      <c r="A853" s="5">
        <v>1790</v>
      </c>
      <c r="B853" s="5" t="s">
        <v>13</v>
      </c>
      <c r="C853" s="4">
        <v>92</v>
      </c>
      <c r="D853" s="101">
        <f t="shared" si="20"/>
        <v>88</v>
      </c>
      <c r="F853" s="90">
        <f t="shared" ref="F853:F916" si="21">(C853-C841)/C841</f>
        <v>8.2352941176470587E-2</v>
      </c>
    </row>
    <row r="854" spans="1:6">
      <c r="A854" s="5">
        <v>1790</v>
      </c>
      <c r="B854" s="5" t="s">
        <v>14</v>
      </c>
      <c r="C854" s="4">
        <v>92</v>
      </c>
      <c r="D854" s="101">
        <f t="shared" si="20"/>
        <v>88.25</v>
      </c>
      <c r="F854" s="90">
        <f t="shared" si="21"/>
        <v>3.3707865168539325E-2</v>
      </c>
    </row>
    <row r="855" spans="1:6">
      <c r="A855" s="5">
        <v>1790</v>
      </c>
      <c r="B855" s="5" t="s">
        <v>15</v>
      </c>
      <c r="C855" s="4">
        <v>91</v>
      </c>
      <c r="D855" s="101">
        <f t="shared" si="20"/>
        <v>88.5</v>
      </c>
      <c r="F855" s="90">
        <f t="shared" si="21"/>
        <v>3.4090909090909088E-2</v>
      </c>
    </row>
    <row r="856" spans="1:6">
      <c r="A856" s="5">
        <v>1790</v>
      </c>
      <c r="B856" s="5" t="s">
        <v>16</v>
      </c>
      <c r="C856" s="4">
        <v>91</v>
      </c>
      <c r="D856" s="101">
        <f t="shared" si="20"/>
        <v>88.916666666666671</v>
      </c>
      <c r="F856" s="90">
        <f t="shared" si="21"/>
        <v>5.8139534883720929E-2</v>
      </c>
    </row>
    <row r="857" spans="1:6">
      <c r="A857" s="5">
        <v>1790</v>
      </c>
      <c r="B857" s="5" t="s">
        <v>17</v>
      </c>
      <c r="C857" s="4">
        <v>92</v>
      </c>
      <c r="D857" s="101">
        <f t="shared" si="20"/>
        <v>89.416666666666671</v>
      </c>
      <c r="F857" s="90">
        <f t="shared" si="21"/>
        <v>6.9767441860465115E-2</v>
      </c>
    </row>
    <row r="858" spans="1:6">
      <c r="A858" s="5">
        <v>1790</v>
      </c>
      <c r="B858" s="5" t="s">
        <v>18</v>
      </c>
      <c r="C858" s="4">
        <v>90</v>
      </c>
      <c r="D858" s="101">
        <f t="shared" si="20"/>
        <v>89.583333333333329</v>
      </c>
      <c r="F858" s="90">
        <f t="shared" si="21"/>
        <v>2.2727272727272728E-2</v>
      </c>
    </row>
    <row r="859" spans="1:6">
      <c r="A859" s="5">
        <v>1790</v>
      </c>
      <c r="B859" s="5" t="s">
        <v>19</v>
      </c>
      <c r="C859" s="4">
        <v>89</v>
      </c>
      <c r="D859" s="101">
        <f t="shared" si="20"/>
        <v>89.833333333333329</v>
      </c>
      <c r="F859" s="90">
        <f t="shared" si="21"/>
        <v>3.4883720930232558E-2</v>
      </c>
    </row>
    <row r="860" spans="1:6">
      <c r="A860" s="5">
        <v>1790</v>
      </c>
      <c r="B860" s="5" t="s">
        <v>20</v>
      </c>
      <c r="C860" s="4">
        <v>86</v>
      </c>
      <c r="D860" s="101">
        <f t="shared" si="20"/>
        <v>89.916666666666671</v>
      </c>
      <c r="E860" s="4">
        <v>90</v>
      </c>
      <c r="F860" s="90">
        <f t="shared" si="21"/>
        <v>1.1764705882352941E-2</v>
      </c>
    </row>
    <row r="861" spans="1:6">
      <c r="A861" s="5">
        <v>1791</v>
      </c>
      <c r="B861" s="5" t="s">
        <v>9</v>
      </c>
      <c r="C861" s="4">
        <v>86</v>
      </c>
      <c r="D861" s="101">
        <f t="shared" si="20"/>
        <v>89.916666666666671</v>
      </c>
      <c r="F861" s="90">
        <f t="shared" si="21"/>
        <v>0</v>
      </c>
    </row>
    <row r="862" spans="1:6">
      <c r="A862" s="5">
        <v>1791</v>
      </c>
      <c r="B862" s="5" t="s">
        <v>10</v>
      </c>
      <c r="C862" s="4">
        <v>84</v>
      </c>
      <c r="D862" s="101">
        <f t="shared" si="20"/>
        <v>89.666666666666671</v>
      </c>
      <c r="F862" s="90">
        <f t="shared" si="21"/>
        <v>-3.4482758620689655E-2</v>
      </c>
    </row>
    <row r="863" spans="1:6">
      <c r="A863" s="5">
        <v>1791</v>
      </c>
      <c r="B863" s="5" t="s">
        <v>11</v>
      </c>
      <c r="C863" s="4">
        <v>83</v>
      </c>
      <c r="D863" s="101">
        <f t="shared" si="20"/>
        <v>89</v>
      </c>
      <c r="F863" s="90">
        <f t="shared" si="21"/>
        <v>-8.7912087912087919E-2</v>
      </c>
    </row>
    <row r="864" spans="1:6">
      <c r="A864" s="5">
        <v>1791</v>
      </c>
      <c r="B864" s="5" t="s">
        <v>12</v>
      </c>
      <c r="C864" s="4">
        <v>84</v>
      </c>
      <c r="D864" s="101">
        <f t="shared" si="20"/>
        <v>88.333333333333329</v>
      </c>
      <c r="F864" s="90">
        <f t="shared" si="21"/>
        <v>-8.6956521739130432E-2</v>
      </c>
    </row>
    <row r="865" spans="1:6">
      <c r="A865" s="5">
        <v>1791</v>
      </c>
      <c r="B865" s="5" t="s">
        <v>13</v>
      </c>
      <c r="C865" s="4">
        <v>84</v>
      </c>
      <c r="D865" s="101">
        <f t="shared" si="20"/>
        <v>87.666666666666671</v>
      </c>
      <c r="F865" s="90">
        <f t="shared" si="21"/>
        <v>-8.6956521739130432E-2</v>
      </c>
    </row>
    <row r="866" spans="1:6">
      <c r="A866" s="5">
        <v>1791</v>
      </c>
      <c r="B866" s="5" t="s">
        <v>14</v>
      </c>
      <c r="C866" s="4">
        <v>84</v>
      </c>
      <c r="D866" s="101">
        <f t="shared" si="20"/>
        <v>87</v>
      </c>
      <c r="F866" s="90">
        <f t="shared" si="21"/>
        <v>-8.6956521739130432E-2</v>
      </c>
    </row>
    <row r="867" spans="1:6">
      <c r="A867" s="5">
        <v>1791</v>
      </c>
      <c r="B867" s="5" t="s">
        <v>15</v>
      </c>
      <c r="C867" s="4">
        <v>83</v>
      </c>
      <c r="D867" s="101">
        <f t="shared" si="20"/>
        <v>86.333333333333329</v>
      </c>
      <c r="F867" s="90">
        <f t="shared" si="21"/>
        <v>-8.7912087912087919E-2</v>
      </c>
    </row>
    <row r="868" spans="1:6">
      <c r="A868" s="5">
        <v>1791</v>
      </c>
      <c r="B868" s="5" t="s">
        <v>16</v>
      </c>
      <c r="C868" s="4">
        <v>85</v>
      </c>
      <c r="D868" s="101">
        <f t="shared" si="20"/>
        <v>85.833333333333329</v>
      </c>
      <c r="F868" s="90">
        <f t="shared" si="21"/>
        <v>-6.5934065934065936E-2</v>
      </c>
    </row>
    <row r="869" spans="1:6">
      <c r="A869" s="5">
        <v>1791</v>
      </c>
      <c r="B869" s="5" t="s">
        <v>17</v>
      </c>
      <c r="C869" s="4">
        <v>85</v>
      </c>
      <c r="D869" s="101">
        <f t="shared" si="20"/>
        <v>85.25</v>
      </c>
      <c r="F869" s="90">
        <f t="shared" si="21"/>
        <v>-7.6086956521739135E-2</v>
      </c>
    </row>
    <row r="870" spans="1:6">
      <c r="A870" s="5">
        <v>1791</v>
      </c>
      <c r="B870" s="5" t="s">
        <v>18</v>
      </c>
      <c r="C870" s="4">
        <v>86</v>
      </c>
      <c r="D870" s="101">
        <f t="shared" si="20"/>
        <v>84.916666666666671</v>
      </c>
      <c r="F870" s="90">
        <f t="shared" si="21"/>
        <v>-4.4444444444444446E-2</v>
      </c>
    </row>
    <row r="871" spans="1:6">
      <c r="A871" s="5">
        <v>1791</v>
      </c>
      <c r="B871" s="5" t="s">
        <v>19</v>
      </c>
      <c r="C871" s="4">
        <v>86</v>
      </c>
      <c r="D871" s="101">
        <f t="shared" si="20"/>
        <v>84.666666666666671</v>
      </c>
      <c r="F871" s="90">
        <f t="shared" si="21"/>
        <v>-3.3707865168539325E-2</v>
      </c>
    </row>
    <row r="872" spans="1:6">
      <c r="A872" s="5">
        <v>1791</v>
      </c>
      <c r="B872" s="5" t="s">
        <v>20</v>
      </c>
      <c r="C872" s="4">
        <v>85</v>
      </c>
      <c r="D872" s="101">
        <f t="shared" si="20"/>
        <v>84.583333333333329</v>
      </c>
      <c r="E872" s="4">
        <v>85</v>
      </c>
      <c r="F872" s="90">
        <f t="shared" si="21"/>
        <v>-1.1627906976744186E-2</v>
      </c>
    </row>
    <row r="873" spans="1:6">
      <c r="A873" s="5">
        <v>1792</v>
      </c>
      <c r="B873" s="5" t="s">
        <v>9</v>
      </c>
      <c r="D873" s="101">
        <f t="shared" si="20"/>
        <v>84.454545454545453</v>
      </c>
      <c r="F873" s="90">
        <f t="shared" si="21"/>
        <v>-1</v>
      </c>
    </row>
    <row r="874" spans="1:6">
      <c r="A874" s="5">
        <v>1792</v>
      </c>
      <c r="B874" s="5" t="s">
        <v>10</v>
      </c>
      <c r="D874" s="101">
        <f t="shared" si="20"/>
        <v>84.5</v>
      </c>
      <c r="F874" s="90">
        <f t="shared" si="21"/>
        <v>-1</v>
      </c>
    </row>
    <row r="875" spans="1:6">
      <c r="A875" s="5">
        <v>1792</v>
      </c>
      <c r="B875" s="5" t="s">
        <v>11</v>
      </c>
      <c r="D875" s="101">
        <f t="shared" si="20"/>
        <v>84.666666666666671</v>
      </c>
      <c r="F875" s="90">
        <f t="shared" si="21"/>
        <v>-1</v>
      </c>
    </row>
    <row r="876" spans="1:6">
      <c r="A876" s="5">
        <v>1792</v>
      </c>
      <c r="B876" s="5" t="s">
        <v>12</v>
      </c>
      <c r="D876" s="101">
        <f t="shared" si="20"/>
        <v>84.75</v>
      </c>
      <c r="F876" s="90">
        <f t="shared" si="21"/>
        <v>-1</v>
      </c>
    </row>
    <row r="877" spans="1:6">
      <c r="A877" s="5">
        <v>1792</v>
      </c>
      <c r="B877" s="5" t="s">
        <v>13</v>
      </c>
      <c r="D877" s="101">
        <f t="shared" si="20"/>
        <v>84.857142857142861</v>
      </c>
      <c r="F877" s="90">
        <f t="shared" si="21"/>
        <v>-1</v>
      </c>
    </row>
    <row r="878" spans="1:6">
      <c r="A878" s="5">
        <v>1792</v>
      </c>
      <c r="B878" s="5" t="s">
        <v>14</v>
      </c>
      <c r="D878" s="101">
        <f t="shared" si="20"/>
        <v>85</v>
      </c>
      <c r="F878" s="90">
        <f t="shared" si="21"/>
        <v>-1</v>
      </c>
    </row>
    <row r="879" spans="1:6">
      <c r="A879" s="5">
        <v>1792</v>
      </c>
      <c r="B879" s="5" t="s">
        <v>15</v>
      </c>
      <c r="D879" s="101">
        <f t="shared" si="20"/>
        <v>85.4</v>
      </c>
      <c r="F879" s="90">
        <f t="shared" si="21"/>
        <v>-1</v>
      </c>
    </row>
    <row r="880" spans="1:6">
      <c r="A880" s="5">
        <v>1792</v>
      </c>
      <c r="B880" s="5" t="s">
        <v>16</v>
      </c>
      <c r="D880" s="101">
        <f t="shared" si="20"/>
        <v>85.5</v>
      </c>
      <c r="F880" s="90">
        <f t="shared" si="21"/>
        <v>-1</v>
      </c>
    </row>
    <row r="881" spans="1:6">
      <c r="A881" s="5">
        <v>1792</v>
      </c>
      <c r="B881" s="5" t="s">
        <v>17</v>
      </c>
      <c r="D881" s="101">
        <f t="shared" ref="D881:D944" si="22">AVERAGE(C870:C881)</f>
        <v>85.666666666666671</v>
      </c>
      <c r="F881" s="90">
        <f t="shared" si="21"/>
        <v>-1</v>
      </c>
    </row>
    <row r="882" spans="1:6">
      <c r="A882" s="5">
        <v>1792</v>
      </c>
      <c r="B882" s="5" t="s">
        <v>18</v>
      </c>
      <c r="D882" s="101">
        <f t="shared" si="22"/>
        <v>85.5</v>
      </c>
      <c r="F882" s="90">
        <f t="shared" si="21"/>
        <v>-1</v>
      </c>
    </row>
    <row r="883" spans="1:6">
      <c r="A883" s="5">
        <v>1792</v>
      </c>
      <c r="B883" s="5" t="s">
        <v>19</v>
      </c>
      <c r="D883" s="101">
        <f t="shared" si="22"/>
        <v>85</v>
      </c>
      <c r="F883" s="90">
        <f t="shared" si="21"/>
        <v>-1</v>
      </c>
    </row>
    <row r="884" spans="1:6">
      <c r="A884" s="5">
        <v>1792</v>
      </c>
      <c r="B884" s="5" t="s">
        <v>20</v>
      </c>
      <c r="D884" s="101" t="e">
        <f t="shared" si="22"/>
        <v>#DIV/0!</v>
      </c>
      <c r="F884" s="90">
        <f t="shared" si="21"/>
        <v>-1</v>
      </c>
    </row>
    <row r="885" spans="1:6">
      <c r="A885" s="5">
        <v>1793</v>
      </c>
      <c r="B885" s="5" t="s">
        <v>9</v>
      </c>
      <c r="D885" s="101" t="e">
        <f t="shared" si="22"/>
        <v>#DIV/0!</v>
      </c>
      <c r="F885" s="90" t="e">
        <f t="shared" si="21"/>
        <v>#DIV/0!</v>
      </c>
    </row>
    <row r="886" spans="1:6">
      <c r="A886" s="5">
        <v>1793</v>
      </c>
      <c r="B886" s="5" t="s">
        <v>10</v>
      </c>
      <c r="D886" s="101" t="e">
        <f t="shared" si="22"/>
        <v>#DIV/0!</v>
      </c>
      <c r="F886" s="90" t="e">
        <f t="shared" si="21"/>
        <v>#DIV/0!</v>
      </c>
    </row>
    <row r="887" spans="1:6">
      <c r="A887" s="5">
        <v>1793</v>
      </c>
      <c r="B887" s="5" t="s">
        <v>11</v>
      </c>
      <c r="D887" s="101" t="e">
        <f t="shared" si="22"/>
        <v>#DIV/0!</v>
      </c>
      <c r="F887" s="90" t="e">
        <f t="shared" si="21"/>
        <v>#DIV/0!</v>
      </c>
    </row>
    <row r="888" spans="1:6">
      <c r="A888" s="5">
        <v>1793</v>
      </c>
      <c r="B888" s="5" t="s">
        <v>12</v>
      </c>
      <c r="C888" s="4">
        <v>98</v>
      </c>
      <c r="D888" s="101">
        <f t="shared" si="22"/>
        <v>98</v>
      </c>
      <c r="F888" s="90" t="e">
        <f t="shared" si="21"/>
        <v>#DIV/0!</v>
      </c>
    </row>
    <row r="889" spans="1:6">
      <c r="A889" s="5">
        <v>1793</v>
      </c>
      <c r="B889" s="5" t="s">
        <v>13</v>
      </c>
      <c r="C889" s="4">
        <v>100</v>
      </c>
      <c r="D889" s="101">
        <f t="shared" si="22"/>
        <v>99</v>
      </c>
      <c r="F889" s="90" t="e">
        <f t="shared" si="21"/>
        <v>#DIV/0!</v>
      </c>
    </row>
    <row r="890" spans="1:6">
      <c r="A890" s="5">
        <v>1793</v>
      </c>
      <c r="B890" s="5" t="s">
        <v>14</v>
      </c>
      <c r="C890" s="4">
        <v>101</v>
      </c>
      <c r="D890" s="101">
        <f t="shared" si="22"/>
        <v>99.666666666666671</v>
      </c>
      <c r="F890" s="90" t="e">
        <f t="shared" si="21"/>
        <v>#DIV/0!</v>
      </c>
    </row>
    <row r="891" spans="1:6">
      <c r="A891" s="5">
        <v>1793</v>
      </c>
      <c r="B891" s="5" t="s">
        <v>15</v>
      </c>
      <c r="C891" s="4">
        <v>102</v>
      </c>
      <c r="D891" s="101">
        <f t="shared" si="22"/>
        <v>100.25</v>
      </c>
      <c r="F891" s="90" t="e">
        <f t="shared" si="21"/>
        <v>#DIV/0!</v>
      </c>
    </row>
    <row r="892" spans="1:6">
      <c r="A892" s="5">
        <v>1793</v>
      </c>
      <c r="B892" s="5" t="s">
        <v>16</v>
      </c>
      <c r="C892" s="4">
        <v>105</v>
      </c>
      <c r="D892" s="101">
        <f t="shared" si="22"/>
        <v>101.2</v>
      </c>
      <c r="F892" s="90" t="e">
        <f t="shared" si="21"/>
        <v>#DIV/0!</v>
      </c>
    </row>
    <row r="893" spans="1:6">
      <c r="A893" s="5">
        <v>1793</v>
      </c>
      <c r="B893" s="5" t="s">
        <v>17</v>
      </c>
      <c r="C893" s="4">
        <v>106</v>
      </c>
      <c r="D893" s="101">
        <f t="shared" si="22"/>
        <v>102</v>
      </c>
      <c r="F893" s="90" t="e">
        <f t="shared" si="21"/>
        <v>#DIV/0!</v>
      </c>
    </row>
    <row r="894" spans="1:6">
      <c r="A894" s="5">
        <v>1793</v>
      </c>
      <c r="B894" s="5" t="s">
        <v>18</v>
      </c>
      <c r="C894" s="4">
        <v>103</v>
      </c>
      <c r="D894" s="101">
        <f t="shared" si="22"/>
        <v>102.14285714285714</v>
      </c>
      <c r="F894" s="90" t="e">
        <f t="shared" si="21"/>
        <v>#DIV/0!</v>
      </c>
    </row>
    <row r="895" spans="1:6">
      <c r="A895" s="5">
        <v>1793</v>
      </c>
      <c r="B895" s="5" t="s">
        <v>19</v>
      </c>
      <c r="C895" s="4">
        <v>103</v>
      </c>
      <c r="D895" s="101">
        <f t="shared" si="22"/>
        <v>102.25</v>
      </c>
      <c r="F895" s="90" t="e">
        <f t="shared" si="21"/>
        <v>#DIV/0!</v>
      </c>
    </row>
    <row r="896" spans="1:6">
      <c r="A896" s="5">
        <v>1793</v>
      </c>
      <c r="B896" s="5" t="s">
        <v>20</v>
      </c>
      <c r="C896" s="4">
        <v>100</v>
      </c>
      <c r="D896" s="101">
        <f t="shared" si="22"/>
        <v>102</v>
      </c>
      <c r="E896" s="4">
        <v>102</v>
      </c>
      <c r="F896" s="90" t="e">
        <f t="shared" si="21"/>
        <v>#DIV/0!</v>
      </c>
    </row>
    <row r="897" spans="1:6">
      <c r="A897" s="5">
        <v>1794</v>
      </c>
      <c r="B897" s="5" t="s">
        <v>9</v>
      </c>
      <c r="C897" s="4">
        <v>106</v>
      </c>
      <c r="D897" s="101">
        <f t="shared" si="22"/>
        <v>102.4</v>
      </c>
      <c r="F897" s="90" t="e">
        <f t="shared" si="21"/>
        <v>#DIV/0!</v>
      </c>
    </row>
    <row r="898" spans="1:6">
      <c r="A898" s="5">
        <v>1794</v>
      </c>
      <c r="B898" s="5" t="s">
        <v>10</v>
      </c>
      <c r="C898" s="4">
        <v>106</v>
      </c>
      <c r="D898" s="101">
        <f t="shared" si="22"/>
        <v>102.72727272727273</v>
      </c>
      <c r="F898" s="90" t="e">
        <f t="shared" si="21"/>
        <v>#DIV/0!</v>
      </c>
    </row>
    <row r="899" spans="1:6">
      <c r="A899" s="5">
        <v>1794</v>
      </c>
      <c r="B899" s="5" t="s">
        <v>11</v>
      </c>
      <c r="C899" s="4">
        <v>108</v>
      </c>
      <c r="D899" s="101">
        <f t="shared" si="22"/>
        <v>103.16666666666667</v>
      </c>
      <c r="F899" s="90" t="e">
        <f t="shared" si="21"/>
        <v>#DIV/0!</v>
      </c>
    </row>
    <row r="900" spans="1:6">
      <c r="A900" s="5">
        <v>1794</v>
      </c>
      <c r="B900" s="5" t="s">
        <v>12</v>
      </c>
      <c r="C900" s="4">
        <v>103</v>
      </c>
      <c r="D900" s="101">
        <f t="shared" si="22"/>
        <v>103.58333333333333</v>
      </c>
      <c r="F900" s="90">
        <f t="shared" si="21"/>
        <v>5.1020408163265307E-2</v>
      </c>
    </row>
    <row r="901" spans="1:6">
      <c r="A901" s="5">
        <v>1794</v>
      </c>
      <c r="B901" s="5" t="s">
        <v>13</v>
      </c>
      <c r="C901" s="4">
        <v>105</v>
      </c>
      <c r="D901" s="101">
        <f t="shared" si="22"/>
        <v>104</v>
      </c>
      <c r="F901" s="90">
        <f t="shared" si="21"/>
        <v>0.05</v>
      </c>
    </row>
    <row r="902" spans="1:6">
      <c r="A902" s="5">
        <v>1794</v>
      </c>
      <c r="B902" s="5" t="s">
        <v>14</v>
      </c>
      <c r="C902" s="4">
        <v>106</v>
      </c>
      <c r="D902" s="101">
        <f t="shared" si="22"/>
        <v>104.41666666666667</v>
      </c>
      <c r="F902" s="90">
        <f t="shared" si="21"/>
        <v>4.9504950495049507E-2</v>
      </c>
    </row>
    <row r="903" spans="1:6">
      <c r="A903" s="5">
        <v>1794</v>
      </c>
      <c r="B903" s="5" t="s">
        <v>15</v>
      </c>
      <c r="C903" s="4">
        <v>108</v>
      </c>
      <c r="D903" s="101">
        <f t="shared" si="22"/>
        <v>104.91666666666667</v>
      </c>
      <c r="F903" s="90">
        <f t="shared" si="21"/>
        <v>5.8823529411764705E-2</v>
      </c>
    </row>
    <row r="904" spans="1:6">
      <c r="A904" s="5">
        <v>1794</v>
      </c>
      <c r="B904" s="5" t="s">
        <v>16</v>
      </c>
      <c r="C904" s="4">
        <v>108</v>
      </c>
      <c r="D904" s="101">
        <f t="shared" si="22"/>
        <v>105.16666666666667</v>
      </c>
      <c r="F904" s="90">
        <f t="shared" si="21"/>
        <v>2.8571428571428571E-2</v>
      </c>
    </row>
    <row r="905" spans="1:6">
      <c r="A905" s="5">
        <v>1794</v>
      </c>
      <c r="B905" s="5" t="s">
        <v>17</v>
      </c>
      <c r="C905" s="4">
        <v>110</v>
      </c>
      <c r="D905" s="101">
        <f t="shared" si="22"/>
        <v>105.5</v>
      </c>
      <c r="F905" s="90">
        <f t="shared" si="21"/>
        <v>3.7735849056603772E-2</v>
      </c>
    </row>
    <row r="906" spans="1:6">
      <c r="A906" s="5">
        <v>1794</v>
      </c>
      <c r="B906" s="5" t="s">
        <v>18</v>
      </c>
      <c r="C906" s="4">
        <v>111</v>
      </c>
      <c r="D906" s="101">
        <f t="shared" si="22"/>
        <v>106.16666666666667</v>
      </c>
      <c r="F906" s="90">
        <f t="shared" si="21"/>
        <v>7.7669902912621352E-2</v>
      </c>
    </row>
    <row r="907" spans="1:6">
      <c r="A907" s="5">
        <v>1794</v>
      </c>
      <c r="B907" s="5" t="s">
        <v>19</v>
      </c>
      <c r="C907" s="4">
        <v>111</v>
      </c>
      <c r="D907" s="101">
        <f t="shared" si="22"/>
        <v>106.83333333333333</v>
      </c>
      <c r="F907" s="90">
        <f t="shared" si="21"/>
        <v>7.7669902912621352E-2</v>
      </c>
    </row>
    <row r="908" spans="1:6">
      <c r="A908" s="5">
        <v>1794</v>
      </c>
      <c r="B908" s="5" t="s">
        <v>20</v>
      </c>
      <c r="C908" s="4">
        <v>115</v>
      </c>
      <c r="D908" s="101">
        <f t="shared" si="22"/>
        <v>108.08333333333333</v>
      </c>
      <c r="E908" s="4">
        <v>108</v>
      </c>
      <c r="F908" s="90">
        <f t="shared" si="21"/>
        <v>0.15</v>
      </c>
    </row>
    <row r="909" spans="1:6">
      <c r="A909" s="5">
        <v>1795</v>
      </c>
      <c r="B909" s="5" t="s">
        <v>9</v>
      </c>
      <c r="C909" s="4">
        <v>124</v>
      </c>
      <c r="D909" s="101">
        <f t="shared" si="22"/>
        <v>109.58333333333333</v>
      </c>
      <c r="F909" s="90">
        <f t="shared" si="21"/>
        <v>0.16981132075471697</v>
      </c>
    </row>
    <row r="910" spans="1:6">
      <c r="A910" s="5">
        <v>1795</v>
      </c>
      <c r="B910" s="5" t="s">
        <v>10</v>
      </c>
      <c r="C910" s="4">
        <v>123</v>
      </c>
      <c r="D910" s="101">
        <f t="shared" si="22"/>
        <v>111</v>
      </c>
      <c r="F910" s="90">
        <f t="shared" si="21"/>
        <v>0.16037735849056603</v>
      </c>
    </row>
    <row r="911" spans="1:6">
      <c r="A911" s="5">
        <v>1795</v>
      </c>
      <c r="B911" s="5" t="s">
        <v>11</v>
      </c>
      <c r="C911" s="4">
        <v>123</v>
      </c>
      <c r="D911" s="101">
        <f t="shared" si="22"/>
        <v>112.25</v>
      </c>
      <c r="F911" s="90">
        <f t="shared" si="21"/>
        <v>0.1388888888888889</v>
      </c>
    </row>
    <row r="912" spans="1:6">
      <c r="A912" s="5">
        <v>1795</v>
      </c>
      <c r="B912" s="5" t="s">
        <v>12</v>
      </c>
      <c r="C912" s="4">
        <v>126</v>
      </c>
      <c r="D912" s="101">
        <f t="shared" si="22"/>
        <v>114.16666666666667</v>
      </c>
      <c r="F912" s="90">
        <f t="shared" si="21"/>
        <v>0.22330097087378642</v>
      </c>
    </row>
    <row r="913" spans="1:6">
      <c r="A913" s="5">
        <v>1795</v>
      </c>
      <c r="B913" s="5" t="s">
        <v>13</v>
      </c>
      <c r="C913" s="4">
        <v>131</v>
      </c>
      <c r="D913" s="101">
        <f t="shared" si="22"/>
        <v>116.33333333333333</v>
      </c>
      <c r="F913" s="90">
        <f t="shared" si="21"/>
        <v>0.24761904761904763</v>
      </c>
    </row>
    <row r="914" spans="1:6">
      <c r="A914" s="5">
        <v>1795</v>
      </c>
      <c r="B914" s="5" t="s">
        <v>14</v>
      </c>
      <c r="C914" s="4">
        <v>136</v>
      </c>
      <c r="D914" s="101">
        <f t="shared" si="22"/>
        <v>118.83333333333333</v>
      </c>
      <c r="F914" s="90">
        <f t="shared" si="21"/>
        <v>0.28301886792452829</v>
      </c>
    </row>
    <row r="915" spans="1:6">
      <c r="A915" s="5">
        <v>1795</v>
      </c>
      <c r="B915" s="5" t="s">
        <v>15</v>
      </c>
      <c r="C915" s="4">
        <v>139</v>
      </c>
      <c r="D915" s="101">
        <f t="shared" si="22"/>
        <v>121.41666666666667</v>
      </c>
      <c r="F915" s="90">
        <f t="shared" si="21"/>
        <v>0.28703703703703703</v>
      </c>
    </row>
    <row r="916" spans="1:6">
      <c r="A916" s="5">
        <v>1795</v>
      </c>
      <c r="B916" s="5" t="s">
        <v>16</v>
      </c>
      <c r="C916" s="4">
        <v>137</v>
      </c>
      <c r="D916" s="101">
        <f t="shared" si="22"/>
        <v>123.83333333333333</v>
      </c>
      <c r="F916" s="90">
        <f t="shared" si="21"/>
        <v>0.26851851851851855</v>
      </c>
    </row>
    <row r="917" spans="1:6">
      <c r="A917" s="5">
        <v>1795</v>
      </c>
      <c r="B917" s="5" t="s">
        <v>17</v>
      </c>
      <c r="C917" s="4">
        <v>135</v>
      </c>
      <c r="D917" s="101">
        <f t="shared" si="22"/>
        <v>125.91666666666667</v>
      </c>
      <c r="F917" s="90">
        <f t="shared" ref="F917:F980" si="23">(C917-C905)/C905</f>
        <v>0.22727272727272727</v>
      </c>
    </row>
    <row r="918" spans="1:6">
      <c r="A918" s="5">
        <v>1795</v>
      </c>
      <c r="B918" s="5" t="s">
        <v>18</v>
      </c>
      <c r="C918" s="4">
        <v>136</v>
      </c>
      <c r="D918" s="101">
        <f t="shared" si="22"/>
        <v>128</v>
      </c>
      <c r="F918" s="90">
        <f t="shared" si="23"/>
        <v>0.22522522522522523</v>
      </c>
    </row>
    <row r="919" spans="1:6">
      <c r="A919" s="5">
        <v>1795</v>
      </c>
      <c r="B919" s="5" t="s">
        <v>19</v>
      </c>
      <c r="C919" s="4">
        <v>134</v>
      </c>
      <c r="D919" s="101">
        <f t="shared" si="22"/>
        <v>129.91666666666666</v>
      </c>
      <c r="F919" s="90">
        <f t="shared" si="23"/>
        <v>0.2072072072072072</v>
      </c>
    </row>
    <row r="920" spans="1:6">
      <c r="A920" s="5">
        <v>1795</v>
      </c>
      <c r="B920" s="5" t="s">
        <v>20</v>
      </c>
      <c r="C920" s="4">
        <v>134</v>
      </c>
      <c r="D920" s="101">
        <f t="shared" si="22"/>
        <v>131.5</v>
      </c>
      <c r="E920" s="4">
        <v>131</v>
      </c>
      <c r="F920" s="90">
        <f t="shared" si="23"/>
        <v>0.16521739130434782</v>
      </c>
    </row>
    <row r="921" spans="1:6">
      <c r="A921" s="5">
        <v>1796</v>
      </c>
      <c r="B921" s="5" t="s">
        <v>9</v>
      </c>
      <c r="C921" s="4">
        <v>141</v>
      </c>
      <c r="D921" s="101">
        <f t="shared" si="22"/>
        <v>132.91666666666666</v>
      </c>
      <c r="F921" s="90">
        <f t="shared" si="23"/>
        <v>0.13709677419354838</v>
      </c>
    </row>
    <row r="922" spans="1:6">
      <c r="A922" s="5">
        <v>1796</v>
      </c>
      <c r="B922" s="5" t="s">
        <v>10</v>
      </c>
      <c r="C922" s="4">
        <v>143</v>
      </c>
      <c r="D922" s="101">
        <f t="shared" si="22"/>
        <v>134.58333333333334</v>
      </c>
      <c r="F922" s="90">
        <f t="shared" si="23"/>
        <v>0.16260162601626016</v>
      </c>
    </row>
    <row r="923" spans="1:6">
      <c r="A923" s="5">
        <v>1796</v>
      </c>
      <c r="B923" s="5" t="s">
        <v>11</v>
      </c>
      <c r="C923" s="4">
        <v>152</v>
      </c>
      <c r="D923" s="101">
        <f t="shared" si="22"/>
        <v>137</v>
      </c>
      <c r="F923" s="90">
        <f t="shared" si="23"/>
        <v>0.23577235772357724</v>
      </c>
    </row>
    <row r="924" spans="1:6">
      <c r="A924" s="5">
        <v>1796</v>
      </c>
      <c r="B924" s="5" t="s">
        <v>12</v>
      </c>
      <c r="C924" s="4">
        <v>151</v>
      </c>
      <c r="D924" s="101">
        <f t="shared" si="22"/>
        <v>139.08333333333334</v>
      </c>
      <c r="F924" s="90">
        <f t="shared" si="23"/>
        <v>0.1984126984126984</v>
      </c>
    </row>
    <row r="925" spans="1:6">
      <c r="A925" s="5">
        <v>1796</v>
      </c>
      <c r="B925" s="5" t="s">
        <v>13</v>
      </c>
      <c r="C925" s="4">
        <v>152</v>
      </c>
      <c r="D925" s="101">
        <f t="shared" si="22"/>
        <v>140.83333333333334</v>
      </c>
      <c r="F925" s="90">
        <f t="shared" si="23"/>
        <v>0.16030534351145037</v>
      </c>
    </row>
    <row r="926" spans="1:6">
      <c r="A926" s="5">
        <v>1796</v>
      </c>
      <c r="B926" s="5" t="s">
        <v>14</v>
      </c>
      <c r="C926" s="4">
        <v>151</v>
      </c>
      <c r="D926" s="101">
        <f t="shared" si="22"/>
        <v>142.08333333333334</v>
      </c>
      <c r="F926" s="90">
        <f t="shared" si="23"/>
        <v>0.11029411764705882</v>
      </c>
    </row>
    <row r="927" spans="1:6">
      <c r="A927" s="5">
        <v>1796</v>
      </c>
      <c r="B927" s="5" t="s">
        <v>15</v>
      </c>
      <c r="C927" s="4">
        <v>148</v>
      </c>
      <c r="D927" s="101">
        <f t="shared" si="22"/>
        <v>142.83333333333334</v>
      </c>
      <c r="F927" s="90">
        <f t="shared" si="23"/>
        <v>6.4748201438848921E-2</v>
      </c>
    </row>
    <row r="928" spans="1:6">
      <c r="A928" s="5">
        <v>1796</v>
      </c>
      <c r="B928" s="5" t="s">
        <v>16</v>
      </c>
      <c r="C928" s="4">
        <v>144</v>
      </c>
      <c r="D928" s="101">
        <f t="shared" si="22"/>
        <v>143.41666666666666</v>
      </c>
      <c r="F928" s="90">
        <f t="shared" si="23"/>
        <v>5.1094890510948905E-2</v>
      </c>
    </row>
    <row r="929" spans="1:6">
      <c r="A929" s="5">
        <v>1796</v>
      </c>
      <c r="B929" s="5" t="s">
        <v>17</v>
      </c>
      <c r="C929" s="4">
        <v>144</v>
      </c>
      <c r="D929" s="101">
        <f t="shared" si="22"/>
        <v>144.16666666666666</v>
      </c>
      <c r="F929" s="90">
        <f t="shared" si="23"/>
        <v>6.6666666666666666E-2</v>
      </c>
    </row>
    <row r="930" spans="1:6">
      <c r="A930" s="5">
        <v>1796</v>
      </c>
      <c r="B930" s="5" t="s">
        <v>18</v>
      </c>
      <c r="C930" s="4">
        <v>148</v>
      </c>
      <c r="D930" s="101">
        <f t="shared" si="22"/>
        <v>145.16666666666666</v>
      </c>
      <c r="F930" s="90">
        <f t="shared" si="23"/>
        <v>8.8235294117647065E-2</v>
      </c>
    </row>
    <row r="931" spans="1:6">
      <c r="A931" s="5">
        <v>1796</v>
      </c>
      <c r="B931" s="5" t="s">
        <v>19</v>
      </c>
      <c r="C931" s="4">
        <v>143</v>
      </c>
      <c r="D931" s="101">
        <f t="shared" si="22"/>
        <v>145.91666666666666</v>
      </c>
      <c r="F931" s="90">
        <f t="shared" si="23"/>
        <v>6.7164179104477612E-2</v>
      </c>
    </row>
    <row r="932" spans="1:6">
      <c r="A932" s="5">
        <v>1796</v>
      </c>
      <c r="B932" s="5" t="s">
        <v>20</v>
      </c>
      <c r="C932" s="4">
        <v>142</v>
      </c>
      <c r="D932" s="101">
        <f t="shared" si="22"/>
        <v>146.58333333333334</v>
      </c>
      <c r="E932" s="4">
        <v>146</v>
      </c>
      <c r="F932" s="90">
        <f t="shared" si="23"/>
        <v>5.9701492537313432E-2</v>
      </c>
    </row>
    <row r="933" spans="1:6">
      <c r="A933" s="5">
        <v>1797</v>
      </c>
      <c r="B933" s="5" t="s">
        <v>9</v>
      </c>
      <c r="C933" s="4">
        <v>140</v>
      </c>
      <c r="D933" s="101">
        <f t="shared" si="22"/>
        <v>146.5</v>
      </c>
      <c r="F933" s="90">
        <f t="shared" si="23"/>
        <v>-7.0921985815602835E-3</v>
      </c>
    </row>
    <row r="934" spans="1:6">
      <c r="A934" s="5">
        <v>1797</v>
      </c>
      <c r="B934" s="5" t="s">
        <v>10</v>
      </c>
      <c r="C934" s="4">
        <v>142</v>
      </c>
      <c r="D934" s="101">
        <f t="shared" si="22"/>
        <v>146.41666666666666</v>
      </c>
      <c r="F934" s="90">
        <f t="shared" si="23"/>
        <v>-6.993006993006993E-3</v>
      </c>
    </row>
    <row r="935" spans="1:6">
      <c r="A935" s="5">
        <v>1797</v>
      </c>
      <c r="B935" s="5" t="s">
        <v>11</v>
      </c>
      <c r="C935" s="4">
        <v>136</v>
      </c>
      <c r="D935" s="101">
        <f t="shared" si="22"/>
        <v>145.08333333333334</v>
      </c>
      <c r="F935" s="90">
        <f t="shared" si="23"/>
        <v>-0.10526315789473684</v>
      </c>
    </row>
    <row r="936" spans="1:6">
      <c r="A936" s="5">
        <v>1797</v>
      </c>
      <c r="B936" s="5" t="s">
        <v>12</v>
      </c>
      <c r="C936" s="4">
        <v>132</v>
      </c>
      <c r="D936" s="101">
        <f t="shared" si="22"/>
        <v>143.5</v>
      </c>
      <c r="F936" s="90">
        <f t="shared" si="23"/>
        <v>-0.12582781456953643</v>
      </c>
    </row>
    <row r="937" spans="1:6">
      <c r="A937" s="5">
        <v>1797</v>
      </c>
      <c r="B937" s="5" t="s">
        <v>13</v>
      </c>
      <c r="C937" s="4">
        <v>132</v>
      </c>
      <c r="D937" s="101">
        <f t="shared" si="22"/>
        <v>141.83333333333334</v>
      </c>
      <c r="F937" s="90">
        <f t="shared" si="23"/>
        <v>-0.13157894736842105</v>
      </c>
    </row>
    <row r="938" spans="1:6">
      <c r="A938" s="5">
        <v>1797</v>
      </c>
      <c r="B938" s="5" t="s">
        <v>14</v>
      </c>
      <c r="C938" s="4">
        <v>131</v>
      </c>
      <c r="D938" s="101">
        <f t="shared" si="22"/>
        <v>140.16666666666666</v>
      </c>
      <c r="F938" s="90">
        <f t="shared" si="23"/>
        <v>-0.13245033112582782</v>
      </c>
    </row>
    <row r="939" spans="1:6">
      <c r="A939" s="5">
        <v>1797</v>
      </c>
      <c r="B939" s="5" t="s">
        <v>15</v>
      </c>
      <c r="C939" s="4">
        <v>129</v>
      </c>
      <c r="D939" s="101">
        <f t="shared" si="22"/>
        <v>138.58333333333334</v>
      </c>
      <c r="F939" s="90">
        <f t="shared" si="23"/>
        <v>-0.12837837837837837</v>
      </c>
    </row>
    <row r="940" spans="1:6">
      <c r="A940" s="5">
        <v>1797</v>
      </c>
      <c r="B940" s="5" t="s">
        <v>16</v>
      </c>
      <c r="C940" s="4">
        <v>128</v>
      </c>
      <c r="D940" s="101">
        <f t="shared" si="22"/>
        <v>137.25</v>
      </c>
      <c r="F940" s="90">
        <f t="shared" si="23"/>
        <v>-0.1111111111111111</v>
      </c>
    </row>
    <row r="941" spans="1:6">
      <c r="A941" s="5">
        <v>1797</v>
      </c>
      <c r="B941" s="5" t="s">
        <v>17</v>
      </c>
      <c r="C941" s="4">
        <v>126</v>
      </c>
      <c r="D941" s="101">
        <f t="shared" si="22"/>
        <v>135.75</v>
      </c>
      <c r="F941" s="90">
        <f t="shared" si="23"/>
        <v>-0.125</v>
      </c>
    </row>
    <row r="942" spans="1:6">
      <c r="A942" s="5">
        <v>1797</v>
      </c>
      <c r="B942" s="5" t="s">
        <v>18</v>
      </c>
      <c r="C942" s="4">
        <v>124</v>
      </c>
      <c r="D942" s="101">
        <f t="shared" si="22"/>
        <v>133.75</v>
      </c>
      <c r="F942" s="90">
        <f t="shared" si="23"/>
        <v>-0.16216216216216217</v>
      </c>
    </row>
    <row r="943" spans="1:6">
      <c r="A943" s="5">
        <v>1797</v>
      </c>
      <c r="B943" s="5" t="s">
        <v>19</v>
      </c>
      <c r="C943" s="4">
        <v>127</v>
      </c>
      <c r="D943" s="101">
        <f t="shared" si="22"/>
        <v>132.41666666666666</v>
      </c>
      <c r="F943" s="90">
        <f t="shared" si="23"/>
        <v>-0.11188811188811189</v>
      </c>
    </row>
    <row r="944" spans="1:6">
      <c r="A944" s="5">
        <v>1797</v>
      </c>
      <c r="B944" s="5" t="s">
        <v>20</v>
      </c>
      <c r="C944" s="4">
        <v>126</v>
      </c>
      <c r="D944" s="101">
        <f t="shared" si="22"/>
        <v>131.08333333333334</v>
      </c>
      <c r="E944" s="4">
        <v>131</v>
      </c>
      <c r="F944" s="90">
        <f t="shared" si="23"/>
        <v>-0.11267605633802817</v>
      </c>
    </row>
    <row r="945" spans="1:6">
      <c r="A945" s="5">
        <v>1798</v>
      </c>
      <c r="B945" s="5" t="s">
        <v>9</v>
      </c>
      <c r="C945" s="4">
        <v>127</v>
      </c>
      <c r="D945" s="101">
        <f t="shared" ref="D945:D1008" si="24">AVERAGE(C934:C945)</f>
        <v>130</v>
      </c>
      <c r="F945" s="90">
        <f t="shared" si="23"/>
        <v>-9.285714285714286E-2</v>
      </c>
    </row>
    <row r="946" spans="1:6">
      <c r="A946" s="5">
        <v>1798</v>
      </c>
      <c r="B946" s="5" t="s">
        <v>10</v>
      </c>
      <c r="C946" s="4">
        <v>125</v>
      </c>
      <c r="D946" s="101">
        <f t="shared" si="24"/>
        <v>128.58333333333334</v>
      </c>
      <c r="F946" s="90">
        <f t="shared" si="23"/>
        <v>-0.11971830985915492</v>
      </c>
    </row>
    <row r="947" spans="1:6">
      <c r="A947" s="5">
        <v>1798</v>
      </c>
      <c r="B947" s="5" t="s">
        <v>11</v>
      </c>
      <c r="C947" s="4">
        <v>123</v>
      </c>
      <c r="D947" s="101">
        <f t="shared" si="24"/>
        <v>127.5</v>
      </c>
      <c r="F947" s="90">
        <f t="shared" si="23"/>
        <v>-9.5588235294117641E-2</v>
      </c>
    </row>
    <row r="948" spans="1:6">
      <c r="A948" s="5">
        <v>1798</v>
      </c>
      <c r="B948" s="5" t="s">
        <v>12</v>
      </c>
      <c r="C948" s="4">
        <v>123</v>
      </c>
      <c r="D948" s="101">
        <f t="shared" si="24"/>
        <v>126.75</v>
      </c>
      <c r="F948" s="90">
        <f t="shared" si="23"/>
        <v>-6.8181818181818177E-2</v>
      </c>
    </row>
    <row r="949" spans="1:6">
      <c r="A949" s="5">
        <v>1798</v>
      </c>
      <c r="B949" s="5" t="s">
        <v>13</v>
      </c>
      <c r="C949" s="4">
        <v>121</v>
      </c>
      <c r="D949" s="101">
        <f t="shared" si="24"/>
        <v>125.83333333333333</v>
      </c>
      <c r="F949" s="90">
        <f t="shared" si="23"/>
        <v>-8.3333333333333329E-2</v>
      </c>
    </row>
    <row r="950" spans="1:6">
      <c r="A950" s="5">
        <v>1798</v>
      </c>
      <c r="B950" s="5" t="s">
        <v>14</v>
      </c>
      <c r="C950" s="4">
        <v>119</v>
      </c>
      <c r="D950" s="101">
        <f t="shared" si="24"/>
        <v>124.83333333333333</v>
      </c>
      <c r="F950" s="90">
        <f t="shared" si="23"/>
        <v>-9.1603053435114504E-2</v>
      </c>
    </row>
    <row r="951" spans="1:6">
      <c r="A951" s="5">
        <v>1798</v>
      </c>
      <c r="B951" s="5" t="s">
        <v>15</v>
      </c>
      <c r="C951" s="4">
        <v>120</v>
      </c>
      <c r="D951" s="101">
        <f t="shared" si="24"/>
        <v>124.08333333333333</v>
      </c>
      <c r="F951" s="90">
        <f t="shared" si="23"/>
        <v>-6.9767441860465115E-2</v>
      </c>
    </row>
    <row r="952" spans="1:6">
      <c r="A952" s="5">
        <v>1798</v>
      </c>
      <c r="B952" s="5" t="s">
        <v>16</v>
      </c>
      <c r="C952" s="4">
        <v>120</v>
      </c>
      <c r="D952" s="101">
        <f t="shared" si="24"/>
        <v>123.41666666666667</v>
      </c>
      <c r="F952" s="90">
        <f t="shared" si="23"/>
        <v>-6.25E-2</v>
      </c>
    </row>
    <row r="953" spans="1:6">
      <c r="A953" s="5">
        <v>1798</v>
      </c>
      <c r="B953" s="5" t="s">
        <v>17</v>
      </c>
      <c r="C953" s="4">
        <v>120</v>
      </c>
      <c r="D953" s="101">
        <f t="shared" si="24"/>
        <v>122.91666666666667</v>
      </c>
      <c r="F953" s="90">
        <f t="shared" si="23"/>
        <v>-4.7619047619047616E-2</v>
      </c>
    </row>
    <row r="954" spans="1:6">
      <c r="A954" s="5">
        <v>1798</v>
      </c>
      <c r="B954" s="5" t="s">
        <v>18</v>
      </c>
      <c r="C954" s="4">
        <v>121</v>
      </c>
      <c r="D954" s="101">
        <f t="shared" si="24"/>
        <v>122.66666666666667</v>
      </c>
      <c r="F954" s="90">
        <f t="shared" si="23"/>
        <v>-2.4193548387096774E-2</v>
      </c>
    </row>
    <row r="955" spans="1:6">
      <c r="A955" s="5">
        <v>1798</v>
      </c>
      <c r="B955" s="5" t="s">
        <v>19</v>
      </c>
      <c r="C955" s="4">
        <v>122</v>
      </c>
      <c r="D955" s="101">
        <f t="shared" si="24"/>
        <v>122.25</v>
      </c>
      <c r="F955" s="90">
        <f t="shared" si="23"/>
        <v>-3.937007874015748E-2</v>
      </c>
    </row>
    <row r="956" spans="1:6">
      <c r="A956" s="5">
        <v>1798</v>
      </c>
      <c r="B956" s="5" t="s">
        <v>20</v>
      </c>
      <c r="C956" s="4">
        <v>123</v>
      </c>
      <c r="D956" s="101">
        <f t="shared" si="24"/>
        <v>122</v>
      </c>
      <c r="E956" s="4">
        <v>122</v>
      </c>
      <c r="F956" s="90">
        <f t="shared" si="23"/>
        <v>-2.3809523809523808E-2</v>
      </c>
    </row>
    <row r="957" spans="1:6">
      <c r="A957" s="5">
        <v>1799</v>
      </c>
      <c r="B957" s="5" t="s">
        <v>9</v>
      </c>
      <c r="C957" s="4">
        <v>124</v>
      </c>
      <c r="D957" s="101">
        <f t="shared" si="24"/>
        <v>121.75</v>
      </c>
      <c r="F957" s="90">
        <f t="shared" si="23"/>
        <v>-2.3622047244094488E-2</v>
      </c>
    </row>
    <row r="958" spans="1:6">
      <c r="A958" s="5">
        <v>1799</v>
      </c>
      <c r="B958" s="5" t="s">
        <v>10</v>
      </c>
      <c r="C958" s="4">
        <v>123</v>
      </c>
      <c r="D958" s="101">
        <f t="shared" si="24"/>
        <v>121.58333333333333</v>
      </c>
      <c r="F958" s="90">
        <f t="shared" si="23"/>
        <v>-1.6E-2</v>
      </c>
    </row>
    <row r="959" spans="1:6">
      <c r="A959" s="5">
        <v>1799</v>
      </c>
      <c r="B959" s="5" t="s">
        <v>11</v>
      </c>
      <c r="C959" s="4">
        <v>123</v>
      </c>
      <c r="D959" s="101">
        <f t="shared" si="24"/>
        <v>121.58333333333333</v>
      </c>
      <c r="F959" s="90">
        <f t="shared" si="23"/>
        <v>0</v>
      </c>
    </row>
    <row r="960" spans="1:6">
      <c r="A960" s="5">
        <v>1799</v>
      </c>
      <c r="B960" s="5" t="s">
        <v>12</v>
      </c>
      <c r="C960" s="4">
        <v>122</v>
      </c>
      <c r="D960" s="101">
        <f t="shared" si="24"/>
        <v>121.5</v>
      </c>
      <c r="F960" s="90">
        <f t="shared" si="23"/>
        <v>-8.130081300813009E-3</v>
      </c>
    </row>
    <row r="961" spans="1:6">
      <c r="A961" s="5">
        <v>1799</v>
      </c>
      <c r="B961" s="5" t="s">
        <v>13</v>
      </c>
      <c r="C961" s="4">
        <v>123</v>
      </c>
      <c r="D961" s="101">
        <f t="shared" si="24"/>
        <v>121.66666666666667</v>
      </c>
      <c r="F961" s="90">
        <f t="shared" si="23"/>
        <v>1.6528925619834711E-2</v>
      </c>
    </row>
    <row r="962" spans="1:6">
      <c r="A962" s="5">
        <v>1799</v>
      </c>
      <c r="B962" s="5" t="s">
        <v>14</v>
      </c>
      <c r="C962" s="4">
        <v>124</v>
      </c>
      <c r="D962" s="101">
        <f t="shared" si="24"/>
        <v>122.08333333333333</v>
      </c>
      <c r="F962" s="90">
        <f t="shared" si="23"/>
        <v>4.2016806722689079E-2</v>
      </c>
    </row>
    <row r="963" spans="1:6">
      <c r="A963" s="5">
        <v>1799</v>
      </c>
      <c r="B963" s="5" t="s">
        <v>15</v>
      </c>
      <c r="C963" s="4">
        <v>126</v>
      </c>
      <c r="D963" s="101">
        <f t="shared" si="24"/>
        <v>122.58333333333333</v>
      </c>
      <c r="F963" s="90">
        <f t="shared" si="23"/>
        <v>0.05</v>
      </c>
    </row>
    <row r="964" spans="1:6">
      <c r="A964" s="5">
        <v>1799</v>
      </c>
      <c r="B964" s="5" t="s">
        <v>16</v>
      </c>
      <c r="C964" s="4">
        <v>126</v>
      </c>
      <c r="D964" s="101">
        <f t="shared" si="24"/>
        <v>123.08333333333333</v>
      </c>
      <c r="F964" s="90">
        <f t="shared" si="23"/>
        <v>0.05</v>
      </c>
    </row>
    <row r="965" spans="1:6">
      <c r="A965" s="5">
        <v>1799</v>
      </c>
      <c r="B965" s="5" t="s">
        <v>17</v>
      </c>
      <c r="C965" s="4">
        <v>127</v>
      </c>
      <c r="D965" s="101">
        <f t="shared" si="24"/>
        <v>123.66666666666667</v>
      </c>
      <c r="F965" s="90">
        <f t="shared" si="23"/>
        <v>5.8333333333333334E-2</v>
      </c>
    </row>
    <row r="966" spans="1:6">
      <c r="A966" s="5">
        <v>1799</v>
      </c>
      <c r="B966" s="5" t="s">
        <v>18</v>
      </c>
      <c r="C966" s="4">
        <v>129</v>
      </c>
      <c r="D966" s="101">
        <f t="shared" si="24"/>
        <v>124.33333333333333</v>
      </c>
      <c r="F966" s="90">
        <f t="shared" si="23"/>
        <v>6.6115702479338845E-2</v>
      </c>
    </row>
    <row r="967" spans="1:6">
      <c r="A967" s="5">
        <v>1799</v>
      </c>
      <c r="B967" s="5" t="s">
        <v>19</v>
      </c>
      <c r="C967" s="4">
        <v>130</v>
      </c>
      <c r="D967" s="101">
        <f t="shared" si="24"/>
        <v>125</v>
      </c>
      <c r="F967" s="90">
        <f t="shared" si="23"/>
        <v>6.5573770491803282E-2</v>
      </c>
    </row>
    <row r="968" spans="1:6">
      <c r="A968" s="5">
        <v>1799</v>
      </c>
      <c r="B968" s="5" t="s">
        <v>20</v>
      </c>
      <c r="C968" s="4">
        <v>130</v>
      </c>
      <c r="D968" s="101">
        <f t="shared" si="24"/>
        <v>125.58333333333333</v>
      </c>
      <c r="E968" s="4">
        <v>126</v>
      </c>
      <c r="F968" s="90">
        <f t="shared" si="23"/>
        <v>5.6910569105691054E-2</v>
      </c>
    </row>
    <row r="969" spans="1:6">
      <c r="A969" s="5">
        <v>1800</v>
      </c>
      <c r="B969" s="5" t="s">
        <v>9</v>
      </c>
      <c r="C969" s="4">
        <v>127</v>
      </c>
      <c r="D969" s="101">
        <f t="shared" si="24"/>
        <v>125.83333333333333</v>
      </c>
      <c r="F969" s="90">
        <f t="shared" si="23"/>
        <v>2.4193548387096774E-2</v>
      </c>
    </row>
    <row r="970" spans="1:6">
      <c r="A970" s="5">
        <v>1800</v>
      </c>
      <c r="B970" s="5" t="s">
        <v>10</v>
      </c>
      <c r="C970" s="4">
        <v>125</v>
      </c>
      <c r="D970" s="101">
        <f t="shared" si="24"/>
        <v>126</v>
      </c>
      <c r="F970" s="90">
        <f t="shared" si="23"/>
        <v>1.6260162601626018E-2</v>
      </c>
    </row>
    <row r="971" spans="1:6">
      <c r="A971" s="5">
        <v>1800</v>
      </c>
      <c r="B971" s="5" t="s">
        <v>11</v>
      </c>
      <c r="C971" s="4">
        <v>125</v>
      </c>
      <c r="D971" s="101">
        <f t="shared" si="24"/>
        <v>126.16666666666667</v>
      </c>
      <c r="F971" s="90">
        <f t="shared" si="23"/>
        <v>1.6260162601626018E-2</v>
      </c>
    </row>
    <row r="972" spans="1:6">
      <c r="A972" s="5">
        <v>1800</v>
      </c>
      <c r="B972" s="5" t="s">
        <v>12</v>
      </c>
      <c r="C972" s="4">
        <v>123</v>
      </c>
      <c r="D972" s="101">
        <f t="shared" si="24"/>
        <v>126.25</v>
      </c>
      <c r="F972" s="90">
        <f t="shared" si="23"/>
        <v>8.1967213114754103E-3</v>
      </c>
    </row>
    <row r="973" spans="1:6">
      <c r="A973" s="5">
        <v>1800</v>
      </c>
      <c r="B973" s="5" t="s">
        <v>13</v>
      </c>
      <c r="C973" s="4">
        <v>125</v>
      </c>
      <c r="D973" s="101">
        <f t="shared" si="24"/>
        <v>126.41666666666667</v>
      </c>
      <c r="F973" s="90">
        <f t="shared" si="23"/>
        <v>1.6260162601626018E-2</v>
      </c>
    </row>
    <row r="974" spans="1:6">
      <c r="A974" s="5">
        <v>1800</v>
      </c>
      <c r="B974" s="5" t="s">
        <v>14</v>
      </c>
      <c r="C974" s="4">
        <v>127</v>
      </c>
      <c r="D974" s="101">
        <f t="shared" si="24"/>
        <v>126.66666666666667</v>
      </c>
      <c r="F974" s="90">
        <f t="shared" si="23"/>
        <v>2.4193548387096774E-2</v>
      </c>
    </row>
    <row r="975" spans="1:6">
      <c r="A975" s="5">
        <v>1800</v>
      </c>
      <c r="B975" s="5" t="s">
        <v>15</v>
      </c>
      <c r="C975" s="4">
        <v>129</v>
      </c>
      <c r="D975" s="101">
        <f t="shared" si="24"/>
        <v>126.91666666666667</v>
      </c>
      <c r="F975" s="90">
        <f t="shared" si="23"/>
        <v>2.3809523809523808E-2</v>
      </c>
    </row>
    <row r="976" spans="1:6">
      <c r="A976" s="5">
        <v>1800</v>
      </c>
      <c r="B976" s="5" t="s">
        <v>16</v>
      </c>
      <c r="C976" s="4">
        <v>131</v>
      </c>
      <c r="D976" s="101">
        <f t="shared" si="24"/>
        <v>127.33333333333333</v>
      </c>
      <c r="F976" s="90">
        <f t="shared" si="23"/>
        <v>3.968253968253968E-2</v>
      </c>
    </row>
    <row r="977" spans="1:6">
      <c r="A977" s="5">
        <v>1800</v>
      </c>
      <c r="B977" s="5" t="s">
        <v>17</v>
      </c>
      <c r="C977" s="4">
        <v>133</v>
      </c>
      <c r="D977" s="101">
        <f t="shared" si="24"/>
        <v>127.83333333333333</v>
      </c>
      <c r="F977" s="90">
        <f t="shared" si="23"/>
        <v>4.7244094488188976E-2</v>
      </c>
    </row>
    <row r="978" spans="1:6">
      <c r="A978" s="5">
        <v>1800</v>
      </c>
      <c r="B978" s="5" t="s">
        <v>18</v>
      </c>
      <c r="C978" s="4">
        <v>134</v>
      </c>
      <c r="D978" s="101">
        <f t="shared" si="24"/>
        <v>128.25</v>
      </c>
      <c r="F978" s="90">
        <f t="shared" si="23"/>
        <v>3.875968992248062E-2</v>
      </c>
    </row>
    <row r="979" spans="1:6">
      <c r="A979" s="5">
        <v>1800</v>
      </c>
      <c r="B979" s="5" t="s">
        <v>19</v>
      </c>
      <c r="C979" s="4">
        <v>135</v>
      </c>
      <c r="D979" s="101">
        <f t="shared" si="24"/>
        <v>128.66666666666666</v>
      </c>
      <c r="F979" s="90">
        <f t="shared" si="23"/>
        <v>3.8461538461538464E-2</v>
      </c>
    </row>
    <row r="980" spans="1:6">
      <c r="A980" s="5">
        <v>1800</v>
      </c>
      <c r="B980" s="5" t="s">
        <v>20</v>
      </c>
      <c r="C980" s="4">
        <v>134</v>
      </c>
      <c r="D980" s="101">
        <f t="shared" si="24"/>
        <v>129</v>
      </c>
      <c r="E980" s="4">
        <v>129</v>
      </c>
      <c r="F980" s="90">
        <f t="shared" si="23"/>
        <v>3.0769230769230771E-2</v>
      </c>
    </row>
    <row r="981" spans="1:6">
      <c r="A981" s="5">
        <v>1801</v>
      </c>
      <c r="B981" s="5" t="s">
        <v>9</v>
      </c>
      <c r="C981" s="4">
        <v>140</v>
      </c>
      <c r="D981" s="101">
        <f t="shared" si="24"/>
        <v>130.08333333333334</v>
      </c>
      <c r="F981" s="90">
        <f t="shared" ref="F981:F1044" si="25">(C981-C969)/C969</f>
        <v>0.10236220472440945</v>
      </c>
    </row>
    <row r="982" spans="1:6">
      <c r="A982" s="5">
        <v>1801</v>
      </c>
      <c r="B982" s="5" t="s">
        <v>10</v>
      </c>
      <c r="C982" s="4">
        <v>142</v>
      </c>
      <c r="D982" s="101">
        <f t="shared" si="24"/>
        <v>131.5</v>
      </c>
      <c r="F982" s="90">
        <f t="shared" si="25"/>
        <v>0.13600000000000001</v>
      </c>
    </row>
    <row r="983" spans="1:6">
      <c r="A983" s="5">
        <v>1801</v>
      </c>
      <c r="B983" s="5" t="s">
        <v>11</v>
      </c>
      <c r="C983" s="4">
        <v>144</v>
      </c>
      <c r="D983" s="101">
        <f t="shared" si="24"/>
        <v>133.08333333333334</v>
      </c>
      <c r="F983" s="90">
        <f t="shared" si="25"/>
        <v>0.152</v>
      </c>
    </row>
    <row r="984" spans="1:6">
      <c r="A984" s="5">
        <v>1801</v>
      </c>
      <c r="B984" s="5" t="s">
        <v>12</v>
      </c>
      <c r="C984" s="4">
        <v>145</v>
      </c>
      <c r="D984" s="101">
        <f t="shared" si="24"/>
        <v>134.91666666666666</v>
      </c>
      <c r="F984" s="90">
        <f t="shared" si="25"/>
        <v>0.17886178861788618</v>
      </c>
    </row>
    <row r="985" spans="1:6">
      <c r="A985" s="5">
        <v>1801</v>
      </c>
      <c r="B985" s="5" t="s">
        <v>13</v>
      </c>
      <c r="C985" s="4">
        <v>146</v>
      </c>
      <c r="D985" s="101">
        <f t="shared" si="24"/>
        <v>136.66666666666666</v>
      </c>
      <c r="F985" s="90">
        <f t="shared" si="25"/>
        <v>0.16800000000000001</v>
      </c>
    </row>
    <row r="986" spans="1:6">
      <c r="A986" s="5">
        <v>1801</v>
      </c>
      <c r="B986" s="5" t="s">
        <v>14</v>
      </c>
      <c r="C986" s="4">
        <v>147</v>
      </c>
      <c r="D986" s="101">
        <f t="shared" si="24"/>
        <v>138.33333333333334</v>
      </c>
      <c r="F986" s="90">
        <f t="shared" si="25"/>
        <v>0.15748031496062992</v>
      </c>
    </row>
    <row r="987" spans="1:6">
      <c r="A987" s="5">
        <v>1801</v>
      </c>
      <c r="B987" s="5" t="s">
        <v>15</v>
      </c>
      <c r="C987" s="4">
        <v>148</v>
      </c>
      <c r="D987" s="101">
        <f t="shared" si="24"/>
        <v>139.91666666666666</v>
      </c>
      <c r="F987" s="90">
        <f t="shared" si="25"/>
        <v>0.14728682170542637</v>
      </c>
    </row>
    <row r="988" spans="1:6">
      <c r="A988" s="5">
        <v>1801</v>
      </c>
      <c r="B988" s="5" t="s">
        <v>16</v>
      </c>
      <c r="C988" s="4">
        <v>146</v>
      </c>
      <c r="D988" s="101">
        <f t="shared" si="24"/>
        <v>141.16666666666666</v>
      </c>
      <c r="F988" s="90">
        <f t="shared" si="25"/>
        <v>0.11450381679389313</v>
      </c>
    </row>
    <row r="989" spans="1:6">
      <c r="A989" s="5">
        <v>1801</v>
      </c>
      <c r="B989" s="5" t="s">
        <v>17</v>
      </c>
      <c r="C989" s="4">
        <v>145</v>
      </c>
      <c r="D989" s="101">
        <f t="shared" si="24"/>
        <v>142.16666666666666</v>
      </c>
      <c r="F989" s="90">
        <f t="shared" si="25"/>
        <v>9.0225563909774431E-2</v>
      </c>
    </row>
    <row r="990" spans="1:6">
      <c r="A990" s="5">
        <v>1801</v>
      </c>
      <c r="B990" s="5" t="s">
        <v>18</v>
      </c>
      <c r="C990" s="4">
        <v>139</v>
      </c>
      <c r="D990" s="101">
        <f t="shared" si="24"/>
        <v>142.58333333333334</v>
      </c>
      <c r="F990" s="90">
        <f t="shared" si="25"/>
        <v>3.7313432835820892E-2</v>
      </c>
    </row>
    <row r="991" spans="1:6">
      <c r="A991" s="5">
        <v>1801</v>
      </c>
      <c r="B991" s="5" t="s">
        <v>19</v>
      </c>
      <c r="C991" s="4">
        <v>136</v>
      </c>
      <c r="D991" s="101">
        <f t="shared" si="24"/>
        <v>142.66666666666666</v>
      </c>
      <c r="F991" s="90">
        <f t="shared" si="25"/>
        <v>7.4074074074074077E-3</v>
      </c>
    </row>
    <row r="992" spans="1:6">
      <c r="A992" s="5">
        <v>1801</v>
      </c>
      <c r="B992" s="5" t="s">
        <v>20</v>
      </c>
      <c r="C992" s="4">
        <v>129</v>
      </c>
      <c r="D992" s="101">
        <f t="shared" si="24"/>
        <v>142.25</v>
      </c>
      <c r="E992" s="4">
        <v>142</v>
      </c>
      <c r="F992" s="90">
        <f t="shared" si="25"/>
        <v>-3.7313432835820892E-2</v>
      </c>
    </row>
    <row r="993" spans="1:6">
      <c r="A993" s="5">
        <v>1802</v>
      </c>
      <c r="B993" s="5" t="s">
        <v>9</v>
      </c>
      <c r="C993" s="4">
        <v>126</v>
      </c>
      <c r="D993" s="101">
        <f t="shared" si="24"/>
        <v>141.08333333333334</v>
      </c>
      <c r="F993" s="90">
        <f t="shared" si="25"/>
        <v>-0.1</v>
      </c>
    </row>
    <row r="994" spans="1:6">
      <c r="A994" s="5">
        <v>1802</v>
      </c>
      <c r="B994" s="5" t="s">
        <v>10</v>
      </c>
      <c r="C994" s="4">
        <v>121</v>
      </c>
      <c r="D994" s="101">
        <f t="shared" si="24"/>
        <v>139.33333333333334</v>
      </c>
      <c r="F994" s="90">
        <f t="shared" si="25"/>
        <v>-0.14788732394366197</v>
      </c>
    </row>
    <row r="995" spans="1:6">
      <c r="A995" s="5">
        <v>1802</v>
      </c>
      <c r="B995" s="5" t="s">
        <v>11</v>
      </c>
      <c r="C995" s="4">
        <v>119</v>
      </c>
      <c r="D995" s="101">
        <f t="shared" si="24"/>
        <v>137.25</v>
      </c>
      <c r="F995" s="90">
        <f t="shared" si="25"/>
        <v>-0.1736111111111111</v>
      </c>
    </row>
    <row r="996" spans="1:6">
      <c r="A996" s="5">
        <v>1802</v>
      </c>
      <c r="B996" s="5" t="s">
        <v>12</v>
      </c>
      <c r="C996" s="4">
        <v>117</v>
      </c>
      <c r="D996" s="101">
        <f t="shared" si="24"/>
        <v>134.91666666666666</v>
      </c>
      <c r="F996" s="90">
        <f t="shared" si="25"/>
        <v>-0.19310344827586207</v>
      </c>
    </row>
    <row r="997" spans="1:6">
      <c r="A997" s="5">
        <v>1802</v>
      </c>
      <c r="B997" s="5" t="s">
        <v>13</v>
      </c>
      <c r="C997" s="4">
        <v>116</v>
      </c>
      <c r="D997" s="101">
        <f t="shared" si="24"/>
        <v>132.41666666666666</v>
      </c>
      <c r="F997" s="90">
        <f t="shared" si="25"/>
        <v>-0.20547945205479451</v>
      </c>
    </row>
    <row r="998" spans="1:6">
      <c r="A998" s="5">
        <v>1802</v>
      </c>
      <c r="B998" s="5" t="s">
        <v>14</v>
      </c>
      <c r="C998" s="4">
        <v>117</v>
      </c>
      <c r="D998" s="101">
        <f t="shared" si="24"/>
        <v>129.91666666666666</v>
      </c>
      <c r="F998" s="90">
        <f t="shared" si="25"/>
        <v>-0.20408163265306123</v>
      </c>
    </row>
    <row r="999" spans="1:6">
      <c r="A999" s="5">
        <v>1802</v>
      </c>
      <c r="B999" s="5" t="s">
        <v>15</v>
      </c>
      <c r="C999" s="4">
        <v>117</v>
      </c>
      <c r="D999" s="101">
        <f t="shared" si="24"/>
        <v>127.33333333333333</v>
      </c>
      <c r="F999" s="90">
        <f t="shared" si="25"/>
        <v>-0.20945945945945946</v>
      </c>
    </row>
    <row r="1000" spans="1:6">
      <c r="A1000" s="5">
        <v>1802</v>
      </c>
      <c r="B1000" s="5" t="s">
        <v>16</v>
      </c>
      <c r="C1000" s="4">
        <v>116</v>
      </c>
      <c r="D1000" s="101">
        <f t="shared" si="24"/>
        <v>124.83333333333333</v>
      </c>
      <c r="F1000" s="90">
        <f t="shared" si="25"/>
        <v>-0.20547945205479451</v>
      </c>
    </row>
    <row r="1001" spans="1:6">
      <c r="A1001" s="5">
        <v>1802</v>
      </c>
      <c r="B1001" s="5" t="s">
        <v>17</v>
      </c>
      <c r="C1001" s="4">
        <v>116</v>
      </c>
      <c r="D1001" s="101">
        <f t="shared" si="24"/>
        <v>122.41666666666667</v>
      </c>
      <c r="F1001" s="90">
        <f t="shared" si="25"/>
        <v>-0.2</v>
      </c>
    </row>
    <row r="1002" spans="1:6">
      <c r="A1002" s="5">
        <v>1802</v>
      </c>
      <c r="B1002" s="5" t="s">
        <v>18</v>
      </c>
      <c r="C1002" s="4">
        <v>115</v>
      </c>
      <c r="D1002" s="101">
        <f t="shared" si="24"/>
        <v>120.41666666666667</v>
      </c>
      <c r="F1002" s="90">
        <f t="shared" si="25"/>
        <v>-0.17266187050359713</v>
      </c>
    </row>
    <row r="1003" spans="1:6">
      <c r="A1003" s="5">
        <v>1802</v>
      </c>
      <c r="B1003" s="5" t="s">
        <v>19</v>
      </c>
      <c r="C1003" s="4">
        <v>113</v>
      </c>
      <c r="D1003" s="101">
        <f t="shared" si="24"/>
        <v>118.5</v>
      </c>
      <c r="F1003" s="90">
        <f t="shared" si="25"/>
        <v>-0.16911764705882354</v>
      </c>
    </row>
    <row r="1004" spans="1:6">
      <c r="A1004" s="5">
        <v>1802</v>
      </c>
      <c r="B1004" s="5" t="s">
        <v>20</v>
      </c>
      <c r="C1004" s="4">
        <v>111</v>
      </c>
      <c r="D1004" s="101">
        <f t="shared" si="24"/>
        <v>117</v>
      </c>
      <c r="E1004" s="4">
        <v>117</v>
      </c>
      <c r="F1004" s="90">
        <f t="shared" si="25"/>
        <v>-0.13953488372093023</v>
      </c>
    </row>
    <row r="1005" spans="1:6">
      <c r="A1005" s="5">
        <v>1803</v>
      </c>
      <c r="B1005" s="5" t="s">
        <v>9</v>
      </c>
      <c r="C1005" s="4">
        <v>113</v>
      </c>
      <c r="D1005" s="101">
        <f t="shared" si="24"/>
        <v>115.91666666666667</v>
      </c>
      <c r="F1005" s="90">
        <f t="shared" si="25"/>
        <v>-0.10317460317460317</v>
      </c>
    </row>
    <row r="1006" spans="1:6">
      <c r="A1006" s="5">
        <v>1803</v>
      </c>
      <c r="B1006" s="5" t="s">
        <v>10</v>
      </c>
      <c r="C1006" s="4">
        <v>113</v>
      </c>
      <c r="D1006" s="101">
        <f t="shared" si="24"/>
        <v>115.25</v>
      </c>
      <c r="F1006" s="90">
        <f t="shared" si="25"/>
        <v>-6.6115702479338845E-2</v>
      </c>
    </row>
    <row r="1007" spans="1:6">
      <c r="A1007" s="5">
        <v>1803</v>
      </c>
      <c r="B1007" s="5" t="s">
        <v>11</v>
      </c>
      <c r="C1007" s="4">
        <v>114</v>
      </c>
      <c r="D1007" s="101">
        <f t="shared" si="24"/>
        <v>114.83333333333333</v>
      </c>
      <c r="F1007" s="90">
        <f t="shared" si="25"/>
        <v>-4.2016806722689079E-2</v>
      </c>
    </row>
    <row r="1008" spans="1:6">
      <c r="A1008" s="5">
        <v>1803</v>
      </c>
      <c r="B1008" s="5" t="s">
        <v>12</v>
      </c>
      <c r="C1008" s="4">
        <v>114</v>
      </c>
      <c r="D1008" s="101">
        <f t="shared" si="24"/>
        <v>114.58333333333333</v>
      </c>
      <c r="F1008" s="90">
        <f t="shared" si="25"/>
        <v>-2.564102564102564E-2</v>
      </c>
    </row>
    <row r="1009" spans="1:6">
      <c r="A1009" s="5">
        <v>1803</v>
      </c>
      <c r="B1009" s="5" t="s">
        <v>13</v>
      </c>
      <c r="C1009" s="4">
        <v>115</v>
      </c>
      <c r="D1009" s="101">
        <f t="shared" ref="D1009:D1072" si="26">AVERAGE(C998:C1009)</f>
        <v>114.5</v>
      </c>
      <c r="F1009" s="90">
        <f t="shared" si="25"/>
        <v>-8.6206896551724137E-3</v>
      </c>
    </row>
    <row r="1010" spans="1:6">
      <c r="A1010" s="5">
        <v>1803</v>
      </c>
      <c r="B1010" s="5" t="s">
        <v>14</v>
      </c>
      <c r="C1010" s="4">
        <v>116</v>
      </c>
      <c r="D1010" s="101">
        <f t="shared" si="26"/>
        <v>114.41666666666667</v>
      </c>
      <c r="F1010" s="90">
        <f t="shared" si="25"/>
        <v>-8.5470085470085479E-3</v>
      </c>
    </row>
    <row r="1011" spans="1:6">
      <c r="A1011" s="5">
        <v>1803</v>
      </c>
      <c r="B1011" s="5" t="s">
        <v>15</v>
      </c>
      <c r="C1011" s="4">
        <v>118</v>
      </c>
      <c r="D1011" s="101">
        <f t="shared" si="26"/>
        <v>114.5</v>
      </c>
      <c r="F1011" s="90">
        <f t="shared" si="25"/>
        <v>8.5470085470085479E-3</v>
      </c>
    </row>
    <row r="1012" spans="1:6">
      <c r="A1012" s="5">
        <v>1803</v>
      </c>
      <c r="B1012" s="5" t="s">
        <v>16</v>
      </c>
      <c r="C1012" s="4">
        <v>122</v>
      </c>
      <c r="D1012" s="101">
        <f t="shared" si="26"/>
        <v>115</v>
      </c>
      <c r="F1012" s="90">
        <f t="shared" si="25"/>
        <v>5.1724137931034482E-2</v>
      </c>
    </row>
    <row r="1013" spans="1:6">
      <c r="A1013" s="5">
        <v>1803</v>
      </c>
      <c r="B1013" s="5" t="s">
        <v>17</v>
      </c>
      <c r="C1013" s="4">
        <v>123</v>
      </c>
      <c r="D1013" s="101">
        <f t="shared" si="26"/>
        <v>115.58333333333333</v>
      </c>
      <c r="F1013" s="90">
        <f t="shared" si="25"/>
        <v>6.0344827586206899E-2</v>
      </c>
    </row>
    <row r="1014" spans="1:6">
      <c r="A1014" s="5">
        <v>1803</v>
      </c>
      <c r="B1014" s="5" t="s">
        <v>18</v>
      </c>
      <c r="C1014" s="4">
        <v>123</v>
      </c>
      <c r="D1014" s="101">
        <f t="shared" si="26"/>
        <v>116.25</v>
      </c>
      <c r="F1014" s="90">
        <f t="shared" si="25"/>
        <v>6.9565217391304349E-2</v>
      </c>
    </row>
    <row r="1015" spans="1:6">
      <c r="A1015" s="5">
        <v>1803</v>
      </c>
      <c r="B1015" s="5" t="s">
        <v>19</v>
      </c>
      <c r="C1015" s="4">
        <v>119</v>
      </c>
      <c r="D1015" s="101">
        <f t="shared" si="26"/>
        <v>116.75</v>
      </c>
      <c r="F1015" s="90">
        <f t="shared" si="25"/>
        <v>5.3097345132743362E-2</v>
      </c>
    </row>
    <row r="1016" spans="1:6">
      <c r="A1016" s="5">
        <v>1803</v>
      </c>
      <c r="B1016" s="5" t="s">
        <v>20</v>
      </c>
      <c r="C1016" s="4">
        <v>122</v>
      </c>
      <c r="D1016" s="101">
        <f t="shared" si="26"/>
        <v>117.66666666666667</v>
      </c>
      <c r="E1016" s="4">
        <v>118</v>
      </c>
      <c r="F1016" s="90">
        <f t="shared" si="25"/>
        <v>9.90990990990991E-2</v>
      </c>
    </row>
    <row r="1017" spans="1:6">
      <c r="A1017" s="5">
        <v>1804</v>
      </c>
      <c r="B1017" s="5" t="s">
        <v>9</v>
      </c>
      <c r="C1017" s="4">
        <v>123</v>
      </c>
      <c r="D1017" s="101">
        <f t="shared" si="26"/>
        <v>118.5</v>
      </c>
      <c r="F1017" s="90">
        <f t="shared" si="25"/>
        <v>8.8495575221238937E-2</v>
      </c>
    </row>
    <row r="1018" spans="1:6">
      <c r="A1018" s="5">
        <v>1804</v>
      </c>
      <c r="B1018" s="5" t="s">
        <v>10</v>
      </c>
      <c r="C1018" s="4">
        <v>123</v>
      </c>
      <c r="D1018" s="101">
        <f t="shared" si="26"/>
        <v>119.33333333333333</v>
      </c>
      <c r="F1018" s="90">
        <f t="shared" si="25"/>
        <v>8.8495575221238937E-2</v>
      </c>
    </row>
    <row r="1019" spans="1:6">
      <c r="A1019" s="5">
        <v>1804</v>
      </c>
      <c r="B1019" s="5" t="s">
        <v>11</v>
      </c>
      <c r="C1019" s="4">
        <v>124</v>
      </c>
      <c r="D1019" s="101">
        <f t="shared" si="26"/>
        <v>120.16666666666667</v>
      </c>
      <c r="F1019" s="90">
        <f t="shared" si="25"/>
        <v>8.771929824561403E-2</v>
      </c>
    </row>
    <row r="1020" spans="1:6">
      <c r="A1020" s="5">
        <v>1804</v>
      </c>
      <c r="B1020" s="5" t="s">
        <v>12</v>
      </c>
      <c r="C1020" s="4">
        <v>122</v>
      </c>
      <c r="D1020" s="101">
        <f t="shared" si="26"/>
        <v>120.83333333333333</v>
      </c>
      <c r="F1020" s="90">
        <f t="shared" si="25"/>
        <v>7.0175438596491224E-2</v>
      </c>
    </row>
    <row r="1021" spans="1:6">
      <c r="A1021" s="5">
        <v>1804</v>
      </c>
      <c r="B1021" s="5" t="s">
        <v>13</v>
      </c>
      <c r="C1021" s="4">
        <v>120</v>
      </c>
      <c r="D1021" s="101">
        <f t="shared" si="26"/>
        <v>121.25</v>
      </c>
      <c r="F1021" s="90">
        <f t="shared" si="25"/>
        <v>4.3478260869565216E-2</v>
      </c>
    </row>
    <row r="1022" spans="1:6">
      <c r="A1022" s="5">
        <v>1804</v>
      </c>
      <c r="B1022" s="5" t="s">
        <v>14</v>
      </c>
      <c r="C1022" s="4">
        <v>121</v>
      </c>
      <c r="D1022" s="101">
        <f t="shared" si="26"/>
        <v>121.66666666666667</v>
      </c>
      <c r="F1022" s="90">
        <f t="shared" si="25"/>
        <v>4.3103448275862072E-2</v>
      </c>
    </row>
    <row r="1023" spans="1:6">
      <c r="A1023" s="5">
        <v>1804</v>
      </c>
      <c r="B1023" s="5" t="s">
        <v>15</v>
      </c>
      <c r="C1023" s="4">
        <v>122</v>
      </c>
      <c r="D1023" s="101">
        <f t="shared" si="26"/>
        <v>122</v>
      </c>
      <c r="F1023" s="90">
        <f t="shared" si="25"/>
        <v>3.3898305084745763E-2</v>
      </c>
    </row>
    <row r="1024" spans="1:6">
      <c r="A1024" s="5">
        <v>1804</v>
      </c>
      <c r="B1024" s="5" t="s">
        <v>16</v>
      </c>
      <c r="C1024" s="4">
        <v>124</v>
      </c>
      <c r="D1024" s="101">
        <f t="shared" si="26"/>
        <v>122.16666666666667</v>
      </c>
      <c r="F1024" s="90">
        <f t="shared" si="25"/>
        <v>1.6393442622950821E-2</v>
      </c>
    </row>
    <row r="1025" spans="1:6">
      <c r="A1025" s="5">
        <v>1804</v>
      </c>
      <c r="B1025" s="5" t="s">
        <v>17</v>
      </c>
      <c r="C1025" s="4">
        <v>128</v>
      </c>
      <c r="D1025" s="101">
        <f t="shared" si="26"/>
        <v>122.58333333333333</v>
      </c>
      <c r="F1025" s="90">
        <f t="shared" si="25"/>
        <v>4.065040650406504E-2</v>
      </c>
    </row>
    <row r="1026" spans="1:6">
      <c r="A1026" s="5">
        <v>1804</v>
      </c>
      <c r="B1026" s="5" t="s">
        <v>18</v>
      </c>
      <c r="C1026" s="4">
        <v>130</v>
      </c>
      <c r="D1026" s="101">
        <f t="shared" si="26"/>
        <v>123.16666666666667</v>
      </c>
      <c r="F1026" s="90">
        <f t="shared" si="25"/>
        <v>5.6910569105691054E-2</v>
      </c>
    </row>
    <row r="1027" spans="1:6">
      <c r="A1027" s="5">
        <v>1804</v>
      </c>
      <c r="B1027" s="5" t="s">
        <v>19</v>
      </c>
      <c r="C1027" s="4">
        <v>134</v>
      </c>
      <c r="D1027" s="101">
        <f t="shared" si="26"/>
        <v>124.41666666666667</v>
      </c>
      <c r="F1027" s="90">
        <f t="shared" si="25"/>
        <v>0.12605042016806722</v>
      </c>
    </row>
    <row r="1028" spans="1:6">
      <c r="A1028" s="5">
        <v>1804</v>
      </c>
      <c r="B1028" s="5" t="s">
        <v>20</v>
      </c>
      <c r="C1028" s="4">
        <v>139</v>
      </c>
      <c r="D1028" s="101">
        <f t="shared" si="26"/>
        <v>125.83333333333333</v>
      </c>
      <c r="E1028" s="4">
        <v>126</v>
      </c>
      <c r="F1028" s="90">
        <f t="shared" si="25"/>
        <v>0.13934426229508196</v>
      </c>
    </row>
    <row r="1029" spans="1:6">
      <c r="A1029" s="5">
        <v>1805</v>
      </c>
      <c r="B1029" s="5" t="s">
        <v>9</v>
      </c>
      <c r="C1029" s="4">
        <v>140</v>
      </c>
      <c r="D1029" s="101">
        <f t="shared" si="26"/>
        <v>127.25</v>
      </c>
      <c r="F1029" s="90">
        <f t="shared" si="25"/>
        <v>0.13821138211382114</v>
      </c>
    </row>
    <row r="1030" spans="1:6">
      <c r="A1030" s="5">
        <v>1805</v>
      </c>
      <c r="B1030" s="5" t="s">
        <v>10</v>
      </c>
      <c r="C1030" s="4">
        <v>141</v>
      </c>
      <c r="D1030" s="101">
        <f t="shared" si="26"/>
        <v>128.75</v>
      </c>
      <c r="F1030" s="90">
        <f t="shared" si="25"/>
        <v>0.14634146341463414</v>
      </c>
    </row>
    <row r="1031" spans="1:6">
      <c r="A1031" s="5">
        <v>1805</v>
      </c>
      <c r="B1031" s="5" t="s">
        <v>11</v>
      </c>
      <c r="C1031" s="4">
        <v>145</v>
      </c>
      <c r="D1031" s="101">
        <f t="shared" si="26"/>
        <v>130.5</v>
      </c>
      <c r="F1031" s="90">
        <f t="shared" si="25"/>
        <v>0.16935483870967741</v>
      </c>
    </row>
    <row r="1032" spans="1:6">
      <c r="A1032" s="5">
        <v>1805</v>
      </c>
      <c r="B1032" s="5" t="s">
        <v>12</v>
      </c>
      <c r="C1032" s="4">
        <v>144</v>
      </c>
      <c r="D1032" s="101">
        <f t="shared" si="26"/>
        <v>132.33333333333334</v>
      </c>
      <c r="F1032" s="90">
        <f t="shared" si="25"/>
        <v>0.18032786885245902</v>
      </c>
    </row>
    <row r="1033" spans="1:6">
      <c r="A1033" s="5">
        <v>1805</v>
      </c>
      <c r="B1033" s="5" t="s">
        <v>13</v>
      </c>
      <c r="C1033" s="4">
        <v>142</v>
      </c>
      <c r="D1033" s="101">
        <f t="shared" si="26"/>
        <v>134.16666666666666</v>
      </c>
      <c r="F1033" s="90">
        <f t="shared" si="25"/>
        <v>0.18333333333333332</v>
      </c>
    </row>
    <row r="1034" spans="1:6">
      <c r="A1034" s="5">
        <v>1805</v>
      </c>
      <c r="B1034" s="5" t="s">
        <v>14</v>
      </c>
      <c r="C1034" s="4">
        <v>143</v>
      </c>
      <c r="D1034" s="101">
        <f t="shared" si="26"/>
        <v>136</v>
      </c>
      <c r="F1034" s="90">
        <f t="shared" si="25"/>
        <v>0.18181818181818182</v>
      </c>
    </row>
    <row r="1035" spans="1:6">
      <c r="A1035" s="5">
        <v>1805</v>
      </c>
      <c r="B1035" s="5" t="s">
        <v>15</v>
      </c>
      <c r="C1035" s="4">
        <v>140</v>
      </c>
      <c r="D1035" s="101">
        <f t="shared" si="26"/>
        <v>137.5</v>
      </c>
      <c r="F1035" s="90">
        <f t="shared" si="25"/>
        <v>0.14754098360655737</v>
      </c>
    </row>
    <row r="1036" spans="1:6">
      <c r="A1036" s="5">
        <v>1805</v>
      </c>
      <c r="B1036" s="5" t="s">
        <v>16</v>
      </c>
      <c r="C1036" s="4">
        <v>138</v>
      </c>
      <c r="D1036" s="101">
        <f t="shared" si="26"/>
        <v>138.66666666666666</v>
      </c>
      <c r="F1036" s="90">
        <f t="shared" si="25"/>
        <v>0.11290322580645161</v>
      </c>
    </row>
    <row r="1037" spans="1:6">
      <c r="A1037" s="5">
        <v>1805</v>
      </c>
      <c r="B1037" s="5" t="s">
        <v>17</v>
      </c>
      <c r="C1037" s="4">
        <v>139</v>
      </c>
      <c r="D1037" s="101">
        <f t="shared" si="26"/>
        <v>139.58333333333334</v>
      </c>
      <c r="F1037" s="90">
        <f t="shared" si="25"/>
        <v>8.59375E-2</v>
      </c>
    </row>
    <row r="1038" spans="1:6">
      <c r="A1038" s="5">
        <v>1805</v>
      </c>
      <c r="B1038" s="5" t="s">
        <v>18</v>
      </c>
      <c r="C1038" s="4">
        <v>139</v>
      </c>
      <c r="D1038" s="101">
        <f t="shared" si="26"/>
        <v>140.33333333333334</v>
      </c>
      <c r="F1038" s="90">
        <f t="shared" si="25"/>
        <v>6.9230769230769235E-2</v>
      </c>
    </row>
    <row r="1039" spans="1:6">
      <c r="A1039" s="5">
        <v>1805</v>
      </c>
      <c r="B1039" s="5" t="s">
        <v>19</v>
      </c>
      <c r="C1039" s="4">
        <v>140</v>
      </c>
      <c r="D1039" s="101">
        <f t="shared" si="26"/>
        <v>140.83333333333334</v>
      </c>
      <c r="F1039" s="90">
        <f t="shared" si="25"/>
        <v>4.4776119402985072E-2</v>
      </c>
    </row>
    <row r="1040" spans="1:6">
      <c r="A1040" s="5">
        <v>1805</v>
      </c>
      <c r="B1040" s="5" t="s">
        <v>20</v>
      </c>
      <c r="C1040" s="4">
        <v>139</v>
      </c>
      <c r="D1040" s="101">
        <f t="shared" si="26"/>
        <v>140.83333333333334</v>
      </c>
      <c r="E1040" s="4">
        <v>141</v>
      </c>
      <c r="F1040" s="90">
        <f t="shared" si="25"/>
        <v>0</v>
      </c>
    </row>
    <row r="1041" spans="1:6">
      <c r="A1041" s="5">
        <v>1806</v>
      </c>
      <c r="B1041" s="5" t="s">
        <v>9</v>
      </c>
      <c r="C1041" s="4">
        <v>137</v>
      </c>
      <c r="D1041" s="101">
        <f t="shared" si="26"/>
        <v>140.58333333333334</v>
      </c>
      <c r="F1041" s="90">
        <f t="shared" si="25"/>
        <v>-2.1428571428571429E-2</v>
      </c>
    </row>
    <row r="1042" spans="1:6">
      <c r="A1042" s="5">
        <v>1806</v>
      </c>
      <c r="B1042" s="5" t="s">
        <v>10</v>
      </c>
      <c r="C1042" s="4">
        <v>137</v>
      </c>
      <c r="D1042" s="101">
        <f t="shared" si="26"/>
        <v>140.25</v>
      </c>
      <c r="F1042" s="90">
        <f t="shared" si="25"/>
        <v>-2.8368794326241134E-2</v>
      </c>
    </row>
    <row r="1043" spans="1:6">
      <c r="A1043" s="5">
        <v>1806</v>
      </c>
      <c r="B1043" s="5" t="s">
        <v>11</v>
      </c>
      <c r="C1043" s="4">
        <v>134</v>
      </c>
      <c r="D1043" s="101">
        <f t="shared" si="26"/>
        <v>139.33333333333334</v>
      </c>
      <c r="F1043" s="90">
        <f t="shared" si="25"/>
        <v>-7.586206896551724E-2</v>
      </c>
    </row>
    <row r="1044" spans="1:6">
      <c r="A1044" s="5">
        <v>1806</v>
      </c>
      <c r="B1044" s="5" t="s">
        <v>12</v>
      </c>
      <c r="C1044" s="4">
        <v>132</v>
      </c>
      <c r="D1044" s="101">
        <f t="shared" si="26"/>
        <v>138.33333333333334</v>
      </c>
      <c r="F1044" s="90">
        <f t="shared" si="25"/>
        <v>-8.3333333333333329E-2</v>
      </c>
    </row>
    <row r="1045" spans="1:6">
      <c r="A1045" s="5">
        <v>1806</v>
      </c>
      <c r="B1045" s="5" t="s">
        <v>13</v>
      </c>
      <c r="C1045" s="4">
        <v>133</v>
      </c>
      <c r="D1045" s="101">
        <f t="shared" si="26"/>
        <v>137.58333333333334</v>
      </c>
      <c r="F1045" s="90">
        <f t="shared" ref="F1045:F1108" si="27">(C1045-C1033)/C1033</f>
        <v>-6.3380281690140844E-2</v>
      </c>
    </row>
    <row r="1046" spans="1:6">
      <c r="A1046" s="5">
        <v>1806</v>
      </c>
      <c r="B1046" s="5" t="s">
        <v>14</v>
      </c>
      <c r="C1046" s="4">
        <v>132</v>
      </c>
      <c r="D1046" s="101">
        <f t="shared" si="26"/>
        <v>136.66666666666666</v>
      </c>
      <c r="F1046" s="90">
        <f t="shared" si="27"/>
        <v>-7.6923076923076927E-2</v>
      </c>
    </row>
    <row r="1047" spans="1:6">
      <c r="A1047" s="5">
        <v>1806</v>
      </c>
      <c r="B1047" s="5" t="s">
        <v>15</v>
      </c>
      <c r="C1047" s="4">
        <v>136</v>
      </c>
      <c r="D1047" s="101">
        <f t="shared" si="26"/>
        <v>136.33333333333334</v>
      </c>
      <c r="F1047" s="90">
        <f t="shared" si="27"/>
        <v>-2.8571428571428571E-2</v>
      </c>
    </row>
    <row r="1048" spans="1:6">
      <c r="A1048" s="5">
        <v>1806</v>
      </c>
      <c r="B1048" s="5" t="s">
        <v>16</v>
      </c>
      <c r="C1048" s="4">
        <v>135</v>
      </c>
      <c r="D1048" s="101">
        <f t="shared" si="26"/>
        <v>136.08333333333334</v>
      </c>
      <c r="F1048" s="90">
        <f t="shared" si="27"/>
        <v>-2.1739130434782608E-2</v>
      </c>
    </row>
    <row r="1049" spans="1:6">
      <c r="A1049" s="5">
        <v>1806</v>
      </c>
      <c r="B1049" s="5" t="s">
        <v>17</v>
      </c>
      <c r="C1049" s="4">
        <v>135</v>
      </c>
      <c r="D1049" s="101">
        <f t="shared" si="26"/>
        <v>135.75</v>
      </c>
      <c r="F1049" s="90">
        <f t="shared" si="27"/>
        <v>-2.8776978417266189E-2</v>
      </c>
    </row>
    <row r="1050" spans="1:6">
      <c r="A1050" s="5">
        <v>1806</v>
      </c>
      <c r="B1050" s="5" t="s">
        <v>18</v>
      </c>
      <c r="C1050" s="4">
        <v>133</v>
      </c>
      <c r="D1050" s="101">
        <f t="shared" si="26"/>
        <v>135.25</v>
      </c>
      <c r="F1050" s="90">
        <f t="shared" si="27"/>
        <v>-4.3165467625899283E-2</v>
      </c>
    </row>
    <row r="1051" spans="1:6">
      <c r="A1051" s="5">
        <v>1806</v>
      </c>
      <c r="B1051" s="5" t="s">
        <v>19</v>
      </c>
      <c r="C1051" s="4">
        <v>129</v>
      </c>
      <c r="D1051" s="101">
        <f t="shared" si="26"/>
        <v>134.33333333333334</v>
      </c>
      <c r="F1051" s="90">
        <f t="shared" si="27"/>
        <v>-7.857142857142857E-2</v>
      </c>
    </row>
    <row r="1052" spans="1:6">
      <c r="A1052" s="5">
        <v>1806</v>
      </c>
      <c r="B1052" s="5" t="s">
        <v>20</v>
      </c>
      <c r="C1052" s="4">
        <v>130</v>
      </c>
      <c r="D1052" s="101">
        <f t="shared" si="26"/>
        <v>133.58333333333334</v>
      </c>
      <c r="E1052" s="4">
        <v>134</v>
      </c>
      <c r="F1052" s="90">
        <f t="shared" si="27"/>
        <v>-6.4748201438848921E-2</v>
      </c>
    </row>
    <row r="1053" spans="1:6">
      <c r="A1053" s="5">
        <v>1807</v>
      </c>
      <c r="B1053" s="5" t="s">
        <v>9</v>
      </c>
      <c r="C1053" s="4">
        <v>131</v>
      </c>
      <c r="D1053" s="101">
        <f t="shared" si="26"/>
        <v>133.08333333333334</v>
      </c>
      <c r="F1053" s="90">
        <f t="shared" si="27"/>
        <v>-4.3795620437956206E-2</v>
      </c>
    </row>
    <row r="1054" spans="1:6">
      <c r="A1054" s="5">
        <v>1807</v>
      </c>
      <c r="B1054" s="5" t="s">
        <v>10</v>
      </c>
      <c r="C1054" s="4">
        <v>133</v>
      </c>
      <c r="D1054" s="101">
        <f t="shared" si="26"/>
        <v>132.75</v>
      </c>
      <c r="F1054" s="90">
        <f t="shared" si="27"/>
        <v>-2.9197080291970802E-2</v>
      </c>
    </row>
    <row r="1055" spans="1:6">
      <c r="A1055" s="5">
        <v>1807</v>
      </c>
      <c r="B1055" s="5" t="s">
        <v>11</v>
      </c>
      <c r="C1055" s="4">
        <v>132</v>
      </c>
      <c r="D1055" s="101">
        <f t="shared" si="26"/>
        <v>132.58333333333334</v>
      </c>
      <c r="F1055" s="90">
        <f t="shared" si="27"/>
        <v>-1.4925373134328358E-2</v>
      </c>
    </row>
    <row r="1056" spans="1:6">
      <c r="A1056" s="5">
        <v>1807</v>
      </c>
      <c r="B1056" s="5" t="s">
        <v>12</v>
      </c>
      <c r="C1056" s="4">
        <v>130</v>
      </c>
      <c r="D1056" s="101">
        <f t="shared" si="26"/>
        <v>132.41666666666666</v>
      </c>
      <c r="F1056" s="90">
        <f t="shared" si="27"/>
        <v>-1.5151515151515152E-2</v>
      </c>
    </row>
    <row r="1057" spans="1:6">
      <c r="A1057" s="5">
        <v>1807</v>
      </c>
      <c r="B1057" s="5" t="s">
        <v>13</v>
      </c>
      <c r="C1057" s="4">
        <v>131</v>
      </c>
      <c r="D1057" s="101">
        <f t="shared" si="26"/>
        <v>132.25</v>
      </c>
      <c r="F1057" s="90">
        <f t="shared" si="27"/>
        <v>-1.5037593984962405E-2</v>
      </c>
    </row>
    <row r="1058" spans="1:6">
      <c r="A1058" s="5">
        <v>1807</v>
      </c>
      <c r="B1058" s="5" t="s">
        <v>14</v>
      </c>
      <c r="C1058" s="4">
        <v>131</v>
      </c>
      <c r="D1058" s="101">
        <f t="shared" si="26"/>
        <v>132.16666666666666</v>
      </c>
      <c r="F1058" s="90">
        <f t="shared" si="27"/>
        <v>-7.575757575757576E-3</v>
      </c>
    </row>
    <row r="1059" spans="1:6">
      <c r="A1059" s="5">
        <v>1807</v>
      </c>
      <c r="B1059" s="5" t="s">
        <v>15</v>
      </c>
      <c r="C1059" s="4">
        <v>130</v>
      </c>
      <c r="D1059" s="101">
        <f t="shared" si="26"/>
        <v>131.66666666666666</v>
      </c>
      <c r="F1059" s="90">
        <f t="shared" si="27"/>
        <v>-4.4117647058823532E-2</v>
      </c>
    </row>
    <row r="1060" spans="1:6">
      <c r="A1060" s="5">
        <v>1807</v>
      </c>
      <c r="B1060" s="5" t="s">
        <v>16</v>
      </c>
      <c r="C1060" s="4">
        <v>129</v>
      </c>
      <c r="D1060" s="101">
        <f t="shared" si="26"/>
        <v>131.16666666666666</v>
      </c>
      <c r="F1060" s="90">
        <f t="shared" si="27"/>
        <v>-4.4444444444444446E-2</v>
      </c>
    </row>
    <row r="1061" spans="1:6">
      <c r="A1061" s="5">
        <v>1807</v>
      </c>
      <c r="B1061" s="5" t="s">
        <v>17</v>
      </c>
      <c r="C1061" s="4">
        <v>129</v>
      </c>
      <c r="D1061" s="101">
        <f t="shared" si="26"/>
        <v>130.66666666666666</v>
      </c>
      <c r="F1061" s="90">
        <f t="shared" si="27"/>
        <v>-4.4444444444444446E-2</v>
      </c>
    </row>
    <row r="1062" spans="1:6">
      <c r="A1062" s="5">
        <v>1807</v>
      </c>
      <c r="B1062" s="5" t="s">
        <v>18</v>
      </c>
      <c r="C1062" s="4">
        <v>128</v>
      </c>
      <c r="D1062" s="101">
        <f t="shared" si="26"/>
        <v>130.25</v>
      </c>
      <c r="F1062" s="90">
        <f t="shared" si="27"/>
        <v>-3.7593984962406013E-2</v>
      </c>
    </row>
    <row r="1063" spans="1:6">
      <c r="A1063" s="5">
        <v>1807</v>
      </c>
      <c r="B1063" s="5" t="s">
        <v>19</v>
      </c>
      <c r="C1063" s="4">
        <v>127</v>
      </c>
      <c r="D1063" s="101">
        <f t="shared" si="26"/>
        <v>130.08333333333334</v>
      </c>
      <c r="F1063" s="90">
        <f t="shared" si="27"/>
        <v>-1.5503875968992248E-2</v>
      </c>
    </row>
    <row r="1064" spans="1:6">
      <c r="A1064" s="5">
        <v>1807</v>
      </c>
      <c r="B1064" s="5" t="s">
        <v>20</v>
      </c>
      <c r="C1064" s="4">
        <v>126</v>
      </c>
      <c r="D1064" s="101">
        <f t="shared" si="26"/>
        <v>129.75</v>
      </c>
      <c r="E1064" s="4">
        <v>130</v>
      </c>
      <c r="F1064" s="90">
        <f t="shared" si="27"/>
        <v>-3.0769230769230771E-2</v>
      </c>
    </row>
    <row r="1065" spans="1:6">
      <c r="A1065" s="5">
        <v>1808</v>
      </c>
      <c r="B1065" s="5" t="s">
        <v>9</v>
      </c>
      <c r="C1065" s="4">
        <v>124</v>
      </c>
      <c r="D1065" s="101">
        <f t="shared" si="26"/>
        <v>129.16666666666666</v>
      </c>
      <c r="F1065" s="90">
        <f t="shared" si="27"/>
        <v>-5.3435114503816793E-2</v>
      </c>
    </row>
    <row r="1066" spans="1:6">
      <c r="A1066" s="5">
        <v>1808</v>
      </c>
      <c r="B1066" s="5" t="s">
        <v>10</v>
      </c>
      <c r="C1066" s="4">
        <v>119</v>
      </c>
      <c r="D1066" s="101">
        <f t="shared" si="26"/>
        <v>128</v>
      </c>
      <c r="F1066" s="90">
        <f t="shared" si="27"/>
        <v>-0.10526315789473684</v>
      </c>
    </row>
    <row r="1067" spans="1:6">
      <c r="A1067" s="5">
        <v>1808</v>
      </c>
      <c r="B1067" s="5" t="s">
        <v>11</v>
      </c>
      <c r="C1067" s="4">
        <v>115</v>
      </c>
      <c r="D1067" s="101">
        <f t="shared" si="26"/>
        <v>126.58333333333333</v>
      </c>
      <c r="F1067" s="90">
        <f t="shared" si="27"/>
        <v>-0.12878787878787878</v>
      </c>
    </row>
    <row r="1068" spans="1:6">
      <c r="A1068" s="5">
        <v>1808</v>
      </c>
      <c r="B1068" s="5" t="s">
        <v>12</v>
      </c>
      <c r="C1068" s="4">
        <v>112</v>
      </c>
      <c r="D1068" s="101">
        <f t="shared" si="26"/>
        <v>125.08333333333333</v>
      </c>
      <c r="F1068" s="90">
        <f t="shared" si="27"/>
        <v>-0.13846153846153847</v>
      </c>
    </row>
    <row r="1069" spans="1:6">
      <c r="A1069" s="5">
        <v>1808</v>
      </c>
      <c r="B1069" s="5" t="s">
        <v>13</v>
      </c>
      <c r="C1069" s="4">
        <v>112</v>
      </c>
      <c r="D1069" s="101">
        <f t="shared" si="26"/>
        <v>123.5</v>
      </c>
      <c r="F1069" s="90">
        <f t="shared" si="27"/>
        <v>-0.14503816793893129</v>
      </c>
    </row>
    <row r="1070" spans="1:6">
      <c r="A1070" s="5">
        <v>1808</v>
      </c>
      <c r="B1070" s="5" t="s">
        <v>14</v>
      </c>
      <c r="C1070" s="4">
        <v>112</v>
      </c>
      <c r="D1070" s="101">
        <f t="shared" si="26"/>
        <v>121.91666666666667</v>
      </c>
      <c r="F1070" s="90">
        <f t="shared" si="27"/>
        <v>-0.14503816793893129</v>
      </c>
    </row>
    <row r="1071" spans="1:6">
      <c r="A1071" s="5">
        <v>1808</v>
      </c>
      <c r="B1071" s="5" t="s">
        <v>15</v>
      </c>
      <c r="C1071" s="4">
        <v>112</v>
      </c>
      <c r="D1071" s="101">
        <f t="shared" si="26"/>
        <v>120.41666666666667</v>
      </c>
      <c r="F1071" s="90">
        <f t="shared" si="27"/>
        <v>-0.13846153846153847</v>
      </c>
    </row>
    <row r="1072" spans="1:6">
      <c r="A1072" s="5">
        <v>1808</v>
      </c>
      <c r="B1072" s="5" t="s">
        <v>16</v>
      </c>
      <c r="C1072" s="4">
        <v>113</v>
      </c>
      <c r="D1072" s="101">
        <f t="shared" si="26"/>
        <v>119.08333333333333</v>
      </c>
      <c r="F1072" s="90">
        <f t="shared" si="27"/>
        <v>-0.12403100775193798</v>
      </c>
    </row>
    <row r="1073" spans="1:6">
      <c r="A1073" s="5">
        <v>1808</v>
      </c>
      <c r="B1073" s="5" t="s">
        <v>17</v>
      </c>
      <c r="C1073" s="4">
        <v>113</v>
      </c>
      <c r="D1073" s="101">
        <f t="shared" ref="D1073:D1136" si="28">AVERAGE(C1062:C1073)</f>
        <v>117.75</v>
      </c>
      <c r="F1073" s="90">
        <f t="shared" si="27"/>
        <v>-0.12403100775193798</v>
      </c>
    </row>
    <row r="1074" spans="1:6">
      <c r="A1074" s="5">
        <v>1808</v>
      </c>
      <c r="B1074" s="5" t="s">
        <v>18</v>
      </c>
      <c r="C1074" s="4">
        <v>113</v>
      </c>
      <c r="D1074" s="101">
        <f t="shared" si="28"/>
        <v>116.5</v>
      </c>
      <c r="F1074" s="90">
        <f t="shared" si="27"/>
        <v>-0.1171875</v>
      </c>
    </row>
    <row r="1075" spans="1:6">
      <c r="A1075" s="5">
        <v>1808</v>
      </c>
      <c r="B1075" s="5" t="s">
        <v>19</v>
      </c>
      <c r="C1075" s="4">
        <v>117</v>
      </c>
      <c r="D1075" s="101">
        <f t="shared" si="28"/>
        <v>115.66666666666667</v>
      </c>
      <c r="F1075" s="90">
        <f t="shared" si="27"/>
        <v>-7.874015748031496E-2</v>
      </c>
    </row>
    <row r="1076" spans="1:6">
      <c r="A1076" s="5">
        <v>1808</v>
      </c>
      <c r="B1076" s="5" t="s">
        <v>20</v>
      </c>
      <c r="C1076" s="4">
        <v>121</v>
      </c>
      <c r="D1076" s="101">
        <f t="shared" si="28"/>
        <v>115.25</v>
      </c>
      <c r="E1076" s="4">
        <v>115</v>
      </c>
      <c r="F1076" s="90">
        <f t="shared" si="27"/>
        <v>-3.968253968253968E-2</v>
      </c>
    </row>
    <row r="1077" spans="1:6">
      <c r="A1077" s="5">
        <v>1809</v>
      </c>
      <c r="B1077" s="5" t="s">
        <v>9</v>
      </c>
      <c r="C1077" s="4">
        <v>124</v>
      </c>
      <c r="D1077" s="101">
        <f t="shared" si="28"/>
        <v>115.25</v>
      </c>
      <c r="F1077" s="90">
        <f t="shared" si="27"/>
        <v>0</v>
      </c>
    </row>
    <row r="1078" spans="1:6">
      <c r="A1078" s="5">
        <v>1809</v>
      </c>
      <c r="B1078" s="5" t="s">
        <v>10</v>
      </c>
      <c r="C1078" s="4">
        <v>126</v>
      </c>
      <c r="D1078" s="101">
        <f t="shared" si="28"/>
        <v>115.83333333333333</v>
      </c>
      <c r="F1078" s="90">
        <f t="shared" si="27"/>
        <v>5.8823529411764705E-2</v>
      </c>
    </row>
    <row r="1079" spans="1:6">
      <c r="A1079" s="5">
        <v>1809</v>
      </c>
      <c r="B1079" s="5" t="s">
        <v>11</v>
      </c>
      <c r="C1079" s="4">
        <v>135</v>
      </c>
      <c r="D1079" s="101">
        <f t="shared" si="28"/>
        <v>117.5</v>
      </c>
      <c r="F1079" s="90">
        <f t="shared" si="27"/>
        <v>0.17391304347826086</v>
      </c>
    </row>
    <row r="1080" spans="1:6">
      <c r="A1080" s="5">
        <v>1809</v>
      </c>
      <c r="B1080" s="5" t="s">
        <v>12</v>
      </c>
      <c r="C1080" s="4">
        <v>133</v>
      </c>
      <c r="D1080" s="101">
        <f t="shared" si="28"/>
        <v>119.25</v>
      </c>
      <c r="F1080" s="90">
        <f t="shared" si="27"/>
        <v>0.1875</v>
      </c>
    </row>
    <row r="1081" spans="1:6">
      <c r="A1081" s="5">
        <v>1809</v>
      </c>
      <c r="B1081" s="5" t="s">
        <v>13</v>
      </c>
      <c r="C1081" s="4">
        <v>132</v>
      </c>
      <c r="D1081" s="101">
        <f t="shared" si="28"/>
        <v>120.91666666666667</v>
      </c>
      <c r="F1081" s="90">
        <f t="shared" si="27"/>
        <v>0.17857142857142858</v>
      </c>
    </row>
    <row r="1082" spans="1:6">
      <c r="A1082" s="5">
        <v>1809</v>
      </c>
      <c r="B1082" s="5" t="s">
        <v>14</v>
      </c>
      <c r="C1082" s="4">
        <v>132</v>
      </c>
      <c r="D1082" s="101">
        <f t="shared" si="28"/>
        <v>122.58333333333333</v>
      </c>
      <c r="F1082" s="90">
        <f t="shared" si="27"/>
        <v>0.17857142857142858</v>
      </c>
    </row>
    <row r="1083" spans="1:6">
      <c r="A1083" s="5">
        <v>1809</v>
      </c>
      <c r="B1083" s="5" t="s">
        <v>15</v>
      </c>
      <c r="C1083" s="4">
        <v>129</v>
      </c>
      <c r="D1083" s="101">
        <f t="shared" si="28"/>
        <v>124</v>
      </c>
      <c r="F1083" s="90">
        <f t="shared" si="27"/>
        <v>0.15178571428571427</v>
      </c>
    </row>
    <row r="1084" spans="1:6">
      <c r="A1084" s="5">
        <v>1809</v>
      </c>
      <c r="B1084" s="5" t="s">
        <v>16</v>
      </c>
      <c r="C1084" s="4">
        <v>129</v>
      </c>
      <c r="D1084" s="101">
        <f t="shared" si="28"/>
        <v>125.33333333333333</v>
      </c>
      <c r="F1084" s="90">
        <f t="shared" si="27"/>
        <v>0.1415929203539823</v>
      </c>
    </row>
    <row r="1085" spans="1:6">
      <c r="A1085" s="5">
        <v>1809</v>
      </c>
      <c r="B1085" s="5" t="s">
        <v>17</v>
      </c>
      <c r="C1085" s="4">
        <v>130</v>
      </c>
      <c r="D1085" s="101">
        <f t="shared" si="28"/>
        <v>126.75</v>
      </c>
      <c r="F1085" s="90">
        <f t="shared" si="27"/>
        <v>0.15044247787610621</v>
      </c>
    </row>
    <row r="1086" spans="1:6">
      <c r="A1086" s="5">
        <v>1809</v>
      </c>
      <c r="B1086" s="5" t="s">
        <v>18</v>
      </c>
      <c r="C1086" s="4">
        <v>127</v>
      </c>
      <c r="D1086" s="101">
        <f t="shared" si="28"/>
        <v>127.91666666666667</v>
      </c>
      <c r="F1086" s="90">
        <f t="shared" si="27"/>
        <v>0.12389380530973451</v>
      </c>
    </row>
    <row r="1087" spans="1:6">
      <c r="A1087" s="5">
        <v>1809</v>
      </c>
      <c r="B1087" s="5" t="s">
        <v>19</v>
      </c>
      <c r="C1087" s="4">
        <v>129</v>
      </c>
      <c r="D1087" s="101">
        <f t="shared" si="28"/>
        <v>128.91666666666666</v>
      </c>
      <c r="F1087" s="90">
        <f t="shared" si="27"/>
        <v>0.10256410256410256</v>
      </c>
    </row>
    <row r="1088" spans="1:6">
      <c r="A1088" s="5">
        <v>1809</v>
      </c>
      <c r="B1088" s="5" t="s">
        <v>20</v>
      </c>
      <c r="C1088" s="4">
        <v>128</v>
      </c>
      <c r="D1088" s="101">
        <f t="shared" si="28"/>
        <v>129.5</v>
      </c>
      <c r="E1088" s="4">
        <v>130</v>
      </c>
      <c r="F1088" s="90">
        <f t="shared" si="27"/>
        <v>5.7851239669421489E-2</v>
      </c>
    </row>
    <row r="1089" spans="1:6">
      <c r="A1089" s="5">
        <v>1810</v>
      </c>
      <c r="B1089" s="5" t="s">
        <v>9</v>
      </c>
      <c r="C1089" s="4">
        <v>128</v>
      </c>
      <c r="D1089" s="101">
        <f t="shared" si="28"/>
        <v>129.83333333333334</v>
      </c>
      <c r="F1089" s="90">
        <f t="shared" si="27"/>
        <v>3.2258064516129031E-2</v>
      </c>
    </row>
    <row r="1090" spans="1:6">
      <c r="A1090" s="5">
        <v>1810</v>
      </c>
      <c r="B1090" s="5" t="s">
        <v>10</v>
      </c>
      <c r="C1090" s="4">
        <v>130</v>
      </c>
      <c r="D1090" s="101">
        <f t="shared" si="28"/>
        <v>130.16666666666666</v>
      </c>
      <c r="F1090" s="90">
        <f t="shared" si="27"/>
        <v>3.1746031746031744E-2</v>
      </c>
    </row>
    <row r="1091" spans="1:6">
      <c r="A1091" s="5">
        <v>1810</v>
      </c>
      <c r="B1091" s="5" t="s">
        <v>11</v>
      </c>
      <c r="C1091" s="4">
        <v>128</v>
      </c>
      <c r="D1091" s="101">
        <f t="shared" si="28"/>
        <v>129.58333333333334</v>
      </c>
      <c r="F1091" s="90">
        <f t="shared" si="27"/>
        <v>-5.185185185185185E-2</v>
      </c>
    </row>
    <row r="1092" spans="1:6">
      <c r="A1092" s="5">
        <v>1810</v>
      </c>
      <c r="B1092" s="5" t="s">
        <v>12</v>
      </c>
      <c r="C1092" s="4">
        <v>129</v>
      </c>
      <c r="D1092" s="101">
        <f t="shared" si="28"/>
        <v>129.25</v>
      </c>
      <c r="F1092" s="90">
        <f t="shared" si="27"/>
        <v>-3.007518796992481E-2</v>
      </c>
    </row>
    <row r="1093" spans="1:6">
      <c r="A1093" s="5">
        <v>1810</v>
      </c>
      <c r="B1093" s="5" t="s">
        <v>13</v>
      </c>
      <c r="C1093" s="4">
        <v>131</v>
      </c>
      <c r="D1093" s="101">
        <f t="shared" si="28"/>
        <v>129.16666666666666</v>
      </c>
      <c r="F1093" s="90">
        <f t="shared" si="27"/>
        <v>-7.575757575757576E-3</v>
      </c>
    </row>
    <row r="1094" spans="1:6">
      <c r="A1094" s="5">
        <v>1810</v>
      </c>
      <c r="B1094" s="5" t="s">
        <v>14</v>
      </c>
      <c r="C1094" s="4">
        <v>130</v>
      </c>
      <c r="D1094" s="101">
        <f t="shared" si="28"/>
        <v>129</v>
      </c>
      <c r="F1094" s="90">
        <f t="shared" si="27"/>
        <v>-1.5151515151515152E-2</v>
      </c>
    </row>
    <row r="1095" spans="1:6">
      <c r="A1095" s="5">
        <v>1810</v>
      </c>
      <c r="B1095" s="5" t="s">
        <v>15</v>
      </c>
      <c r="C1095" s="4">
        <v>133</v>
      </c>
      <c r="D1095" s="101">
        <f t="shared" si="28"/>
        <v>129.33333333333334</v>
      </c>
      <c r="F1095" s="90">
        <f t="shared" si="27"/>
        <v>3.1007751937984496E-2</v>
      </c>
    </row>
    <row r="1096" spans="1:6">
      <c r="A1096" s="5">
        <v>1810</v>
      </c>
      <c r="B1096" s="5" t="s">
        <v>16</v>
      </c>
      <c r="C1096" s="4">
        <v>132</v>
      </c>
      <c r="D1096" s="101">
        <f t="shared" si="28"/>
        <v>129.58333333333334</v>
      </c>
      <c r="F1096" s="90">
        <f t="shared" si="27"/>
        <v>2.3255813953488372E-2</v>
      </c>
    </row>
    <row r="1097" spans="1:6">
      <c r="A1097" s="5">
        <v>1810</v>
      </c>
      <c r="B1097" s="5" t="s">
        <v>17</v>
      </c>
      <c r="C1097" s="4">
        <v>134</v>
      </c>
      <c r="D1097" s="101">
        <f t="shared" si="28"/>
        <v>129.91666666666666</v>
      </c>
      <c r="F1097" s="90">
        <f t="shared" si="27"/>
        <v>3.0769230769230771E-2</v>
      </c>
    </row>
    <row r="1098" spans="1:6">
      <c r="A1098" s="5">
        <v>1810</v>
      </c>
      <c r="B1098" s="5" t="s">
        <v>18</v>
      </c>
      <c r="C1098" s="4">
        <v>133</v>
      </c>
      <c r="D1098" s="101">
        <f t="shared" si="28"/>
        <v>130.41666666666666</v>
      </c>
      <c r="F1098" s="90">
        <f t="shared" si="27"/>
        <v>4.7244094488188976E-2</v>
      </c>
    </row>
    <row r="1099" spans="1:6">
      <c r="A1099" s="5">
        <v>1810</v>
      </c>
      <c r="B1099" s="5" t="s">
        <v>19</v>
      </c>
      <c r="C1099" s="4">
        <v>133</v>
      </c>
      <c r="D1099" s="101">
        <f t="shared" si="28"/>
        <v>130.75</v>
      </c>
      <c r="F1099" s="90">
        <f t="shared" si="27"/>
        <v>3.1007751937984496E-2</v>
      </c>
    </row>
    <row r="1100" spans="1:6">
      <c r="A1100" s="5">
        <v>1810</v>
      </c>
      <c r="B1100" s="5" t="s">
        <v>20</v>
      </c>
      <c r="C1100" s="4">
        <v>131</v>
      </c>
      <c r="D1100" s="101">
        <f t="shared" si="28"/>
        <v>131</v>
      </c>
      <c r="E1100" s="4">
        <v>131</v>
      </c>
      <c r="F1100" s="90">
        <f t="shared" si="27"/>
        <v>2.34375E-2</v>
      </c>
    </row>
    <row r="1101" spans="1:6">
      <c r="A1101" s="5">
        <v>1811</v>
      </c>
      <c r="B1101" s="5" t="s">
        <v>9</v>
      </c>
      <c r="C1101" s="4">
        <v>132</v>
      </c>
      <c r="D1101" s="101">
        <f t="shared" si="28"/>
        <v>131.33333333333334</v>
      </c>
      <c r="F1101" s="90">
        <f t="shared" si="27"/>
        <v>3.125E-2</v>
      </c>
    </row>
    <row r="1102" spans="1:6">
      <c r="A1102" s="5">
        <v>1811</v>
      </c>
      <c r="B1102" s="5" t="s">
        <v>10</v>
      </c>
      <c r="C1102" s="4">
        <v>128</v>
      </c>
      <c r="D1102" s="101">
        <f t="shared" si="28"/>
        <v>131.16666666666666</v>
      </c>
      <c r="F1102" s="90">
        <f t="shared" si="27"/>
        <v>-1.5384615384615385E-2</v>
      </c>
    </row>
    <row r="1103" spans="1:6">
      <c r="A1103" s="5">
        <v>1811</v>
      </c>
      <c r="B1103" s="5" t="s">
        <v>11</v>
      </c>
      <c r="C1103" s="4">
        <v>127</v>
      </c>
      <c r="D1103" s="101">
        <f t="shared" si="28"/>
        <v>131.08333333333334</v>
      </c>
      <c r="F1103" s="90">
        <f t="shared" si="27"/>
        <v>-7.8125E-3</v>
      </c>
    </row>
    <row r="1104" spans="1:6">
      <c r="A1104" s="5">
        <v>1811</v>
      </c>
      <c r="B1104" s="5" t="s">
        <v>12</v>
      </c>
      <c r="C1104" s="4">
        <v>127</v>
      </c>
      <c r="D1104" s="101">
        <f t="shared" si="28"/>
        <v>130.91666666666666</v>
      </c>
      <c r="F1104" s="90">
        <f t="shared" si="27"/>
        <v>-1.5503875968992248E-2</v>
      </c>
    </row>
    <row r="1105" spans="1:6">
      <c r="A1105" s="5">
        <v>1811</v>
      </c>
      <c r="B1105" s="5" t="s">
        <v>13</v>
      </c>
      <c r="C1105" s="4">
        <v>128</v>
      </c>
      <c r="D1105" s="101">
        <f t="shared" si="28"/>
        <v>130.66666666666666</v>
      </c>
      <c r="F1105" s="90">
        <f t="shared" si="27"/>
        <v>-2.2900763358778626E-2</v>
      </c>
    </row>
    <row r="1106" spans="1:6">
      <c r="A1106" s="5">
        <v>1811</v>
      </c>
      <c r="B1106" s="5" t="s">
        <v>14</v>
      </c>
      <c r="C1106" s="4">
        <v>124</v>
      </c>
      <c r="D1106" s="101">
        <f t="shared" si="28"/>
        <v>130.16666666666666</v>
      </c>
      <c r="F1106" s="90">
        <f t="shared" si="27"/>
        <v>-4.6153846153846156E-2</v>
      </c>
    </row>
    <row r="1107" spans="1:6">
      <c r="A1107" s="5">
        <v>1811</v>
      </c>
      <c r="B1107" s="5" t="s">
        <v>15</v>
      </c>
      <c r="C1107" s="4">
        <v>124</v>
      </c>
      <c r="D1107" s="101">
        <f t="shared" si="28"/>
        <v>129.41666666666666</v>
      </c>
      <c r="F1107" s="90">
        <f t="shared" si="27"/>
        <v>-6.7669172932330823E-2</v>
      </c>
    </row>
    <row r="1108" spans="1:6">
      <c r="A1108" s="5">
        <v>1811</v>
      </c>
      <c r="B1108" s="5" t="s">
        <v>16</v>
      </c>
      <c r="C1108" s="4">
        <v>126</v>
      </c>
      <c r="D1108" s="101">
        <f t="shared" si="28"/>
        <v>128.91666666666666</v>
      </c>
      <c r="F1108" s="90">
        <f t="shared" si="27"/>
        <v>-4.5454545454545456E-2</v>
      </c>
    </row>
    <row r="1109" spans="1:6">
      <c r="A1109" s="5">
        <v>1811</v>
      </c>
      <c r="B1109" s="5" t="s">
        <v>17</v>
      </c>
      <c r="C1109" s="4">
        <v>124</v>
      </c>
      <c r="D1109" s="101">
        <f t="shared" si="28"/>
        <v>128.08333333333334</v>
      </c>
      <c r="F1109" s="90">
        <f t="shared" ref="F1109:F1172" si="29">(C1109-C1097)/C1097</f>
        <v>-7.4626865671641784E-2</v>
      </c>
    </row>
    <row r="1110" spans="1:6">
      <c r="A1110" s="5">
        <v>1811</v>
      </c>
      <c r="B1110" s="5" t="s">
        <v>18</v>
      </c>
      <c r="C1110" s="4">
        <v>125</v>
      </c>
      <c r="D1110" s="101">
        <f t="shared" si="28"/>
        <v>127.41666666666667</v>
      </c>
      <c r="F1110" s="90">
        <f t="shared" si="29"/>
        <v>-6.0150375939849621E-2</v>
      </c>
    </row>
    <row r="1111" spans="1:6">
      <c r="A1111" s="5">
        <v>1811</v>
      </c>
      <c r="B1111" s="5" t="s">
        <v>19</v>
      </c>
      <c r="C1111" s="4">
        <v>124</v>
      </c>
      <c r="D1111" s="101">
        <f t="shared" si="28"/>
        <v>126.66666666666667</v>
      </c>
      <c r="F1111" s="90">
        <f t="shared" si="29"/>
        <v>-6.7669172932330823E-2</v>
      </c>
    </row>
    <row r="1112" spans="1:6">
      <c r="A1112" s="5">
        <v>1811</v>
      </c>
      <c r="B1112" s="5" t="s">
        <v>20</v>
      </c>
      <c r="C1112" s="4">
        <v>122</v>
      </c>
      <c r="D1112" s="101">
        <f t="shared" si="28"/>
        <v>125.91666666666667</v>
      </c>
      <c r="E1112" s="4">
        <v>126</v>
      </c>
      <c r="F1112" s="90">
        <f t="shared" si="29"/>
        <v>-6.8702290076335881E-2</v>
      </c>
    </row>
    <row r="1113" spans="1:6">
      <c r="A1113" s="5">
        <v>1812</v>
      </c>
      <c r="B1113" s="5" t="s">
        <v>9</v>
      </c>
      <c r="C1113" s="4">
        <v>127</v>
      </c>
      <c r="D1113" s="101">
        <f t="shared" si="28"/>
        <v>125.5</v>
      </c>
      <c r="F1113" s="90">
        <f t="shared" si="29"/>
        <v>-3.787878787878788E-2</v>
      </c>
    </row>
    <row r="1114" spans="1:6">
      <c r="A1114" s="5">
        <v>1812</v>
      </c>
      <c r="B1114" s="5" t="s">
        <v>10</v>
      </c>
      <c r="C1114" s="4">
        <v>129</v>
      </c>
      <c r="D1114" s="101">
        <f t="shared" si="28"/>
        <v>125.58333333333333</v>
      </c>
      <c r="F1114" s="90">
        <f t="shared" si="29"/>
        <v>7.8125E-3</v>
      </c>
    </row>
    <row r="1115" spans="1:6">
      <c r="A1115" s="5">
        <v>1812</v>
      </c>
      <c r="B1115" s="5" t="s">
        <v>11</v>
      </c>
      <c r="C1115" s="4">
        <v>128</v>
      </c>
      <c r="D1115" s="101">
        <f t="shared" si="28"/>
        <v>125.66666666666667</v>
      </c>
      <c r="F1115" s="90">
        <f t="shared" si="29"/>
        <v>7.874015748031496E-3</v>
      </c>
    </row>
    <row r="1116" spans="1:6">
      <c r="A1116" s="5">
        <v>1812</v>
      </c>
      <c r="B1116" s="5" t="s">
        <v>12</v>
      </c>
      <c r="C1116" s="4">
        <v>126</v>
      </c>
      <c r="D1116" s="101">
        <f t="shared" si="28"/>
        <v>125.58333333333333</v>
      </c>
      <c r="F1116" s="90">
        <f t="shared" si="29"/>
        <v>-7.874015748031496E-3</v>
      </c>
    </row>
    <row r="1117" spans="1:6">
      <c r="A1117" s="5">
        <v>1812</v>
      </c>
      <c r="B1117" s="5" t="s">
        <v>13</v>
      </c>
      <c r="C1117" s="4">
        <v>122</v>
      </c>
      <c r="D1117" s="101">
        <f t="shared" si="28"/>
        <v>125.08333333333333</v>
      </c>
      <c r="F1117" s="90">
        <f t="shared" si="29"/>
        <v>-4.6875E-2</v>
      </c>
    </row>
    <row r="1118" spans="1:6">
      <c r="A1118" s="5">
        <v>1812</v>
      </c>
      <c r="B1118" s="5" t="s">
        <v>14</v>
      </c>
      <c r="C1118" s="4">
        <v>125</v>
      </c>
      <c r="D1118" s="101">
        <f t="shared" si="28"/>
        <v>125.16666666666667</v>
      </c>
      <c r="F1118" s="90">
        <f t="shared" si="29"/>
        <v>8.0645161290322578E-3</v>
      </c>
    </row>
    <row r="1119" spans="1:6">
      <c r="A1119" s="5">
        <v>1812</v>
      </c>
      <c r="B1119" s="5" t="s">
        <v>15</v>
      </c>
      <c r="C1119" s="4">
        <v>128</v>
      </c>
      <c r="D1119" s="101">
        <f t="shared" si="28"/>
        <v>125.5</v>
      </c>
      <c r="F1119" s="90">
        <f t="shared" si="29"/>
        <v>3.2258064516129031E-2</v>
      </c>
    </row>
    <row r="1120" spans="1:6">
      <c r="A1120" s="5">
        <v>1812</v>
      </c>
      <c r="B1120" s="5" t="s">
        <v>16</v>
      </c>
      <c r="C1120" s="4">
        <v>133</v>
      </c>
      <c r="D1120" s="101">
        <f t="shared" si="28"/>
        <v>126.08333333333333</v>
      </c>
      <c r="F1120" s="90">
        <f t="shared" si="29"/>
        <v>5.5555555555555552E-2</v>
      </c>
    </row>
    <row r="1121" spans="1:6">
      <c r="A1121" s="5">
        <v>1812</v>
      </c>
      <c r="B1121" s="5" t="s">
        <v>17</v>
      </c>
      <c r="C1121" s="4">
        <v>135</v>
      </c>
      <c r="D1121" s="101">
        <f t="shared" si="28"/>
        <v>127</v>
      </c>
      <c r="F1121" s="90">
        <f t="shared" si="29"/>
        <v>8.8709677419354843E-2</v>
      </c>
    </row>
    <row r="1122" spans="1:6">
      <c r="A1122" s="5">
        <v>1812</v>
      </c>
      <c r="B1122" s="5" t="s">
        <v>18</v>
      </c>
      <c r="C1122" s="4">
        <v>137</v>
      </c>
      <c r="D1122" s="101">
        <f t="shared" si="28"/>
        <v>128</v>
      </c>
      <c r="F1122" s="90">
        <f t="shared" si="29"/>
        <v>9.6000000000000002E-2</v>
      </c>
    </row>
    <row r="1123" spans="1:6">
      <c r="A1123" s="5">
        <v>1812</v>
      </c>
      <c r="B1123" s="5" t="s">
        <v>19</v>
      </c>
      <c r="C1123" s="4">
        <v>142</v>
      </c>
      <c r="D1123" s="101">
        <f t="shared" si="28"/>
        <v>129.5</v>
      </c>
      <c r="F1123" s="90">
        <f t="shared" si="29"/>
        <v>0.14516129032258066</v>
      </c>
    </row>
    <row r="1124" spans="1:6">
      <c r="A1124" s="5">
        <v>1812</v>
      </c>
      <c r="B1124" s="5" t="s">
        <v>20</v>
      </c>
      <c r="C1124" s="4">
        <v>144</v>
      </c>
      <c r="D1124" s="101">
        <f t="shared" si="28"/>
        <v>131.33333333333334</v>
      </c>
      <c r="E1124" s="4">
        <v>131</v>
      </c>
      <c r="F1124" s="90">
        <f t="shared" si="29"/>
        <v>0.18032786885245902</v>
      </c>
    </row>
    <row r="1125" spans="1:6">
      <c r="A1125" s="5">
        <v>1813</v>
      </c>
      <c r="B1125" s="5" t="s">
        <v>9</v>
      </c>
      <c r="C1125" s="4">
        <v>150</v>
      </c>
      <c r="D1125" s="101">
        <f t="shared" si="28"/>
        <v>133.25</v>
      </c>
      <c r="F1125" s="90">
        <f t="shared" si="29"/>
        <v>0.18110236220472442</v>
      </c>
    </row>
    <row r="1126" spans="1:6">
      <c r="A1126" s="5">
        <v>1813</v>
      </c>
      <c r="B1126" s="5" t="s">
        <v>10</v>
      </c>
      <c r="C1126" s="4">
        <v>152</v>
      </c>
      <c r="D1126" s="101">
        <f t="shared" si="28"/>
        <v>135.16666666666666</v>
      </c>
      <c r="F1126" s="90">
        <f t="shared" si="29"/>
        <v>0.17829457364341086</v>
      </c>
    </row>
    <row r="1127" spans="1:6">
      <c r="A1127" s="5">
        <v>1813</v>
      </c>
      <c r="B1127" s="5" t="s">
        <v>11</v>
      </c>
      <c r="C1127" s="4">
        <v>153</v>
      </c>
      <c r="D1127" s="101">
        <f t="shared" si="28"/>
        <v>137.25</v>
      </c>
      <c r="F1127" s="90">
        <f t="shared" si="29"/>
        <v>0.1953125</v>
      </c>
    </row>
    <row r="1128" spans="1:6">
      <c r="A1128" s="5">
        <v>1813</v>
      </c>
      <c r="B1128" s="5" t="s">
        <v>12</v>
      </c>
      <c r="C1128" s="4">
        <v>157</v>
      </c>
      <c r="D1128" s="101">
        <f t="shared" si="28"/>
        <v>139.83333333333334</v>
      </c>
      <c r="F1128" s="90">
        <f t="shared" si="29"/>
        <v>0.24603174603174602</v>
      </c>
    </row>
    <row r="1129" spans="1:6">
      <c r="A1129" s="5">
        <v>1813</v>
      </c>
      <c r="B1129" s="5" t="s">
        <v>13</v>
      </c>
      <c r="C1129" s="4">
        <v>160</v>
      </c>
      <c r="D1129" s="101">
        <f t="shared" si="28"/>
        <v>143</v>
      </c>
      <c r="F1129" s="90">
        <f t="shared" si="29"/>
        <v>0.31147540983606559</v>
      </c>
    </row>
    <row r="1130" spans="1:6">
      <c r="A1130" s="5">
        <v>1813</v>
      </c>
      <c r="B1130" s="5" t="s">
        <v>14</v>
      </c>
      <c r="C1130" s="4">
        <v>158</v>
      </c>
      <c r="D1130" s="101">
        <f t="shared" si="28"/>
        <v>145.75</v>
      </c>
      <c r="F1130" s="90">
        <f t="shared" si="29"/>
        <v>0.26400000000000001</v>
      </c>
    </row>
    <row r="1131" spans="1:6">
      <c r="A1131" s="5">
        <v>1813</v>
      </c>
      <c r="B1131" s="5" t="s">
        <v>15</v>
      </c>
      <c r="C1131" s="4">
        <v>159</v>
      </c>
      <c r="D1131" s="101">
        <f t="shared" si="28"/>
        <v>148.33333333333334</v>
      </c>
      <c r="F1131" s="90">
        <f t="shared" si="29"/>
        <v>0.2421875</v>
      </c>
    </row>
    <row r="1132" spans="1:6">
      <c r="A1132" s="5">
        <v>1813</v>
      </c>
      <c r="B1132" s="5" t="s">
        <v>16</v>
      </c>
      <c r="C1132" s="4">
        <v>161</v>
      </c>
      <c r="D1132" s="101">
        <f t="shared" si="28"/>
        <v>150.66666666666666</v>
      </c>
      <c r="F1132" s="90">
        <f t="shared" si="29"/>
        <v>0.21052631578947367</v>
      </c>
    </row>
    <row r="1133" spans="1:6">
      <c r="A1133" s="5">
        <v>1813</v>
      </c>
      <c r="B1133" s="5" t="s">
        <v>17</v>
      </c>
      <c r="C1133" s="4">
        <v>164</v>
      </c>
      <c r="D1133" s="101">
        <f t="shared" si="28"/>
        <v>153.08333333333334</v>
      </c>
      <c r="F1133" s="90">
        <f t="shared" si="29"/>
        <v>0.21481481481481482</v>
      </c>
    </row>
    <row r="1134" spans="1:6">
      <c r="A1134" s="5">
        <v>1813</v>
      </c>
      <c r="B1134" s="5" t="s">
        <v>18</v>
      </c>
      <c r="C1134" s="4">
        <v>171</v>
      </c>
      <c r="D1134" s="101">
        <f t="shared" si="28"/>
        <v>155.91666666666666</v>
      </c>
      <c r="F1134" s="90">
        <f t="shared" si="29"/>
        <v>0.24817518248175183</v>
      </c>
    </row>
    <row r="1135" spans="1:6">
      <c r="A1135" s="5">
        <v>1813</v>
      </c>
      <c r="B1135" s="5" t="s">
        <v>19</v>
      </c>
      <c r="C1135" s="4">
        <v>178</v>
      </c>
      <c r="D1135" s="101">
        <f t="shared" si="28"/>
        <v>158.91666666666666</v>
      </c>
      <c r="F1135" s="90">
        <f t="shared" si="29"/>
        <v>0.25352112676056338</v>
      </c>
    </row>
    <row r="1136" spans="1:6">
      <c r="A1136" s="5">
        <v>1813</v>
      </c>
      <c r="B1136" s="5" t="s">
        <v>20</v>
      </c>
      <c r="C1136" s="4">
        <v>186</v>
      </c>
      <c r="D1136" s="101">
        <f t="shared" si="28"/>
        <v>162.41666666666666</v>
      </c>
      <c r="E1136" s="4">
        <v>162</v>
      </c>
      <c r="F1136" s="90">
        <f t="shared" si="29"/>
        <v>0.29166666666666669</v>
      </c>
    </row>
    <row r="1137" spans="1:6">
      <c r="A1137" s="5">
        <v>1814</v>
      </c>
      <c r="B1137" s="5" t="s">
        <v>9</v>
      </c>
      <c r="C1137" s="4">
        <v>186</v>
      </c>
      <c r="D1137" s="101">
        <f t="shared" ref="D1137:D1200" si="30">AVERAGE(C1126:C1137)</f>
        <v>165.41666666666666</v>
      </c>
      <c r="F1137" s="90">
        <f t="shared" si="29"/>
        <v>0.24</v>
      </c>
    </row>
    <row r="1138" spans="1:6">
      <c r="A1138" s="5">
        <v>1814</v>
      </c>
      <c r="B1138" s="5" t="s">
        <v>10</v>
      </c>
      <c r="C1138" s="4">
        <v>184</v>
      </c>
      <c r="D1138" s="101">
        <f t="shared" si="30"/>
        <v>168.08333333333334</v>
      </c>
      <c r="F1138" s="90">
        <f t="shared" si="29"/>
        <v>0.21052631578947367</v>
      </c>
    </row>
    <row r="1139" spans="1:6">
      <c r="A1139" s="5">
        <v>1814</v>
      </c>
      <c r="B1139" s="5" t="s">
        <v>11</v>
      </c>
      <c r="C1139" s="4">
        <v>182</v>
      </c>
      <c r="D1139" s="101">
        <f t="shared" si="30"/>
        <v>170.5</v>
      </c>
      <c r="F1139" s="90">
        <f t="shared" si="29"/>
        <v>0.18954248366013071</v>
      </c>
    </row>
    <row r="1140" spans="1:6">
      <c r="A1140" s="5">
        <v>1814</v>
      </c>
      <c r="B1140" s="5" t="s">
        <v>12</v>
      </c>
      <c r="C1140" s="4">
        <v>182</v>
      </c>
      <c r="D1140" s="101">
        <f t="shared" si="30"/>
        <v>172.58333333333334</v>
      </c>
      <c r="F1140" s="90">
        <f t="shared" si="29"/>
        <v>0.15923566878980891</v>
      </c>
    </row>
    <row r="1141" spans="1:6">
      <c r="A1141" s="5">
        <v>1814</v>
      </c>
      <c r="B1141" s="5" t="s">
        <v>13</v>
      </c>
      <c r="C1141" s="4">
        <v>179</v>
      </c>
      <c r="D1141" s="101">
        <f t="shared" si="30"/>
        <v>174.16666666666666</v>
      </c>
      <c r="F1141" s="90">
        <f t="shared" si="29"/>
        <v>0.11874999999999999</v>
      </c>
    </row>
    <row r="1142" spans="1:6">
      <c r="A1142" s="5">
        <v>1814</v>
      </c>
      <c r="B1142" s="5" t="s">
        <v>14</v>
      </c>
      <c r="C1142" s="4">
        <v>179</v>
      </c>
      <c r="D1142" s="101">
        <f t="shared" si="30"/>
        <v>175.91666666666666</v>
      </c>
      <c r="F1142" s="90">
        <f t="shared" si="29"/>
        <v>0.13291139240506328</v>
      </c>
    </row>
    <row r="1143" spans="1:6">
      <c r="A1143" s="5">
        <v>1814</v>
      </c>
      <c r="B1143" s="5" t="s">
        <v>15</v>
      </c>
      <c r="C1143" s="4">
        <v>178</v>
      </c>
      <c r="D1143" s="101">
        <f t="shared" si="30"/>
        <v>177.5</v>
      </c>
      <c r="F1143" s="90">
        <f t="shared" si="29"/>
        <v>0.11949685534591195</v>
      </c>
    </row>
    <row r="1144" spans="1:6">
      <c r="A1144" s="5">
        <v>1814</v>
      </c>
      <c r="B1144" s="5" t="s">
        <v>16</v>
      </c>
      <c r="C1144" s="4">
        <v>177</v>
      </c>
      <c r="D1144" s="101">
        <f t="shared" si="30"/>
        <v>178.83333333333334</v>
      </c>
      <c r="F1144" s="90">
        <f t="shared" si="29"/>
        <v>9.9378881987577633E-2</v>
      </c>
    </row>
    <row r="1145" spans="1:6">
      <c r="A1145" s="5">
        <v>1814</v>
      </c>
      <c r="B1145" s="5" t="s">
        <v>17</v>
      </c>
      <c r="C1145" s="4">
        <v>177</v>
      </c>
      <c r="D1145" s="101">
        <f t="shared" si="30"/>
        <v>179.91666666666666</v>
      </c>
      <c r="F1145" s="90">
        <f t="shared" si="29"/>
        <v>7.926829268292683E-2</v>
      </c>
    </row>
    <row r="1146" spans="1:6">
      <c r="A1146" s="5">
        <v>1814</v>
      </c>
      <c r="B1146" s="5" t="s">
        <v>18</v>
      </c>
      <c r="C1146" s="4">
        <v>183</v>
      </c>
      <c r="D1146" s="101">
        <f t="shared" si="30"/>
        <v>180.91666666666666</v>
      </c>
      <c r="F1146" s="90">
        <f t="shared" si="29"/>
        <v>7.0175438596491224E-2</v>
      </c>
    </row>
    <row r="1147" spans="1:6">
      <c r="A1147" s="5">
        <v>1814</v>
      </c>
      <c r="B1147" s="5" t="s">
        <v>19</v>
      </c>
      <c r="C1147" s="4">
        <v>187</v>
      </c>
      <c r="D1147" s="101">
        <f t="shared" si="30"/>
        <v>181.66666666666666</v>
      </c>
      <c r="F1147" s="90">
        <f t="shared" si="29"/>
        <v>5.0561797752808987E-2</v>
      </c>
    </row>
    <row r="1148" spans="1:6">
      <c r="A1148" s="5">
        <v>1814</v>
      </c>
      <c r="B1148" s="5" t="s">
        <v>20</v>
      </c>
      <c r="C1148" s="4">
        <v>193</v>
      </c>
      <c r="D1148" s="101">
        <f t="shared" si="30"/>
        <v>182.25</v>
      </c>
      <c r="E1148" s="4">
        <v>182</v>
      </c>
      <c r="F1148" s="90">
        <f t="shared" si="29"/>
        <v>3.7634408602150539E-2</v>
      </c>
    </row>
    <row r="1149" spans="1:6">
      <c r="A1149" s="5">
        <v>1815</v>
      </c>
      <c r="B1149" s="5" t="s">
        <v>9</v>
      </c>
      <c r="C1149" s="4">
        <v>193</v>
      </c>
      <c r="D1149" s="101">
        <f t="shared" si="30"/>
        <v>182.83333333333334</v>
      </c>
      <c r="F1149" s="90">
        <f t="shared" si="29"/>
        <v>3.7634408602150539E-2</v>
      </c>
    </row>
    <row r="1150" spans="1:6">
      <c r="A1150" s="5">
        <v>1815</v>
      </c>
      <c r="B1150" s="5" t="s">
        <v>10</v>
      </c>
      <c r="C1150" s="4">
        <v>185</v>
      </c>
      <c r="D1150" s="101">
        <f t="shared" si="30"/>
        <v>182.91666666666666</v>
      </c>
      <c r="F1150" s="90">
        <f t="shared" si="29"/>
        <v>5.434782608695652E-3</v>
      </c>
    </row>
    <row r="1151" spans="1:6">
      <c r="A1151" s="5">
        <v>1815</v>
      </c>
      <c r="B1151" s="5" t="s">
        <v>11</v>
      </c>
      <c r="C1151" s="4">
        <v>176</v>
      </c>
      <c r="D1151" s="101">
        <f t="shared" si="30"/>
        <v>182.41666666666666</v>
      </c>
      <c r="F1151" s="90">
        <f t="shared" si="29"/>
        <v>-3.2967032967032968E-2</v>
      </c>
    </row>
    <row r="1152" spans="1:6">
      <c r="A1152" s="5">
        <v>1815</v>
      </c>
      <c r="B1152" s="5" t="s">
        <v>12</v>
      </c>
      <c r="C1152" s="4">
        <v>166</v>
      </c>
      <c r="D1152" s="101">
        <f t="shared" si="30"/>
        <v>181.08333333333334</v>
      </c>
      <c r="F1152" s="90">
        <f t="shared" si="29"/>
        <v>-8.7912087912087919E-2</v>
      </c>
    </row>
    <row r="1153" spans="1:6">
      <c r="A1153" s="5">
        <v>1815</v>
      </c>
      <c r="B1153" s="5" t="s">
        <v>13</v>
      </c>
      <c r="C1153" s="4">
        <v>164</v>
      </c>
      <c r="D1153" s="101">
        <f t="shared" si="30"/>
        <v>179.83333333333334</v>
      </c>
      <c r="F1153" s="90">
        <f t="shared" si="29"/>
        <v>-8.3798882681564241E-2</v>
      </c>
    </row>
    <row r="1154" spans="1:6">
      <c r="A1154" s="5">
        <v>1815</v>
      </c>
      <c r="B1154" s="5" t="s">
        <v>14</v>
      </c>
      <c r="C1154" s="4">
        <v>165</v>
      </c>
      <c r="D1154" s="101">
        <f t="shared" si="30"/>
        <v>178.66666666666666</v>
      </c>
      <c r="F1154" s="90">
        <f t="shared" si="29"/>
        <v>-7.8212290502793297E-2</v>
      </c>
    </row>
    <row r="1155" spans="1:6">
      <c r="A1155" s="5">
        <v>1815</v>
      </c>
      <c r="B1155" s="5" t="s">
        <v>15</v>
      </c>
      <c r="C1155" s="4">
        <v>163</v>
      </c>
      <c r="D1155" s="101">
        <f t="shared" si="30"/>
        <v>177.41666666666666</v>
      </c>
      <c r="F1155" s="90">
        <f t="shared" si="29"/>
        <v>-8.4269662921348312E-2</v>
      </c>
    </row>
    <row r="1156" spans="1:6">
      <c r="A1156" s="5">
        <v>1815</v>
      </c>
      <c r="B1156" s="5" t="s">
        <v>16</v>
      </c>
      <c r="C1156" s="4">
        <v>165</v>
      </c>
      <c r="D1156" s="101">
        <f t="shared" si="30"/>
        <v>176.41666666666666</v>
      </c>
      <c r="F1156" s="90">
        <f t="shared" si="29"/>
        <v>-6.7796610169491525E-2</v>
      </c>
    </row>
    <row r="1157" spans="1:6">
      <c r="A1157" s="5">
        <v>1815</v>
      </c>
      <c r="B1157" s="5" t="s">
        <v>17</v>
      </c>
      <c r="C1157" s="4">
        <v>166</v>
      </c>
      <c r="D1157" s="101">
        <f t="shared" si="30"/>
        <v>175.5</v>
      </c>
      <c r="F1157" s="90">
        <f t="shared" si="29"/>
        <v>-6.2146892655367235E-2</v>
      </c>
    </row>
    <row r="1158" spans="1:6">
      <c r="A1158" s="5">
        <v>1815</v>
      </c>
      <c r="B1158" s="5" t="s">
        <v>18</v>
      </c>
      <c r="C1158" s="4">
        <v>166</v>
      </c>
      <c r="D1158" s="101">
        <f t="shared" si="30"/>
        <v>174.08333333333334</v>
      </c>
      <c r="F1158" s="90">
        <f t="shared" si="29"/>
        <v>-9.2896174863387984E-2</v>
      </c>
    </row>
    <row r="1159" spans="1:6">
      <c r="A1159" s="5">
        <v>1815</v>
      </c>
      <c r="B1159" s="5" t="s">
        <v>19</v>
      </c>
      <c r="C1159" s="4">
        <v>168</v>
      </c>
      <c r="D1159" s="101">
        <f t="shared" si="30"/>
        <v>172.5</v>
      </c>
      <c r="F1159" s="90">
        <f t="shared" si="29"/>
        <v>-0.10160427807486631</v>
      </c>
    </row>
    <row r="1160" spans="1:6">
      <c r="A1160" s="5">
        <v>1815</v>
      </c>
      <c r="B1160" s="5" t="s">
        <v>20</v>
      </c>
      <c r="C1160" s="4">
        <v>163</v>
      </c>
      <c r="D1160" s="101">
        <f t="shared" si="30"/>
        <v>170</v>
      </c>
      <c r="E1160" s="4">
        <v>170</v>
      </c>
      <c r="F1160" s="90">
        <f t="shared" si="29"/>
        <v>-0.15544041450777202</v>
      </c>
    </row>
    <row r="1161" spans="1:6">
      <c r="A1161" s="5">
        <v>1816</v>
      </c>
      <c r="B1161" s="5" t="s">
        <v>9</v>
      </c>
      <c r="C1161" s="4">
        <v>160</v>
      </c>
      <c r="D1161" s="101">
        <f t="shared" si="30"/>
        <v>167.25</v>
      </c>
      <c r="F1161" s="90">
        <f t="shared" si="29"/>
        <v>-0.17098445595854922</v>
      </c>
    </row>
    <row r="1162" spans="1:6">
      <c r="A1162" s="5">
        <v>1816</v>
      </c>
      <c r="B1162" s="5" t="s">
        <v>10</v>
      </c>
      <c r="C1162" s="4">
        <v>160</v>
      </c>
      <c r="D1162" s="101">
        <f t="shared" si="30"/>
        <v>165.16666666666666</v>
      </c>
      <c r="F1162" s="90">
        <f t="shared" si="29"/>
        <v>-0.13513513513513514</v>
      </c>
    </row>
    <row r="1163" spans="1:6">
      <c r="A1163" s="5">
        <v>1816</v>
      </c>
      <c r="B1163" s="5" t="s">
        <v>11</v>
      </c>
      <c r="C1163" s="4">
        <v>158</v>
      </c>
      <c r="D1163" s="101">
        <f t="shared" si="30"/>
        <v>163.66666666666666</v>
      </c>
      <c r="F1163" s="90">
        <f t="shared" si="29"/>
        <v>-0.10227272727272728</v>
      </c>
    </row>
    <row r="1164" spans="1:6">
      <c r="A1164" s="5">
        <v>1816</v>
      </c>
      <c r="B1164" s="5" t="s">
        <v>12</v>
      </c>
      <c r="C1164" s="4">
        <v>151</v>
      </c>
      <c r="D1164" s="101">
        <f t="shared" si="30"/>
        <v>162.41666666666666</v>
      </c>
      <c r="F1164" s="90">
        <f t="shared" si="29"/>
        <v>-9.036144578313253E-2</v>
      </c>
    </row>
    <row r="1165" spans="1:6">
      <c r="A1165" s="5">
        <v>1816</v>
      </c>
      <c r="B1165" s="5" t="s">
        <v>13</v>
      </c>
      <c r="C1165" s="4">
        <v>150</v>
      </c>
      <c r="D1165" s="101">
        <f t="shared" si="30"/>
        <v>161.25</v>
      </c>
      <c r="F1165" s="90">
        <f t="shared" si="29"/>
        <v>-8.5365853658536592E-2</v>
      </c>
    </row>
    <row r="1166" spans="1:6">
      <c r="A1166" s="5">
        <v>1816</v>
      </c>
      <c r="B1166" s="5" t="s">
        <v>14</v>
      </c>
      <c r="C1166" s="4">
        <v>150</v>
      </c>
      <c r="D1166" s="101">
        <f t="shared" si="30"/>
        <v>160</v>
      </c>
      <c r="F1166" s="90">
        <f t="shared" si="29"/>
        <v>-9.0909090909090912E-2</v>
      </c>
    </row>
    <row r="1167" spans="1:6">
      <c r="A1167" s="5">
        <v>1816</v>
      </c>
      <c r="B1167" s="5" t="s">
        <v>15</v>
      </c>
      <c r="C1167" s="4">
        <v>150</v>
      </c>
      <c r="D1167" s="101">
        <f t="shared" si="30"/>
        <v>158.91666666666666</v>
      </c>
      <c r="F1167" s="90">
        <f t="shared" si="29"/>
        <v>-7.9754601226993863E-2</v>
      </c>
    </row>
    <row r="1168" spans="1:6">
      <c r="A1168" s="5">
        <v>1816</v>
      </c>
      <c r="B1168" s="5" t="s">
        <v>16</v>
      </c>
      <c r="C1168" s="4">
        <v>149</v>
      </c>
      <c r="D1168" s="101">
        <f t="shared" si="30"/>
        <v>157.58333333333334</v>
      </c>
      <c r="F1168" s="90">
        <f t="shared" si="29"/>
        <v>-9.696969696969697E-2</v>
      </c>
    </row>
    <row r="1169" spans="1:6">
      <c r="A1169" s="5">
        <v>1816</v>
      </c>
      <c r="B1169" s="5" t="s">
        <v>17</v>
      </c>
      <c r="C1169" s="4">
        <v>148</v>
      </c>
      <c r="D1169" s="101">
        <f t="shared" si="30"/>
        <v>156.08333333333334</v>
      </c>
      <c r="F1169" s="90">
        <f t="shared" si="29"/>
        <v>-0.10843373493975904</v>
      </c>
    </row>
    <row r="1170" spans="1:6">
      <c r="A1170" s="5">
        <v>1816</v>
      </c>
      <c r="B1170" s="5" t="s">
        <v>18</v>
      </c>
      <c r="C1170" s="4">
        <v>144</v>
      </c>
      <c r="D1170" s="101">
        <f t="shared" si="30"/>
        <v>154.25</v>
      </c>
      <c r="F1170" s="90">
        <f t="shared" si="29"/>
        <v>-0.13253012048192772</v>
      </c>
    </row>
    <row r="1171" spans="1:6">
      <c r="A1171" s="5">
        <v>1816</v>
      </c>
      <c r="B1171" s="5" t="s">
        <v>19</v>
      </c>
      <c r="C1171" s="4">
        <v>145</v>
      </c>
      <c r="D1171" s="101">
        <f t="shared" si="30"/>
        <v>152.33333333333334</v>
      </c>
      <c r="F1171" s="90">
        <f t="shared" si="29"/>
        <v>-0.13690476190476192</v>
      </c>
    </row>
    <row r="1172" spans="1:6">
      <c r="A1172" s="5">
        <v>1816</v>
      </c>
      <c r="B1172" s="5" t="s">
        <v>20</v>
      </c>
      <c r="C1172" s="4">
        <v>149</v>
      </c>
      <c r="D1172" s="101">
        <f t="shared" si="30"/>
        <v>151.16666666666666</v>
      </c>
      <c r="E1172" s="4">
        <v>151</v>
      </c>
      <c r="F1172" s="90">
        <f t="shared" si="29"/>
        <v>-8.5889570552147243E-2</v>
      </c>
    </row>
    <row r="1173" spans="1:6">
      <c r="A1173" s="5">
        <v>1817</v>
      </c>
      <c r="B1173" s="5" t="s">
        <v>9</v>
      </c>
      <c r="C1173" s="4">
        <v>152</v>
      </c>
      <c r="D1173" s="101">
        <f t="shared" si="30"/>
        <v>150.5</v>
      </c>
      <c r="F1173" s="90">
        <f t="shared" ref="F1173:F1236" si="31">(C1173-C1161)/C1161</f>
        <v>-0.05</v>
      </c>
    </row>
    <row r="1174" spans="1:6">
      <c r="A1174" s="5">
        <v>1817</v>
      </c>
      <c r="B1174" s="5" t="s">
        <v>10</v>
      </c>
      <c r="C1174" s="4">
        <v>155</v>
      </c>
      <c r="D1174" s="101">
        <f t="shared" si="30"/>
        <v>150.08333333333334</v>
      </c>
      <c r="F1174" s="90">
        <f t="shared" si="31"/>
        <v>-3.125E-2</v>
      </c>
    </row>
    <row r="1175" spans="1:6">
      <c r="A1175" s="5">
        <v>1817</v>
      </c>
      <c r="B1175" s="5" t="s">
        <v>11</v>
      </c>
      <c r="C1175" s="4">
        <v>156</v>
      </c>
      <c r="D1175" s="101">
        <f t="shared" si="30"/>
        <v>149.91666666666666</v>
      </c>
      <c r="F1175" s="90">
        <f t="shared" si="31"/>
        <v>-1.2658227848101266E-2</v>
      </c>
    </row>
    <row r="1176" spans="1:6">
      <c r="A1176" s="5">
        <v>1817</v>
      </c>
      <c r="B1176" s="5" t="s">
        <v>12</v>
      </c>
      <c r="C1176" s="4">
        <v>156</v>
      </c>
      <c r="D1176" s="101">
        <f t="shared" si="30"/>
        <v>150.33333333333334</v>
      </c>
      <c r="F1176" s="90">
        <f t="shared" si="31"/>
        <v>3.3112582781456956E-2</v>
      </c>
    </row>
    <row r="1177" spans="1:6">
      <c r="A1177" s="5">
        <v>1817</v>
      </c>
      <c r="B1177" s="5" t="s">
        <v>13</v>
      </c>
      <c r="C1177" s="4">
        <v>157</v>
      </c>
      <c r="D1177" s="101">
        <f t="shared" si="30"/>
        <v>150.91666666666666</v>
      </c>
      <c r="F1177" s="90">
        <f t="shared" si="31"/>
        <v>4.6666666666666669E-2</v>
      </c>
    </row>
    <row r="1178" spans="1:6">
      <c r="A1178" s="5">
        <v>1817</v>
      </c>
      <c r="B1178" s="5" t="s">
        <v>14</v>
      </c>
      <c r="C1178" s="4">
        <v>154</v>
      </c>
      <c r="D1178" s="101">
        <f t="shared" si="30"/>
        <v>151.25</v>
      </c>
      <c r="F1178" s="90">
        <f t="shared" si="31"/>
        <v>2.6666666666666668E-2</v>
      </c>
    </row>
    <row r="1179" spans="1:6">
      <c r="A1179" s="5">
        <v>1817</v>
      </c>
      <c r="B1179" s="5" t="s">
        <v>15</v>
      </c>
      <c r="C1179" s="4">
        <v>149</v>
      </c>
      <c r="D1179" s="101">
        <f t="shared" si="30"/>
        <v>151.16666666666666</v>
      </c>
      <c r="F1179" s="90">
        <f t="shared" si="31"/>
        <v>-6.6666666666666671E-3</v>
      </c>
    </row>
    <row r="1180" spans="1:6">
      <c r="A1180" s="5">
        <v>1817</v>
      </c>
      <c r="B1180" s="5" t="s">
        <v>16</v>
      </c>
      <c r="C1180" s="4">
        <v>153</v>
      </c>
      <c r="D1180" s="101">
        <f t="shared" si="30"/>
        <v>151.5</v>
      </c>
      <c r="F1180" s="90">
        <f t="shared" si="31"/>
        <v>2.6845637583892617E-2</v>
      </c>
    </row>
    <row r="1181" spans="1:6">
      <c r="A1181" s="5">
        <v>1817</v>
      </c>
      <c r="B1181" s="5" t="s">
        <v>17</v>
      </c>
      <c r="C1181" s="4">
        <v>147</v>
      </c>
      <c r="D1181" s="101">
        <f t="shared" si="30"/>
        <v>151.41666666666666</v>
      </c>
      <c r="F1181" s="90">
        <f t="shared" si="31"/>
        <v>-6.7567567567567571E-3</v>
      </c>
    </row>
    <row r="1182" spans="1:6">
      <c r="A1182" s="5">
        <v>1817</v>
      </c>
      <c r="B1182" s="5" t="s">
        <v>18</v>
      </c>
      <c r="C1182" s="4">
        <v>145</v>
      </c>
      <c r="D1182" s="101">
        <f t="shared" si="30"/>
        <v>151.5</v>
      </c>
      <c r="F1182" s="90">
        <f t="shared" si="31"/>
        <v>6.9444444444444441E-3</v>
      </c>
    </row>
    <row r="1183" spans="1:6">
      <c r="A1183" s="5">
        <v>1817</v>
      </c>
      <c r="B1183" s="5" t="s">
        <v>19</v>
      </c>
      <c r="C1183" s="4">
        <v>144</v>
      </c>
      <c r="D1183" s="101">
        <f t="shared" si="30"/>
        <v>151.41666666666666</v>
      </c>
      <c r="F1183" s="90">
        <f t="shared" si="31"/>
        <v>-6.8965517241379309E-3</v>
      </c>
    </row>
    <row r="1184" spans="1:6">
      <c r="A1184" s="5">
        <v>1817</v>
      </c>
      <c r="B1184" s="5" t="s">
        <v>20</v>
      </c>
      <c r="C1184" s="4">
        <v>146</v>
      </c>
      <c r="D1184" s="101">
        <f t="shared" si="30"/>
        <v>151.16666666666666</v>
      </c>
      <c r="E1184" s="4">
        <v>151</v>
      </c>
      <c r="F1184" s="90">
        <f t="shared" si="31"/>
        <v>-2.0134228187919462E-2</v>
      </c>
    </row>
    <row r="1185" spans="1:6">
      <c r="A1185" s="5">
        <v>1818</v>
      </c>
      <c r="B1185" s="5" t="s">
        <v>9</v>
      </c>
      <c r="C1185" s="4">
        <v>149</v>
      </c>
      <c r="D1185" s="101">
        <f t="shared" si="30"/>
        <v>150.91666666666666</v>
      </c>
      <c r="F1185" s="90">
        <f t="shared" si="31"/>
        <v>-1.9736842105263157E-2</v>
      </c>
    </row>
    <row r="1186" spans="1:6">
      <c r="A1186" s="5">
        <v>1818</v>
      </c>
      <c r="B1186" s="5" t="s">
        <v>10</v>
      </c>
      <c r="C1186" s="4">
        <v>151</v>
      </c>
      <c r="D1186" s="101">
        <f t="shared" si="30"/>
        <v>150.58333333333334</v>
      </c>
      <c r="F1186" s="90">
        <f t="shared" si="31"/>
        <v>-2.5806451612903226E-2</v>
      </c>
    </row>
    <row r="1187" spans="1:6">
      <c r="A1187" s="5">
        <v>1818</v>
      </c>
      <c r="B1187" s="5" t="s">
        <v>11</v>
      </c>
      <c r="C1187" s="4">
        <v>149</v>
      </c>
      <c r="D1187" s="101">
        <f t="shared" si="30"/>
        <v>150</v>
      </c>
      <c r="F1187" s="90">
        <f t="shared" si="31"/>
        <v>-4.4871794871794872E-2</v>
      </c>
    </row>
    <row r="1188" spans="1:6">
      <c r="A1188" s="5">
        <v>1818</v>
      </c>
      <c r="B1188" s="5" t="s">
        <v>12</v>
      </c>
      <c r="C1188" s="4">
        <v>144</v>
      </c>
      <c r="D1188" s="101">
        <f t="shared" si="30"/>
        <v>149</v>
      </c>
      <c r="F1188" s="90">
        <f t="shared" si="31"/>
        <v>-7.6923076923076927E-2</v>
      </c>
    </row>
    <row r="1189" spans="1:6">
      <c r="A1189" s="5">
        <v>1818</v>
      </c>
      <c r="B1189" s="5" t="s">
        <v>13</v>
      </c>
      <c r="C1189" s="4">
        <v>142</v>
      </c>
      <c r="D1189" s="101">
        <f t="shared" si="30"/>
        <v>147.75</v>
      </c>
      <c r="F1189" s="90">
        <f t="shared" si="31"/>
        <v>-9.5541401273885357E-2</v>
      </c>
    </row>
    <row r="1190" spans="1:6">
      <c r="A1190" s="5">
        <v>1818</v>
      </c>
      <c r="B1190" s="5" t="s">
        <v>14</v>
      </c>
      <c r="C1190" s="4">
        <v>144</v>
      </c>
      <c r="D1190" s="101">
        <f t="shared" si="30"/>
        <v>146.91666666666666</v>
      </c>
      <c r="F1190" s="90">
        <f t="shared" si="31"/>
        <v>-6.4935064935064929E-2</v>
      </c>
    </row>
    <row r="1191" spans="1:6">
      <c r="A1191" s="5">
        <v>1818</v>
      </c>
      <c r="B1191" s="5" t="s">
        <v>15</v>
      </c>
      <c r="C1191" s="4">
        <v>142</v>
      </c>
      <c r="D1191" s="101">
        <f t="shared" si="30"/>
        <v>146.33333333333334</v>
      </c>
      <c r="F1191" s="90">
        <f t="shared" si="31"/>
        <v>-4.6979865771812082E-2</v>
      </c>
    </row>
    <row r="1192" spans="1:6">
      <c r="A1192" s="5">
        <v>1818</v>
      </c>
      <c r="B1192" s="5" t="s">
        <v>16</v>
      </c>
      <c r="C1192" s="4">
        <v>147</v>
      </c>
      <c r="D1192" s="101">
        <f t="shared" si="30"/>
        <v>145.83333333333334</v>
      </c>
      <c r="F1192" s="90">
        <f t="shared" si="31"/>
        <v>-3.9215686274509803E-2</v>
      </c>
    </row>
    <row r="1193" spans="1:6">
      <c r="A1193" s="5">
        <v>1818</v>
      </c>
      <c r="B1193" s="5" t="s">
        <v>17</v>
      </c>
      <c r="C1193" s="4">
        <v>146</v>
      </c>
      <c r="D1193" s="101">
        <f t="shared" si="30"/>
        <v>145.75</v>
      </c>
      <c r="F1193" s="90">
        <f t="shared" si="31"/>
        <v>-6.8027210884353739E-3</v>
      </c>
    </row>
    <row r="1194" spans="1:6">
      <c r="A1194" s="5">
        <v>1818</v>
      </c>
      <c r="B1194" s="5" t="s">
        <v>18</v>
      </c>
      <c r="C1194" s="4">
        <v>151</v>
      </c>
      <c r="D1194" s="101">
        <f t="shared" si="30"/>
        <v>146.25</v>
      </c>
      <c r="F1194" s="90">
        <f t="shared" si="31"/>
        <v>4.1379310344827586E-2</v>
      </c>
    </row>
    <row r="1195" spans="1:6">
      <c r="A1195" s="5">
        <v>1818</v>
      </c>
      <c r="B1195" s="5" t="s">
        <v>19</v>
      </c>
      <c r="C1195" s="4">
        <v>149</v>
      </c>
      <c r="D1195" s="101">
        <f t="shared" si="30"/>
        <v>146.66666666666666</v>
      </c>
      <c r="F1195" s="90">
        <f t="shared" si="31"/>
        <v>3.4722222222222224E-2</v>
      </c>
    </row>
    <row r="1196" spans="1:6">
      <c r="A1196" s="5">
        <v>1818</v>
      </c>
      <c r="B1196" s="5" t="s">
        <v>20</v>
      </c>
      <c r="C1196" s="4">
        <v>145</v>
      </c>
      <c r="D1196" s="101">
        <f t="shared" si="30"/>
        <v>146.58333333333334</v>
      </c>
      <c r="E1196" s="4">
        <v>147</v>
      </c>
      <c r="F1196" s="90">
        <f t="shared" si="31"/>
        <v>-6.8493150684931503E-3</v>
      </c>
    </row>
    <row r="1197" spans="1:6">
      <c r="A1197" s="5">
        <v>1819</v>
      </c>
      <c r="B1197" s="5" t="s">
        <v>9</v>
      </c>
      <c r="C1197" s="4">
        <v>141</v>
      </c>
      <c r="D1197" s="101">
        <f t="shared" si="30"/>
        <v>145.91666666666666</v>
      </c>
      <c r="F1197" s="90">
        <f t="shared" si="31"/>
        <v>-5.3691275167785234E-2</v>
      </c>
    </row>
    <row r="1198" spans="1:6">
      <c r="A1198" s="5">
        <v>1819</v>
      </c>
      <c r="B1198" s="5" t="s">
        <v>10</v>
      </c>
      <c r="C1198" s="4">
        <v>137</v>
      </c>
      <c r="D1198" s="101">
        <f t="shared" si="30"/>
        <v>144.75</v>
      </c>
      <c r="F1198" s="90">
        <f t="shared" si="31"/>
        <v>-9.2715231788079472E-2</v>
      </c>
    </row>
    <row r="1199" spans="1:6">
      <c r="A1199" s="5">
        <v>1819</v>
      </c>
      <c r="B1199" s="5" t="s">
        <v>11</v>
      </c>
      <c r="C1199" s="4">
        <v>134</v>
      </c>
      <c r="D1199" s="101">
        <f t="shared" si="30"/>
        <v>143.5</v>
      </c>
      <c r="F1199" s="90">
        <f t="shared" si="31"/>
        <v>-0.10067114093959731</v>
      </c>
    </row>
    <row r="1200" spans="1:6">
      <c r="A1200" s="5">
        <v>1819</v>
      </c>
      <c r="B1200" s="5" t="s">
        <v>12</v>
      </c>
      <c r="C1200" s="4">
        <v>130</v>
      </c>
      <c r="D1200" s="101">
        <f t="shared" si="30"/>
        <v>142.33333333333334</v>
      </c>
      <c r="F1200" s="90">
        <f t="shared" si="31"/>
        <v>-9.7222222222222224E-2</v>
      </c>
    </row>
    <row r="1201" spans="1:6">
      <c r="A1201" s="5">
        <v>1819</v>
      </c>
      <c r="B1201" s="5" t="s">
        <v>13</v>
      </c>
      <c r="C1201" s="4">
        <v>125</v>
      </c>
      <c r="D1201" s="101">
        <f t="shared" ref="D1201:D1264" si="32">AVERAGE(C1190:C1201)</f>
        <v>140.91666666666666</v>
      </c>
      <c r="F1201" s="90">
        <f t="shared" si="31"/>
        <v>-0.11971830985915492</v>
      </c>
    </row>
    <row r="1202" spans="1:6">
      <c r="A1202" s="5">
        <v>1819</v>
      </c>
      <c r="B1202" s="5" t="s">
        <v>14</v>
      </c>
      <c r="C1202" s="4">
        <v>124</v>
      </c>
      <c r="D1202" s="101">
        <f t="shared" si="32"/>
        <v>139.25</v>
      </c>
      <c r="F1202" s="90">
        <f t="shared" si="31"/>
        <v>-0.1388888888888889</v>
      </c>
    </row>
    <row r="1203" spans="1:6">
      <c r="A1203" s="5">
        <v>1819</v>
      </c>
      <c r="B1203" s="5" t="s">
        <v>15</v>
      </c>
      <c r="C1203" s="4">
        <v>121</v>
      </c>
      <c r="D1203" s="101">
        <f t="shared" si="32"/>
        <v>137.5</v>
      </c>
      <c r="F1203" s="90">
        <f t="shared" si="31"/>
        <v>-0.14788732394366197</v>
      </c>
    </row>
    <row r="1204" spans="1:6">
      <c r="A1204" s="5">
        <v>1819</v>
      </c>
      <c r="B1204" s="5" t="s">
        <v>16</v>
      </c>
      <c r="C1204" s="4">
        <v>119</v>
      </c>
      <c r="D1204" s="101">
        <f t="shared" si="32"/>
        <v>135.16666666666666</v>
      </c>
      <c r="F1204" s="90">
        <f t="shared" si="31"/>
        <v>-0.19047619047619047</v>
      </c>
    </row>
    <row r="1205" spans="1:6">
      <c r="A1205" s="5">
        <v>1819</v>
      </c>
      <c r="B1205" s="5" t="s">
        <v>17</v>
      </c>
      <c r="C1205" s="4">
        <v>119</v>
      </c>
      <c r="D1205" s="101">
        <f t="shared" si="32"/>
        <v>132.91666666666666</v>
      </c>
      <c r="F1205" s="90">
        <f t="shared" si="31"/>
        <v>-0.18493150684931506</v>
      </c>
    </row>
    <row r="1206" spans="1:6">
      <c r="A1206" s="5">
        <v>1819</v>
      </c>
      <c r="B1206" s="5" t="s">
        <v>18</v>
      </c>
      <c r="C1206" s="4">
        <v>120</v>
      </c>
      <c r="D1206" s="101">
        <f t="shared" si="32"/>
        <v>130.33333333333334</v>
      </c>
      <c r="F1206" s="90">
        <f t="shared" si="31"/>
        <v>-0.20529801324503311</v>
      </c>
    </row>
    <row r="1207" spans="1:6">
      <c r="A1207" s="5">
        <v>1819</v>
      </c>
      <c r="B1207" s="5" t="s">
        <v>19</v>
      </c>
      <c r="C1207" s="4">
        <v>117</v>
      </c>
      <c r="D1207" s="101">
        <f t="shared" si="32"/>
        <v>127.66666666666667</v>
      </c>
      <c r="F1207" s="90">
        <f t="shared" si="31"/>
        <v>-0.21476510067114093</v>
      </c>
    </row>
    <row r="1208" spans="1:6">
      <c r="A1208" s="5">
        <v>1819</v>
      </c>
      <c r="B1208" s="5" t="s">
        <v>20</v>
      </c>
      <c r="C1208" s="4">
        <v>114</v>
      </c>
      <c r="D1208" s="101">
        <f t="shared" si="32"/>
        <v>125.08333333333333</v>
      </c>
      <c r="E1208" s="4">
        <v>125</v>
      </c>
      <c r="F1208" s="90">
        <f t="shared" si="31"/>
        <v>-0.21379310344827587</v>
      </c>
    </row>
    <row r="1209" spans="1:6">
      <c r="A1209" s="5">
        <v>1820</v>
      </c>
      <c r="B1209" s="5" t="s">
        <v>9</v>
      </c>
      <c r="C1209" s="4">
        <v>114</v>
      </c>
      <c r="D1209" s="101">
        <f t="shared" si="32"/>
        <v>122.83333333333333</v>
      </c>
      <c r="F1209" s="90">
        <f t="shared" si="31"/>
        <v>-0.19148936170212766</v>
      </c>
    </row>
    <row r="1210" spans="1:6">
      <c r="A1210" s="5">
        <v>1820</v>
      </c>
      <c r="B1210" s="5" t="s">
        <v>10</v>
      </c>
      <c r="C1210" s="4">
        <v>113</v>
      </c>
      <c r="D1210" s="101">
        <f t="shared" si="32"/>
        <v>120.83333333333333</v>
      </c>
      <c r="F1210" s="90">
        <f t="shared" si="31"/>
        <v>-0.17518248175182483</v>
      </c>
    </row>
    <row r="1211" spans="1:6">
      <c r="A1211" s="5">
        <v>1820</v>
      </c>
      <c r="B1211" s="5" t="s">
        <v>11</v>
      </c>
      <c r="C1211" s="4">
        <v>109</v>
      </c>
      <c r="D1211" s="101">
        <f t="shared" si="32"/>
        <v>118.75</v>
      </c>
      <c r="F1211" s="90">
        <f t="shared" si="31"/>
        <v>-0.18656716417910449</v>
      </c>
    </row>
    <row r="1212" spans="1:6">
      <c r="A1212" s="5">
        <v>1820</v>
      </c>
      <c r="B1212" s="5" t="s">
        <v>12</v>
      </c>
      <c r="C1212" s="4">
        <v>106</v>
      </c>
      <c r="D1212" s="101">
        <f t="shared" si="32"/>
        <v>116.75</v>
      </c>
      <c r="F1212" s="90">
        <f t="shared" si="31"/>
        <v>-0.18461538461538463</v>
      </c>
    </row>
    <row r="1213" spans="1:6">
      <c r="A1213" s="5">
        <v>1820</v>
      </c>
      <c r="B1213" s="5" t="s">
        <v>13</v>
      </c>
      <c r="C1213" s="4">
        <v>108</v>
      </c>
      <c r="D1213" s="101">
        <f t="shared" si="32"/>
        <v>115.33333333333333</v>
      </c>
      <c r="F1213" s="90">
        <f t="shared" si="31"/>
        <v>-0.13600000000000001</v>
      </c>
    </row>
    <row r="1214" spans="1:6">
      <c r="A1214" s="5">
        <v>1820</v>
      </c>
      <c r="B1214" s="5" t="s">
        <v>14</v>
      </c>
      <c r="C1214" s="4">
        <v>106</v>
      </c>
      <c r="D1214" s="101">
        <f t="shared" si="32"/>
        <v>113.83333333333333</v>
      </c>
      <c r="F1214" s="90">
        <f t="shared" si="31"/>
        <v>-0.14516129032258066</v>
      </c>
    </row>
    <row r="1215" spans="1:6">
      <c r="A1215" s="5">
        <v>1820</v>
      </c>
      <c r="B1215" s="5" t="s">
        <v>15</v>
      </c>
      <c r="C1215" s="4">
        <v>104</v>
      </c>
      <c r="D1215" s="101">
        <f t="shared" si="32"/>
        <v>112.41666666666667</v>
      </c>
      <c r="F1215" s="90">
        <f t="shared" si="31"/>
        <v>-0.14049586776859505</v>
      </c>
    </row>
    <row r="1216" spans="1:6">
      <c r="A1216" s="5">
        <v>1820</v>
      </c>
      <c r="B1216" s="5" t="s">
        <v>16</v>
      </c>
      <c r="C1216" s="4">
        <v>107</v>
      </c>
      <c r="D1216" s="101">
        <f t="shared" si="32"/>
        <v>111.41666666666667</v>
      </c>
      <c r="F1216" s="90">
        <f t="shared" si="31"/>
        <v>-0.10084033613445378</v>
      </c>
    </row>
    <row r="1217" spans="1:6">
      <c r="A1217" s="5">
        <v>1820</v>
      </c>
      <c r="B1217" s="5" t="s">
        <v>17</v>
      </c>
      <c r="C1217" s="4">
        <v>106</v>
      </c>
      <c r="D1217" s="101">
        <f t="shared" si="32"/>
        <v>110.33333333333333</v>
      </c>
      <c r="F1217" s="90">
        <f t="shared" si="31"/>
        <v>-0.1092436974789916</v>
      </c>
    </row>
    <row r="1218" spans="1:6">
      <c r="A1218" s="5">
        <v>1820</v>
      </c>
      <c r="B1218" s="5" t="s">
        <v>18</v>
      </c>
      <c r="C1218" s="4">
        <v>103</v>
      </c>
      <c r="D1218" s="101">
        <f t="shared" si="32"/>
        <v>108.91666666666667</v>
      </c>
      <c r="F1218" s="90">
        <f t="shared" si="31"/>
        <v>-0.14166666666666666</v>
      </c>
    </row>
    <row r="1219" spans="1:6">
      <c r="A1219" s="5">
        <v>1820</v>
      </c>
      <c r="B1219" s="5" t="s">
        <v>19</v>
      </c>
      <c r="C1219" s="4">
        <v>100</v>
      </c>
      <c r="D1219" s="101">
        <f t="shared" si="32"/>
        <v>107.5</v>
      </c>
      <c r="F1219" s="90">
        <f t="shared" si="31"/>
        <v>-0.14529914529914531</v>
      </c>
    </row>
    <row r="1220" spans="1:6">
      <c r="A1220" s="5">
        <v>1820</v>
      </c>
      <c r="B1220" s="5" t="s">
        <v>20</v>
      </c>
      <c r="C1220" s="4">
        <v>100</v>
      </c>
      <c r="D1220" s="101">
        <f t="shared" si="32"/>
        <v>106.33333333333333</v>
      </c>
      <c r="E1220" s="4">
        <v>106</v>
      </c>
      <c r="F1220" s="90">
        <f t="shared" si="31"/>
        <v>-0.12280701754385964</v>
      </c>
    </row>
    <row r="1221" spans="1:6">
      <c r="A1221" s="5">
        <v>1821</v>
      </c>
      <c r="B1221" s="5" t="s">
        <v>9</v>
      </c>
      <c r="C1221" s="4">
        <v>100</v>
      </c>
      <c r="D1221" s="101">
        <f t="shared" si="32"/>
        <v>105.16666666666667</v>
      </c>
      <c r="F1221" s="90">
        <f t="shared" si="31"/>
        <v>-0.12280701754385964</v>
      </c>
    </row>
    <row r="1222" spans="1:6">
      <c r="A1222" s="5">
        <v>1821</v>
      </c>
      <c r="B1222" s="5" t="s">
        <v>10</v>
      </c>
      <c r="C1222" s="4">
        <v>99</v>
      </c>
      <c r="D1222" s="101">
        <f t="shared" si="32"/>
        <v>104</v>
      </c>
      <c r="F1222" s="90">
        <f t="shared" si="31"/>
        <v>-0.12389380530973451</v>
      </c>
    </row>
    <row r="1223" spans="1:6">
      <c r="A1223" s="5">
        <v>1821</v>
      </c>
      <c r="B1223" s="5" t="s">
        <v>11</v>
      </c>
      <c r="C1223" s="4">
        <v>98</v>
      </c>
      <c r="D1223" s="101">
        <f t="shared" si="32"/>
        <v>103.08333333333333</v>
      </c>
      <c r="F1223" s="90">
        <f t="shared" si="31"/>
        <v>-0.10091743119266056</v>
      </c>
    </row>
    <row r="1224" spans="1:6">
      <c r="A1224" s="5">
        <v>1821</v>
      </c>
      <c r="B1224" s="5" t="s">
        <v>12</v>
      </c>
      <c r="C1224" s="4">
        <v>98</v>
      </c>
      <c r="D1224" s="101">
        <f t="shared" si="32"/>
        <v>102.41666666666667</v>
      </c>
      <c r="F1224" s="90">
        <f t="shared" si="31"/>
        <v>-7.5471698113207544E-2</v>
      </c>
    </row>
    <row r="1225" spans="1:6">
      <c r="A1225" s="5">
        <v>1821</v>
      </c>
      <c r="B1225" s="5" t="s">
        <v>13</v>
      </c>
      <c r="C1225" s="4">
        <v>100</v>
      </c>
      <c r="D1225" s="101">
        <f t="shared" si="32"/>
        <v>101.75</v>
      </c>
      <c r="F1225" s="90">
        <f t="shared" si="31"/>
        <v>-7.407407407407407E-2</v>
      </c>
    </row>
    <row r="1226" spans="1:6">
      <c r="A1226" s="5">
        <v>1821</v>
      </c>
      <c r="B1226" s="5" t="s">
        <v>14</v>
      </c>
      <c r="C1226" s="4">
        <v>99</v>
      </c>
      <c r="D1226" s="101">
        <f t="shared" si="32"/>
        <v>101.16666666666667</v>
      </c>
      <c r="F1226" s="90">
        <f t="shared" si="31"/>
        <v>-6.6037735849056603E-2</v>
      </c>
    </row>
    <row r="1227" spans="1:6">
      <c r="A1227" s="5">
        <v>1821</v>
      </c>
      <c r="B1227" s="5" t="s">
        <v>15</v>
      </c>
      <c r="C1227" s="4">
        <v>100</v>
      </c>
      <c r="D1227" s="101">
        <f t="shared" si="32"/>
        <v>100.83333333333333</v>
      </c>
      <c r="F1227" s="90">
        <f t="shared" si="31"/>
        <v>-3.8461538461538464E-2</v>
      </c>
    </row>
    <row r="1228" spans="1:6">
      <c r="A1228" s="5">
        <v>1821</v>
      </c>
      <c r="B1228" s="5" t="s">
        <v>16</v>
      </c>
      <c r="C1228" s="4">
        <v>103</v>
      </c>
      <c r="D1228" s="101">
        <f t="shared" si="32"/>
        <v>100.5</v>
      </c>
      <c r="F1228" s="90">
        <f t="shared" si="31"/>
        <v>-3.7383177570093455E-2</v>
      </c>
    </row>
    <row r="1229" spans="1:6">
      <c r="A1229" s="5">
        <v>1821</v>
      </c>
      <c r="B1229" s="5" t="s">
        <v>17</v>
      </c>
      <c r="C1229" s="4">
        <v>105</v>
      </c>
      <c r="D1229" s="101">
        <f t="shared" si="32"/>
        <v>100.41666666666667</v>
      </c>
      <c r="F1229" s="90">
        <f t="shared" si="31"/>
        <v>-9.433962264150943E-3</v>
      </c>
    </row>
    <row r="1230" spans="1:6">
      <c r="A1230" s="5">
        <v>1821</v>
      </c>
      <c r="B1230" s="5" t="s">
        <v>18</v>
      </c>
      <c r="C1230" s="4">
        <v>107</v>
      </c>
      <c r="D1230" s="101">
        <f t="shared" si="32"/>
        <v>100.75</v>
      </c>
      <c r="F1230" s="90">
        <f t="shared" si="31"/>
        <v>3.8834951456310676E-2</v>
      </c>
    </row>
    <row r="1231" spans="1:6">
      <c r="A1231" s="5">
        <v>1821</v>
      </c>
      <c r="B1231" s="5" t="s">
        <v>19</v>
      </c>
      <c r="C1231" s="4">
        <v>108</v>
      </c>
      <c r="D1231" s="101">
        <f t="shared" si="32"/>
        <v>101.41666666666667</v>
      </c>
      <c r="F1231" s="90">
        <f t="shared" si="31"/>
        <v>0.08</v>
      </c>
    </row>
    <row r="1232" spans="1:6">
      <c r="A1232" s="5">
        <v>1821</v>
      </c>
      <c r="B1232" s="5" t="s">
        <v>20</v>
      </c>
      <c r="C1232" s="4">
        <v>109</v>
      </c>
      <c r="D1232" s="101">
        <f t="shared" si="32"/>
        <v>102.16666666666667</v>
      </c>
      <c r="E1232" s="4">
        <v>102</v>
      </c>
      <c r="F1232" s="90">
        <f t="shared" si="31"/>
        <v>0.09</v>
      </c>
    </row>
    <row r="1233" spans="1:6">
      <c r="A1233" s="5">
        <v>1822</v>
      </c>
      <c r="B1233" s="5" t="s">
        <v>9</v>
      </c>
      <c r="C1233" s="4">
        <v>109</v>
      </c>
      <c r="D1233" s="101">
        <f t="shared" si="32"/>
        <v>102.91666666666667</v>
      </c>
      <c r="F1233" s="90">
        <f t="shared" si="31"/>
        <v>0.09</v>
      </c>
    </row>
    <row r="1234" spans="1:6">
      <c r="A1234" s="5">
        <v>1822</v>
      </c>
      <c r="B1234" s="5" t="s">
        <v>10</v>
      </c>
      <c r="C1234" s="4">
        <v>108</v>
      </c>
      <c r="D1234" s="101">
        <f t="shared" si="32"/>
        <v>103.66666666666667</v>
      </c>
      <c r="F1234" s="90">
        <f t="shared" si="31"/>
        <v>9.0909090909090912E-2</v>
      </c>
    </row>
    <row r="1235" spans="1:6">
      <c r="A1235" s="5">
        <v>1822</v>
      </c>
      <c r="B1235" s="5" t="s">
        <v>11</v>
      </c>
      <c r="C1235" s="4">
        <v>108</v>
      </c>
      <c r="D1235" s="101">
        <f t="shared" si="32"/>
        <v>104.5</v>
      </c>
      <c r="F1235" s="90">
        <f t="shared" si="31"/>
        <v>0.10204081632653061</v>
      </c>
    </row>
    <row r="1236" spans="1:6">
      <c r="A1236" s="5">
        <v>1822</v>
      </c>
      <c r="B1236" s="5" t="s">
        <v>12</v>
      </c>
      <c r="C1236" s="4">
        <v>108</v>
      </c>
      <c r="D1236" s="101">
        <f t="shared" si="32"/>
        <v>105.33333333333333</v>
      </c>
      <c r="F1236" s="90">
        <f t="shared" si="31"/>
        <v>0.10204081632653061</v>
      </c>
    </row>
    <row r="1237" spans="1:6">
      <c r="A1237" s="5">
        <v>1822</v>
      </c>
      <c r="B1237" s="5" t="s">
        <v>13</v>
      </c>
      <c r="C1237" s="4">
        <v>107</v>
      </c>
      <c r="D1237" s="101">
        <f t="shared" si="32"/>
        <v>105.91666666666667</v>
      </c>
      <c r="F1237" s="90">
        <f t="shared" ref="F1237:F1300" si="33">(C1237-C1225)/C1225</f>
        <v>7.0000000000000007E-2</v>
      </c>
    </row>
    <row r="1238" spans="1:6">
      <c r="A1238" s="5">
        <v>1822</v>
      </c>
      <c r="B1238" s="5" t="s">
        <v>14</v>
      </c>
      <c r="C1238" s="4">
        <v>107</v>
      </c>
      <c r="D1238" s="101">
        <f t="shared" si="32"/>
        <v>106.58333333333333</v>
      </c>
      <c r="F1238" s="90">
        <f t="shared" si="33"/>
        <v>8.0808080808080815E-2</v>
      </c>
    </row>
    <row r="1239" spans="1:6">
      <c r="A1239" s="5">
        <v>1822</v>
      </c>
      <c r="B1239" s="5" t="s">
        <v>15</v>
      </c>
      <c r="C1239" s="4">
        <v>106</v>
      </c>
      <c r="D1239" s="101">
        <f t="shared" si="32"/>
        <v>107.08333333333333</v>
      </c>
      <c r="F1239" s="90">
        <f t="shared" si="33"/>
        <v>0.06</v>
      </c>
    </row>
    <row r="1240" spans="1:6">
      <c r="A1240" s="5">
        <v>1822</v>
      </c>
      <c r="B1240" s="5" t="s">
        <v>16</v>
      </c>
      <c r="C1240" s="4">
        <v>104</v>
      </c>
      <c r="D1240" s="101">
        <f t="shared" si="32"/>
        <v>107.16666666666667</v>
      </c>
      <c r="F1240" s="90">
        <f t="shared" si="33"/>
        <v>9.7087378640776691E-3</v>
      </c>
    </row>
    <row r="1241" spans="1:6">
      <c r="A1241" s="5">
        <v>1822</v>
      </c>
      <c r="B1241" s="5" t="s">
        <v>17</v>
      </c>
      <c r="C1241" s="4">
        <v>104</v>
      </c>
      <c r="D1241" s="101">
        <f t="shared" si="32"/>
        <v>107.08333333333333</v>
      </c>
      <c r="F1241" s="90">
        <f t="shared" si="33"/>
        <v>-9.5238095238095247E-3</v>
      </c>
    </row>
    <row r="1242" spans="1:6">
      <c r="A1242" s="5">
        <v>1822</v>
      </c>
      <c r="B1242" s="5" t="s">
        <v>18</v>
      </c>
      <c r="C1242" s="4">
        <v>104</v>
      </c>
      <c r="D1242" s="101">
        <f t="shared" si="32"/>
        <v>106.83333333333333</v>
      </c>
      <c r="F1242" s="90">
        <f t="shared" si="33"/>
        <v>-2.8037383177570093E-2</v>
      </c>
    </row>
    <row r="1243" spans="1:6">
      <c r="A1243" s="5">
        <v>1822</v>
      </c>
      <c r="B1243" s="5" t="s">
        <v>19</v>
      </c>
      <c r="C1243" s="4">
        <v>106</v>
      </c>
      <c r="D1243" s="101">
        <f t="shared" si="32"/>
        <v>106.66666666666667</v>
      </c>
      <c r="F1243" s="90">
        <f t="shared" si="33"/>
        <v>-1.8518518518518517E-2</v>
      </c>
    </row>
    <row r="1244" spans="1:6">
      <c r="A1244" s="5">
        <v>1822</v>
      </c>
      <c r="B1244" s="5" t="s">
        <v>20</v>
      </c>
      <c r="C1244" s="4">
        <v>104</v>
      </c>
      <c r="D1244" s="101">
        <f t="shared" si="32"/>
        <v>106.25</v>
      </c>
      <c r="E1244" s="4">
        <v>106</v>
      </c>
      <c r="F1244" s="90">
        <f t="shared" si="33"/>
        <v>-4.5871559633027525E-2</v>
      </c>
    </row>
    <row r="1245" spans="1:6">
      <c r="A1245" s="5">
        <v>1823</v>
      </c>
      <c r="B1245" s="5" t="s">
        <v>9</v>
      </c>
      <c r="C1245" s="4">
        <v>104</v>
      </c>
      <c r="D1245" s="101">
        <f t="shared" si="32"/>
        <v>105.83333333333333</v>
      </c>
      <c r="F1245" s="90">
        <f t="shared" si="33"/>
        <v>-4.5871559633027525E-2</v>
      </c>
    </row>
    <row r="1246" spans="1:6">
      <c r="A1246" s="5">
        <v>1823</v>
      </c>
      <c r="B1246" s="5" t="s">
        <v>10</v>
      </c>
      <c r="C1246" s="4">
        <v>104</v>
      </c>
      <c r="D1246" s="101">
        <f t="shared" si="32"/>
        <v>105.5</v>
      </c>
      <c r="F1246" s="90">
        <f t="shared" si="33"/>
        <v>-3.7037037037037035E-2</v>
      </c>
    </row>
    <row r="1247" spans="1:6">
      <c r="A1247" s="5">
        <v>1823</v>
      </c>
      <c r="B1247" s="5" t="s">
        <v>11</v>
      </c>
      <c r="C1247" s="4">
        <v>103</v>
      </c>
      <c r="D1247" s="101">
        <f t="shared" si="32"/>
        <v>105.08333333333333</v>
      </c>
      <c r="F1247" s="90">
        <f t="shared" si="33"/>
        <v>-4.6296296296296294E-2</v>
      </c>
    </row>
    <row r="1248" spans="1:6">
      <c r="A1248" s="5">
        <v>1823</v>
      </c>
      <c r="B1248" s="5" t="s">
        <v>12</v>
      </c>
      <c r="C1248" s="4">
        <v>103</v>
      </c>
      <c r="D1248" s="101">
        <f t="shared" si="32"/>
        <v>104.66666666666667</v>
      </c>
      <c r="F1248" s="90">
        <f t="shared" si="33"/>
        <v>-4.6296296296296294E-2</v>
      </c>
    </row>
    <row r="1249" spans="1:6">
      <c r="A1249" s="5">
        <v>1823</v>
      </c>
      <c r="B1249" s="5" t="s">
        <v>13</v>
      </c>
      <c r="C1249" s="4">
        <v>102</v>
      </c>
      <c r="D1249" s="101">
        <f t="shared" si="32"/>
        <v>104.25</v>
      </c>
      <c r="F1249" s="90">
        <f t="shared" si="33"/>
        <v>-4.6728971962616821E-2</v>
      </c>
    </row>
    <row r="1250" spans="1:6">
      <c r="A1250" s="5">
        <v>1823</v>
      </c>
      <c r="B1250" s="5" t="s">
        <v>14</v>
      </c>
      <c r="C1250" s="4">
        <v>103</v>
      </c>
      <c r="D1250" s="101">
        <f t="shared" si="32"/>
        <v>103.91666666666667</v>
      </c>
      <c r="F1250" s="90">
        <f t="shared" si="33"/>
        <v>-3.7383177570093455E-2</v>
      </c>
    </row>
    <row r="1251" spans="1:6">
      <c r="A1251" s="5">
        <v>1823</v>
      </c>
      <c r="B1251" s="5" t="s">
        <v>15</v>
      </c>
      <c r="C1251" s="4">
        <v>104</v>
      </c>
      <c r="D1251" s="101">
        <f t="shared" si="32"/>
        <v>103.75</v>
      </c>
      <c r="F1251" s="90">
        <f t="shared" si="33"/>
        <v>-1.8867924528301886E-2</v>
      </c>
    </row>
    <row r="1252" spans="1:6">
      <c r="A1252" s="5">
        <v>1823</v>
      </c>
      <c r="B1252" s="5" t="s">
        <v>16</v>
      </c>
      <c r="C1252" s="4">
        <v>104</v>
      </c>
      <c r="D1252" s="101">
        <f t="shared" si="32"/>
        <v>103.75</v>
      </c>
      <c r="F1252" s="90">
        <f t="shared" si="33"/>
        <v>0</v>
      </c>
    </row>
    <row r="1253" spans="1:6">
      <c r="A1253" s="5">
        <v>1823</v>
      </c>
      <c r="B1253" s="5" t="s">
        <v>17</v>
      </c>
      <c r="C1253" s="4">
        <v>103</v>
      </c>
      <c r="D1253" s="101">
        <f t="shared" si="32"/>
        <v>103.66666666666667</v>
      </c>
      <c r="F1253" s="90">
        <f t="shared" si="33"/>
        <v>-9.6153846153846159E-3</v>
      </c>
    </row>
    <row r="1254" spans="1:6">
      <c r="A1254" s="5">
        <v>1823</v>
      </c>
      <c r="B1254" s="5" t="s">
        <v>18</v>
      </c>
      <c r="C1254" s="4">
        <v>102</v>
      </c>
      <c r="D1254" s="101">
        <f t="shared" si="32"/>
        <v>103.5</v>
      </c>
      <c r="F1254" s="90">
        <f t="shared" si="33"/>
        <v>-1.9230769230769232E-2</v>
      </c>
    </row>
    <row r="1255" spans="1:6">
      <c r="A1255" s="5">
        <v>1823</v>
      </c>
      <c r="B1255" s="5" t="s">
        <v>19</v>
      </c>
      <c r="C1255" s="4">
        <v>99</v>
      </c>
      <c r="D1255" s="101">
        <f t="shared" si="32"/>
        <v>102.91666666666667</v>
      </c>
      <c r="F1255" s="90">
        <f t="shared" si="33"/>
        <v>-6.6037735849056603E-2</v>
      </c>
    </row>
    <row r="1256" spans="1:6">
      <c r="A1256" s="5">
        <v>1823</v>
      </c>
      <c r="B1256" s="5" t="s">
        <v>20</v>
      </c>
      <c r="C1256" s="4">
        <v>100</v>
      </c>
      <c r="D1256" s="101">
        <f t="shared" si="32"/>
        <v>102.58333333333333</v>
      </c>
      <c r="E1256" s="4">
        <v>103</v>
      </c>
      <c r="F1256" s="90">
        <f t="shared" si="33"/>
        <v>-3.8461538461538464E-2</v>
      </c>
    </row>
    <row r="1257" spans="1:6">
      <c r="A1257" s="5">
        <v>1824</v>
      </c>
      <c r="B1257" s="5" t="s">
        <v>9</v>
      </c>
      <c r="C1257" s="4">
        <v>98</v>
      </c>
      <c r="D1257" s="101">
        <f t="shared" si="32"/>
        <v>102.08333333333333</v>
      </c>
      <c r="F1257" s="90">
        <f t="shared" si="33"/>
        <v>-5.7692307692307696E-2</v>
      </c>
    </row>
    <row r="1258" spans="1:6">
      <c r="A1258" s="5">
        <v>1824</v>
      </c>
      <c r="B1258" s="5" t="s">
        <v>10</v>
      </c>
      <c r="C1258" s="4">
        <v>97</v>
      </c>
      <c r="D1258" s="101">
        <f t="shared" si="32"/>
        <v>101.5</v>
      </c>
      <c r="F1258" s="90">
        <f t="shared" si="33"/>
        <v>-6.7307692307692304E-2</v>
      </c>
    </row>
    <row r="1259" spans="1:6">
      <c r="A1259" s="5">
        <v>1824</v>
      </c>
      <c r="B1259" s="5" t="s">
        <v>11</v>
      </c>
      <c r="C1259" s="4">
        <v>97</v>
      </c>
      <c r="D1259" s="101">
        <f t="shared" si="32"/>
        <v>101</v>
      </c>
      <c r="F1259" s="90">
        <f t="shared" si="33"/>
        <v>-5.8252427184466021E-2</v>
      </c>
    </row>
    <row r="1260" spans="1:6">
      <c r="A1260" s="5">
        <v>1824</v>
      </c>
      <c r="B1260" s="5" t="s">
        <v>12</v>
      </c>
      <c r="C1260" s="4">
        <v>96</v>
      </c>
      <c r="D1260" s="101">
        <f t="shared" si="32"/>
        <v>100.41666666666667</v>
      </c>
      <c r="F1260" s="90">
        <f t="shared" si="33"/>
        <v>-6.7961165048543687E-2</v>
      </c>
    </row>
    <row r="1261" spans="1:6">
      <c r="A1261" s="5">
        <v>1824</v>
      </c>
      <c r="B1261" s="5" t="s">
        <v>13</v>
      </c>
      <c r="C1261" s="4">
        <v>97</v>
      </c>
      <c r="D1261" s="101">
        <f t="shared" si="32"/>
        <v>100</v>
      </c>
      <c r="F1261" s="90">
        <f t="shared" si="33"/>
        <v>-4.9019607843137254E-2</v>
      </c>
    </row>
    <row r="1262" spans="1:6">
      <c r="A1262" s="5">
        <v>1824</v>
      </c>
      <c r="B1262" s="5" t="s">
        <v>14</v>
      </c>
      <c r="C1262" s="4">
        <v>98</v>
      </c>
      <c r="D1262" s="101">
        <f t="shared" si="32"/>
        <v>99.583333333333329</v>
      </c>
      <c r="F1262" s="90">
        <f t="shared" si="33"/>
        <v>-4.8543689320388349E-2</v>
      </c>
    </row>
    <row r="1263" spans="1:6">
      <c r="A1263" s="5">
        <v>1824</v>
      </c>
      <c r="B1263" s="5" t="s">
        <v>15</v>
      </c>
      <c r="C1263" s="4">
        <v>98</v>
      </c>
      <c r="D1263" s="101">
        <f t="shared" si="32"/>
        <v>99.083333333333329</v>
      </c>
      <c r="F1263" s="90">
        <f t="shared" si="33"/>
        <v>-5.7692307692307696E-2</v>
      </c>
    </row>
    <row r="1264" spans="1:6">
      <c r="A1264" s="5">
        <v>1824</v>
      </c>
      <c r="B1264" s="5" t="s">
        <v>16</v>
      </c>
      <c r="C1264" s="4">
        <v>98</v>
      </c>
      <c r="D1264" s="101">
        <f t="shared" si="32"/>
        <v>98.583333333333329</v>
      </c>
      <c r="F1264" s="90">
        <f t="shared" si="33"/>
        <v>-5.7692307692307696E-2</v>
      </c>
    </row>
    <row r="1265" spans="1:6">
      <c r="A1265" s="5">
        <v>1824</v>
      </c>
      <c r="B1265" s="5" t="s">
        <v>17</v>
      </c>
      <c r="C1265" s="4">
        <v>98</v>
      </c>
      <c r="D1265" s="101">
        <f t="shared" ref="D1265:D1328" si="34">AVERAGE(C1254:C1265)</f>
        <v>98.166666666666671</v>
      </c>
      <c r="F1265" s="90">
        <f t="shared" si="33"/>
        <v>-4.8543689320388349E-2</v>
      </c>
    </row>
    <row r="1266" spans="1:6">
      <c r="A1266" s="5">
        <v>1824</v>
      </c>
      <c r="B1266" s="5" t="s">
        <v>18</v>
      </c>
      <c r="C1266" s="4">
        <v>99</v>
      </c>
      <c r="D1266" s="101">
        <f t="shared" si="34"/>
        <v>97.916666666666671</v>
      </c>
      <c r="F1266" s="90">
        <f t="shared" si="33"/>
        <v>-2.9411764705882353E-2</v>
      </c>
    </row>
    <row r="1267" spans="1:6">
      <c r="A1267" s="5">
        <v>1824</v>
      </c>
      <c r="B1267" s="5" t="s">
        <v>19</v>
      </c>
      <c r="C1267" s="4">
        <v>99</v>
      </c>
      <c r="D1267" s="101">
        <f t="shared" si="34"/>
        <v>97.916666666666671</v>
      </c>
      <c r="F1267" s="90">
        <f t="shared" si="33"/>
        <v>0</v>
      </c>
    </row>
    <row r="1268" spans="1:6">
      <c r="A1268" s="5">
        <v>1824</v>
      </c>
      <c r="B1268" s="5" t="s">
        <v>20</v>
      </c>
      <c r="C1268" s="4">
        <v>98</v>
      </c>
      <c r="D1268" s="101">
        <f t="shared" si="34"/>
        <v>97.75</v>
      </c>
      <c r="E1268" s="4">
        <v>98</v>
      </c>
      <c r="F1268" s="90">
        <f t="shared" si="33"/>
        <v>-0.02</v>
      </c>
    </row>
    <row r="1269" spans="1:6">
      <c r="A1269" s="5">
        <v>1825</v>
      </c>
      <c r="B1269" s="5" t="s">
        <v>9</v>
      </c>
      <c r="C1269" s="4">
        <v>97</v>
      </c>
      <c r="D1269" s="101">
        <f t="shared" si="34"/>
        <v>97.666666666666671</v>
      </c>
      <c r="F1269" s="90">
        <f t="shared" si="33"/>
        <v>-1.020408163265306E-2</v>
      </c>
    </row>
    <row r="1270" spans="1:6">
      <c r="A1270" s="5">
        <v>1825</v>
      </c>
      <c r="B1270" s="5" t="s">
        <v>10</v>
      </c>
      <c r="C1270" s="4">
        <v>98</v>
      </c>
      <c r="D1270" s="101">
        <f t="shared" si="34"/>
        <v>97.75</v>
      </c>
      <c r="F1270" s="90">
        <f t="shared" si="33"/>
        <v>1.0309278350515464E-2</v>
      </c>
    </row>
    <row r="1271" spans="1:6">
      <c r="A1271" s="5">
        <v>1825</v>
      </c>
      <c r="B1271" s="5" t="s">
        <v>11</v>
      </c>
      <c r="C1271" s="4">
        <v>98</v>
      </c>
      <c r="D1271" s="101">
        <f t="shared" si="34"/>
        <v>97.833333333333329</v>
      </c>
      <c r="F1271" s="90">
        <f t="shared" si="33"/>
        <v>1.0309278350515464E-2</v>
      </c>
    </row>
    <row r="1272" spans="1:6">
      <c r="A1272" s="5">
        <v>1825</v>
      </c>
      <c r="B1272" s="5" t="s">
        <v>12</v>
      </c>
      <c r="C1272" s="4">
        <v>102</v>
      </c>
      <c r="D1272" s="101">
        <f t="shared" si="34"/>
        <v>98.333333333333329</v>
      </c>
      <c r="F1272" s="90">
        <f t="shared" si="33"/>
        <v>6.25E-2</v>
      </c>
    </row>
    <row r="1273" spans="1:6">
      <c r="A1273" s="5">
        <v>1825</v>
      </c>
      <c r="B1273" s="5" t="s">
        <v>13</v>
      </c>
      <c r="C1273" s="4">
        <v>106</v>
      </c>
      <c r="D1273" s="101">
        <f t="shared" si="34"/>
        <v>99.083333333333329</v>
      </c>
      <c r="F1273" s="90">
        <f t="shared" si="33"/>
        <v>9.2783505154639179E-2</v>
      </c>
    </row>
    <row r="1274" spans="1:6">
      <c r="A1274" s="5">
        <v>1825</v>
      </c>
      <c r="B1274" s="5" t="s">
        <v>14</v>
      </c>
      <c r="C1274" s="4">
        <v>107</v>
      </c>
      <c r="D1274" s="101">
        <f t="shared" si="34"/>
        <v>99.833333333333329</v>
      </c>
      <c r="F1274" s="90">
        <f t="shared" si="33"/>
        <v>9.1836734693877556E-2</v>
      </c>
    </row>
    <row r="1275" spans="1:6">
      <c r="A1275" s="5">
        <v>1825</v>
      </c>
      <c r="B1275" s="5" t="s">
        <v>15</v>
      </c>
      <c r="C1275" s="4">
        <v>106</v>
      </c>
      <c r="D1275" s="101">
        <f t="shared" si="34"/>
        <v>100.5</v>
      </c>
      <c r="F1275" s="90">
        <f t="shared" si="33"/>
        <v>8.1632653061224483E-2</v>
      </c>
    </row>
    <row r="1276" spans="1:6">
      <c r="A1276" s="5">
        <v>1825</v>
      </c>
      <c r="B1276" s="5" t="s">
        <v>16</v>
      </c>
      <c r="C1276" s="4">
        <v>105</v>
      </c>
      <c r="D1276" s="101">
        <f t="shared" si="34"/>
        <v>101.08333333333333</v>
      </c>
      <c r="F1276" s="90">
        <f t="shared" si="33"/>
        <v>7.1428571428571425E-2</v>
      </c>
    </row>
    <row r="1277" spans="1:6">
      <c r="A1277" s="5">
        <v>1825</v>
      </c>
      <c r="B1277" s="5" t="s">
        <v>17</v>
      </c>
      <c r="C1277" s="4">
        <v>106</v>
      </c>
      <c r="D1277" s="101">
        <f t="shared" si="34"/>
        <v>101.75</v>
      </c>
      <c r="F1277" s="90">
        <f t="shared" si="33"/>
        <v>8.1632653061224483E-2</v>
      </c>
    </row>
    <row r="1278" spans="1:6">
      <c r="A1278" s="5">
        <v>1825</v>
      </c>
      <c r="B1278" s="5" t="s">
        <v>18</v>
      </c>
      <c r="C1278" s="4">
        <v>105</v>
      </c>
      <c r="D1278" s="101">
        <f t="shared" si="34"/>
        <v>102.25</v>
      </c>
      <c r="F1278" s="90">
        <f t="shared" si="33"/>
        <v>6.0606060606060608E-2</v>
      </c>
    </row>
    <row r="1279" spans="1:6">
      <c r="A1279" s="5">
        <v>1825</v>
      </c>
      <c r="B1279" s="5" t="s">
        <v>19</v>
      </c>
      <c r="C1279" s="4">
        <v>104</v>
      </c>
      <c r="D1279" s="101">
        <f t="shared" si="34"/>
        <v>102.66666666666667</v>
      </c>
      <c r="F1279" s="90">
        <f t="shared" si="33"/>
        <v>5.0505050505050504E-2</v>
      </c>
    </row>
    <row r="1280" spans="1:6">
      <c r="A1280" s="5">
        <v>1825</v>
      </c>
      <c r="B1280" s="5" t="s">
        <v>20</v>
      </c>
      <c r="C1280" s="4">
        <v>103</v>
      </c>
      <c r="D1280" s="101">
        <f t="shared" si="34"/>
        <v>103.08333333333333</v>
      </c>
      <c r="E1280" s="4">
        <v>103</v>
      </c>
      <c r="F1280" s="90">
        <f t="shared" si="33"/>
        <v>5.1020408163265307E-2</v>
      </c>
    </row>
    <row r="1281" spans="1:6">
      <c r="A1281" s="5">
        <v>1826</v>
      </c>
      <c r="B1281" s="5" t="s">
        <v>9</v>
      </c>
      <c r="C1281" s="4">
        <v>103</v>
      </c>
      <c r="D1281" s="101">
        <f t="shared" si="34"/>
        <v>103.58333333333333</v>
      </c>
      <c r="F1281" s="90">
        <f t="shared" si="33"/>
        <v>6.1855670103092786E-2</v>
      </c>
    </row>
    <row r="1282" spans="1:6">
      <c r="A1282" s="5">
        <v>1826</v>
      </c>
      <c r="B1282" s="5" t="s">
        <v>10</v>
      </c>
      <c r="C1282" s="4">
        <v>102</v>
      </c>
      <c r="D1282" s="101">
        <f t="shared" si="34"/>
        <v>103.91666666666667</v>
      </c>
      <c r="F1282" s="90">
        <f t="shared" si="33"/>
        <v>4.0816326530612242E-2</v>
      </c>
    </row>
    <row r="1283" spans="1:6">
      <c r="A1283" s="5">
        <v>1826</v>
      </c>
      <c r="B1283" s="5" t="s">
        <v>11</v>
      </c>
      <c r="C1283" s="4">
        <v>100</v>
      </c>
      <c r="D1283" s="101">
        <f t="shared" si="34"/>
        <v>104.08333333333333</v>
      </c>
      <c r="F1283" s="90">
        <f t="shared" si="33"/>
        <v>2.0408163265306121E-2</v>
      </c>
    </row>
    <row r="1284" spans="1:6">
      <c r="A1284" s="5">
        <v>1826</v>
      </c>
      <c r="B1284" s="5" t="s">
        <v>12</v>
      </c>
      <c r="C1284" s="4">
        <v>100</v>
      </c>
      <c r="D1284" s="101">
        <f t="shared" si="34"/>
        <v>103.91666666666667</v>
      </c>
      <c r="F1284" s="90">
        <f t="shared" si="33"/>
        <v>-1.9607843137254902E-2</v>
      </c>
    </row>
    <row r="1285" spans="1:6">
      <c r="A1285" s="5">
        <v>1826</v>
      </c>
      <c r="B1285" s="5" t="s">
        <v>13</v>
      </c>
      <c r="C1285" s="4">
        <v>98</v>
      </c>
      <c r="D1285" s="101">
        <f t="shared" si="34"/>
        <v>103.25</v>
      </c>
      <c r="F1285" s="90">
        <f t="shared" si="33"/>
        <v>-7.5471698113207544E-2</v>
      </c>
    </row>
    <row r="1286" spans="1:6">
      <c r="A1286" s="5">
        <v>1826</v>
      </c>
      <c r="B1286" s="5" t="s">
        <v>14</v>
      </c>
      <c r="C1286" s="4">
        <v>99</v>
      </c>
      <c r="D1286" s="101">
        <f t="shared" si="34"/>
        <v>102.58333333333333</v>
      </c>
      <c r="F1286" s="90">
        <f t="shared" si="33"/>
        <v>-7.476635514018691E-2</v>
      </c>
    </row>
    <row r="1287" spans="1:6">
      <c r="A1287" s="5">
        <v>1826</v>
      </c>
      <c r="B1287" s="5" t="s">
        <v>15</v>
      </c>
      <c r="C1287" s="4">
        <v>101</v>
      </c>
      <c r="D1287" s="101">
        <f t="shared" si="34"/>
        <v>102.16666666666667</v>
      </c>
      <c r="F1287" s="90">
        <f t="shared" si="33"/>
        <v>-4.716981132075472E-2</v>
      </c>
    </row>
    <row r="1288" spans="1:6">
      <c r="A1288" s="5">
        <v>1826</v>
      </c>
      <c r="B1288" s="5" t="s">
        <v>16</v>
      </c>
      <c r="C1288" s="4">
        <v>98</v>
      </c>
      <c r="D1288" s="101">
        <f t="shared" si="34"/>
        <v>101.58333333333333</v>
      </c>
      <c r="F1288" s="90">
        <f t="shared" si="33"/>
        <v>-6.6666666666666666E-2</v>
      </c>
    </row>
    <row r="1289" spans="1:6">
      <c r="A1289" s="5">
        <v>1826</v>
      </c>
      <c r="B1289" s="5" t="s">
        <v>17</v>
      </c>
      <c r="C1289" s="4">
        <v>98</v>
      </c>
      <c r="D1289" s="101">
        <f t="shared" si="34"/>
        <v>100.91666666666667</v>
      </c>
      <c r="F1289" s="90">
        <f t="shared" si="33"/>
        <v>-7.5471698113207544E-2</v>
      </c>
    </row>
    <row r="1290" spans="1:6">
      <c r="A1290" s="5">
        <v>1826</v>
      </c>
      <c r="B1290" s="5" t="s">
        <v>18</v>
      </c>
      <c r="C1290" s="4">
        <v>98</v>
      </c>
      <c r="D1290" s="101">
        <f t="shared" si="34"/>
        <v>100.33333333333333</v>
      </c>
      <c r="F1290" s="90">
        <f t="shared" si="33"/>
        <v>-6.6666666666666666E-2</v>
      </c>
    </row>
    <row r="1291" spans="1:6">
      <c r="A1291" s="5">
        <v>1826</v>
      </c>
      <c r="B1291" s="5" t="s">
        <v>19</v>
      </c>
      <c r="C1291" s="4">
        <v>98</v>
      </c>
      <c r="D1291" s="101">
        <f t="shared" si="34"/>
        <v>99.833333333333329</v>
      </c>
      <c r="F1291" s="90">
        <f t="shared" si="33"/>
        <v>-5.7692307692307696E-2</v>
      </c>
    </row>
    <row r="1292" spans="1:6">
      <c r="A1292" s="5">
        <v>1826</v>
      </c>
      <c r="B1292" s="5" t="s">
        <v>20</v>
      </c>
      <c r="C1292" s="4">
        <v>98</v>
      </c>
      <c r="D1292" s="101">
        <f t="shared" si="34"/>
        <v>99.416666666666671</v>
      </c>
      <c r="E1292" s="4">
        <v>99</v>
      </c>
      <c r="F1292" s="90">
        <f t="shared" si="33"/>
        <v>-4.8543689320388349E-2</v>
      </c>
    </row>
    <row r="1293" spans="1:6">
      <c r="A1293" s="5">
        <v>1827</v>
      </c>
      <c r="B1293" s="5" t="s">
        <v>9</v>
      </c>
      <c r="C1293" s="4">
        <v>99</v>
      </c>
      <c r="D1293" s="101">
        <f t="shared" si="34"/>
        <v>99.083333333333329</v>
      </c>
      <c r="F1293" s="90">
        <f t="shared" si="33"/>
        <v>-3.8834951456310676E-2</v>
      </c>
    </row>
    <row r="1294" spans="1:6">
      <c r="A1294" s="5">
        <v>1827</v>
      </c>
      <c r="B1294" s="5" t="s">
        <v>10</v>
      </c>
      <c r="C1294" s="4">
        <v>99</v>
      </c>
      <c r="D1294" s="101">
        <f t="shared" si="34"/>
        <v>98.833333333333329</v>
      </c>
      <c r="F1294" s="90">
        <f t="shared" si="33"/>
        <v>-2.9411764705882353E-2</v>
      </c>
    </row>
    <row r="1295" spans="1:6">
      <c r="A1295" s="5">
        <v>1827</v>
      </c>
      <c r="B1295" s="5" t="s">
        <v>11</v>
      </c>
      <c r="C1295" s="4">
        <v>99</v>
      </c>
      <c r="D1295" s="101">
        <f t="shared" si="34"/>
        <v>98.75</v>
      </c>
      <c r="F1295" s="90">
        <f t="shared" si="33"/>
        <v>-0.01</v>
      </c>
    </row>
    <row r="1296" spans="1:6">
      <c r="A1296" s="5">
        <v>1827</v>
      </c>
      <c r="B1296" s="5" t="s">
        <v>12</v>
      </c>
      <c r="C1296" s="4">
        <v>99</v>
      </c>
      <c r="D1296" s="101">
        <f t="shared" si="34"/>
        <v>98.666666666666671</v>
      </c>
      <c r="F1296" s="90">
        <f t="shared" si="33"/>
        <v>-0.01</v>
      </c>
    </row>
    <row r="1297" spans="1:6">
      <c r="A1297" s="5">
        <v>1827</v>
      </c>
      <c r="B1297" s="5" t="s">
        <v>13</v>
      </c>
      <c r="C1297" s="4">
        <v>98</v>
      </c>
      <c r="D1297" s="101">
        <f t="shared" si="34"/>
        <v>98.666666666666671</v>
      </c>
      <c r="F1297" s="90">
        <f t="shared" si="33"/>
        <v>0</v>
      </c>
    </row>
    <row r="1298" spans="1:6">
      <c r="A1298" s="5">
        <v>1827</v>
      </c>
      <c r="B1298" s="5" t="s">
        <v>14</v>
      </c>
      <c r="C1298" s="4">
        <v>97</v>
      </c>
      <c r="D1298" s="101">
        <f t="shared" si="34"/>
        <v>98.5</v>
      </c>
      <c r="F1298" s="90">
        <f t="shared" si="33"/>
        <v>-2.0202020202020204E-2</v>
      </c>
    </row>
    <row r="1299" spans="1:6">
      <c r="A1299" s="5">
        <v>1827</v>
      </c>
      <c r="B1299" s="5" t="s">
        <v>15</v>
      </c>
      <c r="C1299" s="4">
        <v>96</v>
      </c>
      <c r="D1299" s="101">
        <f t="shared" si="34"/>
        <v>98.083333333333329</v>
      </c>
      <c r="F1299" s="90">
        <f t="shared" si="33"/>
        <v>-4.9504950495049507E-2</v>
      </c>
    </row>
    <row r="1300" spans="1:6">
      <c r="A1300" s="5">
        <v>1827</v>
      </c>
      <c r="B1300" s="5" t="s">
        <v>16</v>
      </c>
      <c r="C1300" s="4">
        <v>96</v>
      </c>
      <c r="D1300" s="101">
        <f t="shared" si="34"/>
        <v>97.916666666666671</v>
      </c>
      <c r="F1300" s="90">
        <f t="shared" si="33"/>
        <v>-2.0408163265306121E-2</v>
      </c>
    </row>
    <row r="1301" spans="1:6">
      <c r="A1301" s="5">
        <v>1827</v>
      </c>
      <c r="B1301" s="5" t="s">
        <v>17</v>
      </c>
      <c r="C1301" s="4">
        <v>96</v>
      </c>
      <c r="D1301" s="101">
        <f t="shared" si="34"/>
        <v>97.75</v>
      </c>
      <c r="F1301" s="90">
        <f t="shared" ref="F1301:F1364" si="35">(C1301-C1289)/C1289</f>
        <v>-2.0408163265306121E-2</v>
      </c>
    </row>
    <row r="1302" spans="1:6">
      <c r="A1302" s="5">
        <v>1827</v>
      </c>
      <c r="B1302" s="5" t="s">
        <v>18</v>
      </c>
      <c r="C1302" s="4">
        <v>96</v>
      </c>
      <c r="D1302" s="101">
        <f t="shared" si="34"/>
        <v>97.583333333333329</v>
      </c>
      <c r="F1302" s="90">
        <f t="shared" si="35"/>
        <v>-2.0408163265306121E-2</v>
      </c>
    </row>
    <row r="1303" spans="1:6">
      <c r="A1303" s="5">
        <v>1827</v>
      </c>
      <c r="B1303" s="5" t="s">
        <v>19</v>
      </c>
      <c r="C1303" s="4">
        <v>96</v>
      </c>
      <c r="D1303" s="101">
        <f t="shared" si="34"/>
        <v>97.416666666666671</v>
      </c>
      <c r="F1303" s="90">
        <f t="shared" si="35"/>
        <v>-2.0408163265306121E-2</v>
      </c>
    </row>
    <row r="1304" spans="1:6">
      <c r="A1304" s="5">
        <v>1827</v>
      </c>
      <c r="B1304" s="5" t="s">
        <v>20</v>
      </c>
      <c r="C1304" s="4">
        <v>99</v>
      </c>
      <c r="D1304" s="101">
        <f t="shared" si="34"/>
        <v>97.5</v>
      </c>
      <c r="E1304" s="4">
        <v>98</v>
      </c>
      <c r="F1304" s="90">
        <f t="shared" si="35"/>
        <v>1.020408163265306E-2</v>
      </c>
    </row>
    <row r="1305" spans="1:6">
      <c r="A1305" s="5">
        <v>1828</v>
      </c>
      <c r="B1305" s="5" t="s">
        <v>9</v>
      </c>
      <c r="C1305" s="4">
        <v>98</v>
      </c>
      <c r="D1305" s="101">
        <f t="shared" si="34"/>
        <v>97.416666666666671</v>
      </c>
      <c r="F1305" s="90">
        <f t="shared" si="35"/>
        <v>-1.0101010101010102E-2</v>
      </c>
    </row>
    <row r="1306" spans="1:6">
      <c r="A1306" s="5">
        <v>1828</v>
      </c>
      <c r="B1306" s="5" t="s">
        <v>10</v>
      </c>
      <c r="C1306" s="4">
        <v>97</v>
      </c>
      <c r="D1306" s="101">
        <f t="shared" si="34"/>
        <v>97.25</v>
      </c>
      <c r="F1306" s="90">
        <f t="shared" si="35"/>
        <v>-2.0202020202020204E-2</v>
      </c>
    </row>
    <row r="1307" spans="1:6">
      <c r="A1307" s="5">
        <v>1828</v>
      </c>
      <c r="B1307" s="5" t="s">
        <v>11</v>
      </c>
      <c r="C1307" s="4">
        <v>95</v>
      </c>
      <c r="D1307" s="101">
        <f t="shared" si="34"/>
        <v>96.916666666666671</v>
      </c>
      <c r="F1307" s="90">
        <f t="shared" si="35"/>
        <v>-4.0404040404040407E-2</v>
      </c>
    </row>
    <row r="1308" spans="1:6">
      <c r="A1308" s="5">
        <v>1828</v>
      </c>
      <c r="B1308" s="5" t="s">
        <v>12</v>
      </c>
      <c r="C1308" s="4">
        <v>94</v>
      </c>
      <c r="D1308" s="101">
        <f t="shared" si="34"/>
        <v>96.5</v>
      </c>
      <c r="F1308" s="90">
        <f t="shared" si="35"/>
        <v>-5.0505050505050504E-2</v>
      </c>
    </row>
    <row r="1309" spans="1:6">
      <c r="A1309" s="5">
        <v>1828</v>
      </c>
      <c r="B1309" s="5" t="s">
        <v>13</v>
      </c>
      <c r="C1309" s="4">
        <v>94</v>
      </c>
      <c r="D1309" s="101">
        <f t="shared" si="34"/>
        <v>96.166666666666671</v>
      </c>
      <c r="F1309" s="90">
        <f t="shared" si="35"/>
        <v>-4.0816326530612242E-2</v>
      </c>
    </row>
    <row r="1310" spans="1:6">
      <c r="A1310" s="5">
        <v>1828</v>
      </c>
      <c r="B1310" s="5" t="s">
        <v>14</v>
      </c>
      <c r="C1310" s="4">
        <v>95</v>
      </c>
      <c r="D1310" s="101">
        <f t="shared" si="34"/>
        <v>96</v>
      </c>
      <c r="F1310" s="90">
        <f t="shared" si="35"/>
        <v>-2.0618556701030927E-2</v>
      </c>
    </row>
    <row r="1311" spans="1:6">
      <c r="A1311" s="5">
        <v>1828</v>
      </c>
      <c r="B1311" s="5" t="s">
        <v>15</v>
      </c>
      <c r="C1311" s="4">
        <v>95</v>
      </c>
      <c r="D1311" s="101">
        <f t="shared" si="34"/>
        <v>95.916666666666671</v>
      </c>
      <c r="F1311" s="90">
        <f t="shared" si="35"/>
        <v>-1.0416666666666666E-2</v>
      </c>
    </row>
    <row r="1312" spans="1:6">
      <c r="A1312" s="5">
        <v>1828</v>
      </c>
      <c r="B1312" s="5" t="s">
        <v>16</v>
      </c>
      <c r="C1312" s="4">
        <v>95</v>
      </c>
      <c r="D1312" s="101">
        <f t="shared" si="34"/>
        <v>95.833333333333329</v>
      </c>
      <c r="F1312" s="90">
        <f t="shared" si="35"/>
        <v>-1.0416666666666666E-2</v>
      </c>
    </row>
    <row r="1313" spans="1:6">
      <c r="A1313" s="5">
        <v>1828</v>
      </c>
      <c r="B1313" s="5" t="s">
        <v>17</v>
      </c>
      <c r="C1313" s="4">
        <v>96</v>
      </c>
      <c r="D1313" s="101">
        <f t="shared" si="34"/>
        <v>95.833333333333329</v>
      </c>
      <c r="F1313" s="90">
        <f t="shared" si="35"/>
        <v>0</v>
      </c>
    </row>
    <row r="1314" spans="1:6">
      <c r="A1314" s="5">
        <v>1828</v>
      </c>
      <c r="B1314" s="5" t="s">
        <v>18</v>
      </c>
      <c r="C1314" s="4">
        <v>99</v>
      </c>
      <c r="D1314" s="101">
        <f t="shared" si="34"/>
        <v>96.083333333333329</v>
      </c>
      <c r="F1314" s="90">
        <f t="shared" si="35"/>
        <v>3.125E-2</v>
      </c>
    </row>
    <row r="1315" spans="1:6">
      <c r="A1315" s="5">
        <v>1828</v>
      </c>
      <c r="B1315" s="5" t="s">
        <v>19</v>
      </c>
      <c r="C1315" s="4">
        <v>99</v>
      </c>
      <c r="D1315" s="101">
        <f t="shared" si="34"/>
        <v>96.333333333333329</v>
      </c>
      <c r="F1315" s="90">
        <f t="shared" si="35"/>
        <v>3.125E-2</v>
      </c>
    </row>
    <row r="1316" spans="1:6">
      <c r="A1316" s="5">
        <v>1828</v>
      </c>
      <c r="B1316" s="5" t="s">
        <v>20</v>
      </c>
      <c r="C1316" s="4">
        <v>101</v>
      </c>
      <c r="D1316" s="101">
        <f t="shared" si="34"/>
        <v>96.5</v>
      </c>
      <c r="E1316" s="4">
        <v>97</v>
      </c>
      <c r="F1316" s="90">
        <f t="shared" si="35"/>
        <v>2.0202020202020204E-2</v>
      </c>
    </row>
    <row r="1317" spans="1:6">
      <c r="A1317" s="5">
        <v>1829</v>
      </c>
      <c r="B1317" s="5" t="s">
        <v>9</v>
      </c>
      <c r="C1317" s="4">
        <v>102</v>
      </c>
      <c r="D1317" s="101">
        <f t="shared" si="34"/>
        <v>96.833333333333329</v>
      </c>
      <c r="F1317" s="90">
        <f t="shared" si="35"/>
        <v>4.0816326530612242E-2</v>
      </c>
    </row>
    <row r="1318" spans="1:6">
      <c r="A1318" s="5">
        <v>1829</v>
      </c>
      <c r="B1318" s="5" t="s">
        <v>10</v>
      </c>
      <c r="C1318" s="4">
        <v>100</v>
      </c>
      <c r="D1318" s="101">
        <f t="shared" si="34"/>
        <v>97.083333333333329</v>
      </c>
      <c r="F1318" s="90">
        <f t="shared" si="35"/>
        <v>3.0927835051546393E-2</v>
      </c>
    </row>
    <row r="1319" spans="1:6">
      <c r="A1319" s="5">
        <v>1829</v>
      </c>
      <c r="B1319" s="5" t="s">
        <v>11</v>
      </c>
      <c r="C1319" s="4">
        <v>99</v>
      </c>
      <c r="D1319" s="101">
        <f t="shared" si="34"/>
        <v>97.416666666666671</v>
      </c>
      <c r="F1319" s="90">
        <f t="shared" si="35"/>
        <v>4.2105263157894736E-2</v>
      </c>
    </row>
    <row r="1320" spans="1:6">
      <c r="A1320" s="5">
        <v>1829</v>
      </c>
      <c r="B1320" s="5" t="s">
        <v>12</v>
      </c>
      <c r="C1320" s="4">
        <v>99</v>
      </c>
      <c r="D1320" s="101">
        <f t="shared" si="34"/>
        <v>97.833333333333329</v>
      </c>
      <c r="F1320" s="90">
        <f t="shared" si="35"/>
        <v>5.3191489361702128E-2</v>
      </c>
    </row>
    <row r="1321" spans="1:6">
      <c r="A1321" s="5">
        <v>1829</v>
      </c>
      <c r="B1321" s="5" t="s">
        <v>13</v>
      </c>
      <c r="C1321" s="4">
        <v>97</v>
      </c>
      <c r="D1321" s="101">
        <f t="shared" si="34"/>
        <v>98.083333333333329</v>
      </c>
      <c r="F1321" s="90">
        <f t="shared" si="35"/>
        <v>3.1914893617021274E-2</v>
      </c>
    </row>
    <row r="1322" spans="1:6">
      <c r="A1322" s="5">
        <v>1829</v>
      </c>
      <c r="B1322" s="5" t="s">
        <v>14</v>
      </c>
      <c r="C1322" s="4">
        <v>97</v>
      </c>
      <c r="D1322" s="101">
        <f t="shared" si="34"/>
        <v>98.25</v>
      </c>
      <c r="F1322" s="90">
        <f t="shared" si="35"/>
        <v>2.1052631578947368E-2</v>
      </c>
    </row>
    <row r="1323" spans="1:6">
      <c r="A1323" s="5">
        <v>1829</v>
      </c>
      <c r="B1323" s="5" t="s">
        <v>15</v>
      </c>
      <c r="C1323" s="4">
        <v>93</v>
      </c>
      <c r="D1323" s="101">
        <f t="shared" si="34"/>
        <v>98.083333333333329</v>
      </c>
      <c r="F1323" s="90">
        <f t="shared" si="35"/>
        <v>-2.1052631578947368E-2</v>
      </c>
    </row>
    <row r="1324" spans="1:6">
      <c r="A1324" s="5">
        <v>1829</v>
      </c>
      <c r="B1324" s="5" t="s">
        <v>16</v>
      </c>
      <c r="C1324" s="4">
        <v>92</v>
      </c>
      <c r="D1324" s="101">
        <f t="shared" si="34"/>
        <v>97.833333333333329</v>
      </c>
      <c r="F1324" s="90">
        <f t="shared" si="35"/>
        <v>-3.1578947368421054E-2</v>
      </c>
    </row>
    <row r="1325" spans="1:6">
      <c r="A1325" s="5">
        <v>1829</v>
      </c>
      <c r="B1325" s="5" t="s">
        <v>17</v>
      </c>
      <c r="C1325" s="4">
        <v>92</v>
      </c>
      <c r="D1325" s="101">
        <f t="shared" si="34"/>
        <v>97.5</v>
      </c>
      <c r="F1325" s="90">
        <f t="shared" si="35"/>
        <v>-4.1666666666666664E-2</v>
      </c>
    </row>
    <row r="1326" spans="1:6">
      <c r="A1326" s="5">
        <v>1829</v>
      </c>
      <c r="B1326" s="5" t="s">
        <v>18</v>
      </c>
      <c r="C1326" s="4">
        <v>92</v>
      </c>
      <c r="D1326" s="101">
        <f t="shared" si="34"/>
        <v>96.916666666666671</v>
      </c>
      <c r="F1326" s="90">
        <f t="shared" si="35"/>
        <v>-7.0707070707070704E-2</v>
      </c>
    </row>
    <row r="1327" spans="1:6">
      <c r="A1327" s="5">
        <v>1829</v>
      </c>
      <c r="B1327" s="5" t="s">
        <v>19</v>
      </c>
      <c r="C1327" s="4">
        <v>92</v>
      </c>
      <c r="D1327" s="101">
        <f t="shared" si="34"/>
        <v>96.333333333333329</v>
      </c>
      <c r="F1327" s="90">
        <f t="shared" si="35"/>
        <v>-7.0707070707070704E-2</v>
      </c>
    </row>
    <row r="1328" spans="1:6">
      <c r="A1328" s="5">
        <v>1829</v>
      </c>
      <c r="B1328" s="5" t="s">
        <v>20</v>
      </c>
      <c r="C1328" s="4">
        <v>91</v>
      </c>
      <c r="D1328" s="101">
        <f t="shared" si="34"/>
        <v>95.5</v>
      </c>
      <c r="E1328" s="4">
        <v>96</v>
      </c>
      <c r="F1328" s="90">
        <f t="shared" si="35"/>
        <v>-9.9009900990099015E-2</v>
      </c>
    </row>
    <row r="1329" spans="1:6">
      <c r="A1329" s="5">
        <v>1830</v>
      </c>
      <c r="B1329" s="5" t="s">
        <v>9</v>
      </c>
      <c r="C1329" s="4">
        <v>91</v>
      </c>
      <c r="D1329" s="101">
        <f t="shared" ref="D1329:D1392" si="36">AVERAGE(C1318:C1329)</f>
        <v>94.583333333333329</v>
      </c>
      <c r="F1329" s="90">
        <f t="shared" si="35"/>
        <v>-0.10784313725490197</v>
      </c>
    </row>
    <row r="1330" spans="1:6">
      <c r="A1330" s="5">
        <v>1830</v>
      </c>
      <c r="B1330" s="5" t="s">
        <v>10</v>
      </c>
      <c r="C1330" s="4">
        <v>91</v>
      </c>
      <c r="D1330" s="101">
        <f t="shared" si="36"/>
        <v>93.833333333333329</v>
      </c>
      <c r="F1330" s="90">
        <f t="shared" si="35"/>
        <v>-0.09</v>
      </c>
    </row>
    <row r="1331" spans="1:6">
      <c r="A1331" s="5">
        <v>1830</v>
      </c>
      <c r="B1331" s="5" t="s">
        <v>11</v>
      </c>
      <c r="C1331" s="4">
        <v>91</v>
      </c>
      <c r="D1331" s="101">
        <f t="shared" si="36"/>
        <v>93.166666666666671</v>
      </c>
      <c r="F1331" s="90">
        <f t="shared" si="35"/>
        <v>-8.0808080808080815E-2</v>
      </c>
    </row>
    <row r="1332" spans="1:6">
      <c r="A1332" s="5">
        <v>1830</v>
      </c>
      <c r="B1332" s="5" t="s">
        <v>12</v>
      </c>
      <c r="C1332" s="4">
        <v>89</v>
      </c>
      <c r="D1332" s="101">
        <f t="shared" si="36"/>
        <v>92.333333333333329</v>
      </c>
      <c r="F1332" s="90">
        <f t="shared" si="35"/>
        <v>-0.10101010101010101</v>
      </c>
    </row>
    <row r="1333" spans="1:6">
      <c r="A1333" s="5">
        <v>1830</v>
      </c>
      <c r="B1333" s="5" t="s">
        <v>13</v>
      </c>
      <c r="C1333" s="4">
        <v>90</v>
      </c>
      <c r="D1333" s="101">
        <f t="shared" si="36"/>
        <v>91.75</v>
      </c>
      <c r="F1333" s="90">
        <f t="shared" si="35"/>
        <v>-7.2164948453608241E-2</v>
      </c>
    </row>
    <row r="1334" spans="1:6">
      <c r="A1334" s="5">
        <v>1830</v>
      </c>
      <c r="B1334" s="5" t="s">
        <v>14</v>
      </c>
      <c r="C1334" s="4">
        <v>91</v>
      </c>
      <c r="D1334" s="101">
        <f t="shared" si="36"/>
        <v>91.25</v>
      </c>
      <c r="F1334" s="90">
        <f t="shared" si="35"/>
        <v>-6.1855670103092786E-2</v>
      </c>
    </row>
    <row r="1335" spans="1:6">
      <c r="A1335" s="5">
        <v>1830</v>
      </c>
      <c r="B1335" s="5" t="s">
        <v>15</v>
      </c>
      <c r="C1335" s="4">
        <v>91</v>
      </c>
      <c r="D1335" s="101">
        <f t="shared" si="36"/>
        <v>91.083333333333329</v>
      </c>
      <c r="F1335" s="90">
        <f t="shared" si="35"/>
        <v>-2.1505376344086023E-2</v>
      </c>
    </row>
    <row r="1336" spans="1:6">
      <c r="A1336" s="5">
        <v>1830</v>
      </c>
      <c r="B1336" s="5" t="s">
        <v>16</v>
      </c>
      <c r="C1336" s="4">
        <v>92</v>
      </c>
      <c r="D1336" s="101">
        <f t="shared" si="36"/>
        <v>91.083333333333329</v>
      </c>
      <c r="F1336" s="90">
        <f t="shared" si="35"/>
        <v>0</v>
      </c>
    </row>
    <row r="1337" spans="1:6">
      <c r="A1337" s="5">
        <v>1830</v>
      </c>
      <c r="B1337" s="5" t="s">
        <v>17</v>
      </c>
      <c r="C1337" s="4">
        <v>93</v>
      </c>
      <c r="D1337" s="101">
        <f t="shared" si="36"/>
        <v>91.166666666666671</v>
      </c>
      <c r="F1337" s="90">
        <f t="shared" si="35"/>
        <v>1.0869565217391304E-2</v>
      </c>
    </row>
    <row r="1338" spans="1:6">
      <c r="A1338" s="5">
        <v>1830</v>
      </c>
      <c r="B1338" s="5" t="s">
        <v>18</v>
      </c>
      <c r="C1338" s="4">
        <v>92</v>
      </c>
      <c r="D1338" s="101">
        <f t="shared" si="36"/>
        <v>91.166666666666671</v>
      </c>
      <c r="F1338" s="90">
        <f t="shared" si="35"/>
        <v>0</v>
      </c>
    </row>
    <row r="1339" spans="1:6">
      <c r="A1339" s="5">
        <v>1830</v>
      </c>
      <c r="B1339" s="5" t="s">
        <v>19</v>
      </c>
      <c r="C1339" s="4">
        <v>91</v>
      </c>
      <c r="D1339" s="101">
        <f t="shared" si="36"/>
        <v>91.083333333333329</v>
      </c>
      <c r="F1339" s="90">
        <f t="shared" si="35"/>
        <v>-1.0869565217391304E-2</v>
      </c>
    </row>
    <row r="1340" spans="1:6">
      <c r="A1340" s="5">
        <v>1830</v>
      </c>
      <c r="B1340" s="5" t="s">
        <v>20</v>
      </c>
      <c r="C1340" s="4">
        <v>90</v>
      </c>
      <c r="D1340" s="101">
        <f t="shared" si="36"/>
        <v>91</v>
      </c>
      <c r="E1340" s="4">
        <v>91</v>
      </c>
      <c r="F1340" s="90">
        <f t="shared" si="35"/>
        <v>-1.098901098901099E-2</v>
      </c>
    </row>
    <row r="1341" spans="1:6">
      <c r="A1341" s="5">
        <v>1831</v>
      </c>
      <c r="B1341" s="5" t="s">
        <v>9</v>
      </c>
      <c r="C1341" s="4">
        <v>91</v>
      </c>
      <c r="D1341" s="101">
        <f t="shared" si="36"/>
        <v>91</v>
      </c>
      <c r="F1341" s="90">
        <f t="shared" si="35"/>
        <v>0</v>
      </c>
    </row>
    <row r="1342" spans="1:6">
      <c r="A1342" s="5">
        <v>1831</v>
      </c>
      <c r="B1342" s="5" t="s">
        <v>10</v>
      </c>
      <c r="C1342" s="4">
        <v>92</v>
      </c>
      <c r="D1342" s="101">
        <f t="shared" si="36"/>
        <v>91.083333333333329</v>
      </c>
      <c r="F1342" s="90">
        <f t="shared" si="35"/>
        <v>1.098901098901099E-2</v>
      </c>
    </row>
    <row r="1343" spans="1:6">
      <c r="A1343" s="5">
        <v>1831</v>
      </c>
      <c r="B1343" s="5" t="s">
        <v>11</v>
      </c>
      <c r="C1343" s="4">
        <v>93</v>
      </c>
      <c r="D1343" s="101">
        <f t="shared" si="36"/>
        <v>91.25</v>
      </c>
      <c r="F1343" s="90">
        <f t="shared" si="35"/>
        <v>2.197802197802198E-2</v>
      </c>
    </row>
    <row r="1344" spans="1:6">
      <c r="A1344" s="5">
        <v>1831</v>
      </c>
      <c r="B1344" s="5" t="s">
        <v>12</v>
      </c>
      <c r="C1344" s="4">
        <v>95</v>
      </c>
      <c r="D1344" s="101">
        <f t="shared" si="36"/>
        <v>91.75</v>
      </c>
      <c r="F1344" s="90">
        <f t="shared" si="35"/>
        <v>6.741573033707865E-2</v>
      </c>
    </row>
    <row r="1345" spans="1:6">
      <c r="A1345" s="5">
        <v>1831</v>
      </c>
      <c r="B1345" s="5" t="s">
        <v>13</v>
      </c>
      <c r="C1345" s="4">
        <v>95</v>
      </c>
      <c r="D1345" s="101">
        <f t="shared" si="36"/>
        <v>92.166666666666671</v>
      </c>
      <c r="F1345" s="90">
        <f t="shared" si="35"/>
        <v>5.5555555555555552E-2</v>
      </c>
    </row>
    <row r="1346" spans="1:6">
      <c r="A1346" s="5">
        <v>1831</v>
      </c>
      <c r="B1346" s="5" t="s">
        <v>14</v>
      </c>
      <c r="C1346" s="4">
        <v>94</v>
      </c>
      <c r="D1346" s="101">
        <f t="shared" si="36"/>
        <v>92.416666666666671</v>
      </c>
      <c r="F1346" s="90">
        <f t="shared" si="35"/>
        <v>3.2967032967032968E-2</v>
      </c>
    </row>
    <row r="1347" spans="1:6">
      <c r="A1347" s="5">
        <v>1831</v>
      </c>
      <c r="B1347" s="5" t="s">
        <v>15</v>
      </c>
      <c r="C1347" s="4">
        <v>93</v>
      </c>
      <c r="D1347" s="101">
        <f t="shared" si="36"/>
        <v>92.583333333333329</v>
      </c>
      <c r="F1347" s="90">
        <f t="shared" si="35"/>
        <v>2.197802197802198E-2</v>
      </c>
    </row>
    <row r="1348" spans="1:6">
      <c r="A1348" s="5">
        <v>1831</v>
      </c>
      <c r="B1348" s="5" t="s">
        <v>16</v>
      </c>
      <c r="C1348" s="4">
        <v>92</v>
      </c>
      <c r="D1348" s="101">
        <f t="shared" si="36"/>
        <v>92.583333333333329</v>
      </c>
      <c r="F1348" s="90">
        <f t="shared" si="35"/>
        <v>0</v>
      </c>
    </row>
    <row r="1349" spans="1:6">
      <c r="A1349" s="5">
        <v>1831</v>
      </c>
      <c r="B1349" s="5" t="s">
        <v>17</v>
      </c>
      <c r="C1349" s="4">
        <v>94</v>
      </c>
      <c r="D1349" s="101">
        <f t="shared" si="36"/>
        <v>92.666666666666671</v>
      </c>
      <c r="F1349" s="90">
        <f t="shared" si="35"/>
        <v>1.0752688172043012E-2</v>
      </c>
    </row>
    <row r="1350" spans="1:6">
      <c r="A1350" s="5">
        <v>1831</v>
      </c>
      <c r="B1350" s="5" t="s">
        <v>18</v>
      </c>
      <c r="C1350" s="4">
        <v>95</v>
      </c>
      <c r="D1350" s="101">
        <f t="shared" si="36"/>
        <v>92.916666666666671</v>
      </c>
      <c r="F1350" s="90">
        <f t="shared" si="35"/>
        <v>3.2608695652173912E-2</v>
      </c>
    </row>
    <row r="1351" spans="1:6">
      <c r="A1351" s="5">
        <v>1831</v>
      </c>
      <c r="B1351" s="5" t="s">
        <v>19</v>
      </c>
      <c r="C1351" s="4">
        <v>96</v>
      </c>
      <c r="D1351" s="101">
        <f t="shared" si="36"/>
        <v>93.333333333333329</v>
      </c>
      <c r="F1351" s="90">
        <f t="shared" si="35"/>
        <v>5.4945054945054944E-2</v>
      </c>
    </row>
    <row r="1352" spans="1:6">
      <c r="A1352" s="5">
        <v>1831</v>
      </c>
      <c r="B1352" s="5" t="s">
        <v>20</v>
      </c>
      <c r="C1352" s="4">
        <v>96</v>
      </c>
      <c r="D1352" s="101">
        <f t="shared" si="36"/>
        <v>93.833333333333329</v>
      </c>
      <c r="E1352" s="4">
        <v>94</v>
      </c>
      <c r="F1352" s="90">
        <f t="shared" si="35"/>
        <v>6.6666666666666666E-2</v>
      </c>
    </row>
    <row r="1353" spans="1:6">
      <c r="A1353" s="5">
        <v>1832</v>
      </c>
      <c r="B1353" s="5" t="s">
        <v>9</v>
      </c>
      <c r="C1353" s="4">
        <v>100</v>
      </c>
      <c r="D1353" s="101">
        <f t="shared" si="36"/>
        <v>94.583333333333329</v>
      </c>
      <c r="F1353" s="90">
        <f t="shared" si="35"/>
        <v>9.8901098901098897E-2</v>
      </c>
    </row>
    <row r="1354" spans="1:6">
      <c r="A1354" s="5">
        <v>1832</v>
      </c>
      <c r="B1354" s="5" t="s">
        <v>10</v>
      </c>
      <c r="C1354" s="4">
        <v>98</v>
      </c>
      <c r="D1354" s="101">
        <f t="shared" si="36"/>
        <v>95.083333333333329</v>
      </c>
      <c r="F1354" s="90">
        <f t="shared" si="35"/>
        <v>6.5217391304347824E-2</v>
      </c>
    </row>
    <row r="1355" spans="1:6">
      <c r="A1355" s="5">
        <v>1832</v>
      </c>
      <c r="B1355" s="5" t="s">
        <v>11</v>
      </c>
      <c r="C1355" s="4">
        <v>97</v>
      </c>
      <c r="D1355" s="101">
        <f t="shared" si="36"/>
        <v>95.416666666666671</v>
      </c>
      <c r="F1355" s="90">
        <f t="shared" si="35"/>
        <v>4.3010752688172046E-2</v>
      </c>
    </row>
    <row r="1356" spans="1:6">
      <c r="A1356" s="5">
        <v>1832</v>
      </c>
      <c r="B1356" s="5" t="s">
        <v>12</v>
      </c>
      <c r="C1356" s="4">
        <v>93</v>
      </c>
      <c r="D1356" s="101">
        <f t="shared" si="36"/>
        <v>95.25</v>
      </c>
      <c r="F1356" s="90">
        <f t="shared" si="35"/>
        <v>-2.1052631578947368E-2</v>
      </c>
    </row>
    <row r="1357" spans="1:6">
      <c r="A1357" s="5">
        <v>1832</v>
      </c>
      <c r="B1357" s="5" t="s">
        <v>13</v>
      </c>
      <c r="C1357" s="4">
        <v>93</v>
      </c>
      <c r="D1357" s="101">
        <f t="shared" si="36"/>
        <v>95.083333333333329</v>
      </c>
      <c r="F1357" s="90">
        <f t="shared" si="35"/>
        <v>-2.1052631578947368E-2</v>
      </c>
    </row>
    <row r="1358" spans="1:6">
      <c r="A1358" s="5">
        <v>1832</v>
      </c>
      <c r="B1358" s="5" t="s">
        <v>14</v>
      </c>
      <c r="C1358" s="4">
        <v>92</v>
      </c>
      <c r="D1358" s="101">
        <f t="shared" si="36"/>
        <v>94.916666666666671</v>
      </c>
      <c r="F1358" s="90">
        <f t="shared" si="35"/>
        <v>-2.1276595744680851E-2</v>
      </c>
    </row>
    <row r="1359" spans="1:6">
      <c r="A1359" s="5">
        <v>1832</v>
      </c>
      <c r="B1359" s="5" t="s">
        <v>15</v>
      </c>
      <c r="C1359" s="4">
        <v>92</v>
      </c>
      <c r="D1359" s="101">
        <f t="shared" si="36"/>
        <v>94.833333333333329</v>
      </c>
      <c r="F1359" s="90">
        <f t="shared" si="35"/>
        <v>-1.0752688172043012E-2</v>
      </c>
    </row>
    <row r="1360" spans="1:6">
      <c r="A1360" s="5">
        <v>1832</v>
      </c>
      <c r="B1360" s="5" t="s">
        <v>16</v>
      </c>
      <c r="C1360" s="4">
        <v>92</v>
      </c>
      <c r="D1360" s="101">
        <f t="shared" si="36"/>
        <v>94.833333333333329</v>
      </c>
      <c r="F1360" s="90">
        <f t="shared" si="35"/>
        <v>0</v>
      </c>
    </row>
    <row r="1361" spans="1:6">
      <c r="A1361" s="5">
        <v>1832</v>
      </c>
      <c r="B1361" s="5" t="s">
        <v>17</v>
      </c>
      <c r="C1361" s="4">
        <v>93</v>
      </c>
      <c r="D1361" s="101">
        <f t="shared" si="36"/>
        <v>94.75</v>
      </c>
      <c r="F1361" s="90">
        <f t="shared" si="35"/>
        <v>-1.0638297872340425E-2</v>
      </c>
    </row>
    <row r="1362" spans="1:6">
      <c r="A1362" s="5">
        <v>1832</v>
      </c>
      <c r="B1362" s="5" t="s">
        <v>18</v>
      </c>
      <c r="C1362" s="4">
        <v>94</v>
      </c>
      <c r="D1362" s="101">
        <f t="shared" si="36"/>
        <v>94.666666666666671</v>
      </c>
      <c r="F1362" s="90">
        <f t="shared" si="35"/>
        <v>-1.0526315789473684E-2</v>
      </c>
    </row>
    <row r="1363" spans="1:6">
      <c r="A1363" s="5">
        <v>1832</v>
      </c>
      <c r="B1363" s="5" t="s">
        <v>19</v>
      </c>
      <c r="C1363" s="4">
        <v>95</v>
      </c>
      <c r="D1363" s="101">
        <f t="shared" si="36"/>
        <v>94.583333333333329</v>
      </c>
      <c r="F1363" s="90">
        <f t="shared" si="35"/>
        <v>-1.0416666666666666E-2</v>
      </c>
    </row>
    <row r="1364" spans="1:6">
      <c r="A1364" s="5">
        <v>1832</v>
      </c>
      <c r="B1364" s="5" t="s">
        <v>20</v>
      </c>
      <c r="C1364" s="4">
        <v>96</v>
      </c>
      <c r="D1364" s="101">
        <f t="shared" si="36"/>
        <v>94.583333333333329</v>
      </c>
      <c r="E1364" s="4">
        <v>95</v>
      </c>
      <c r="F1364" s="90">
        <f t="shared" si="35"/>
        <v>0</v>
      </c>
    </row>
    <row r="1365" spans="1:6">
      <c r="A1365" s="5">
        <v>1833</v>
      </c>
      <c r="B1365" s="5" t="s">
        <v>9</v>
      </c>
      <c r="C1365" s="4">
        <v>96</v>
      </c>
      <c r="D1365" s="101">
        <f t="shared" si="36"/>
        <v>94.25</v>
      </c>
      <c r="F1365" s="90">
        <f t="shared" ref="F1365:F1428" si="37">(C1365-C1353)/C1353</f>
        <v>-0.04</v>
      </c>
    </row>
    <row r="1366" spans="1:6">
      <c r="A1366" s="5">
        <v>1833</v>
      </c>
      <c r="B1366" s="5" t="s">
        <v>10</v>
      </c>
      <c r="C1366" s="4">
        <v>94</v>
      </c>
      <c r="D1366" s="101">
        <f t="shared" si="36"/>
        <v>93.916666666666671</v>
      </c>
      <c r="F1366" s="90">
        <f t="shared" si="37"/>
        <v>-4.0816326530612242E-2</v>
      </c>
    </row>
    <row r="1367" spans="1:6">
      <c r="A1367" s="5">
        <v>1833</v>
      </c>
      <c r="B1367" s="5" t="s">
        <v>11</v>
      </c>
      <c r="C1367" s="4">
        <v>93</v>
      </c>
      <c r="D1367" s="101">
        <f t="shared" si="36"/>
        <v>93.583333333333329</v>
      </c>
      <c r="F1367" s="90">
        <f t="shared" si="37"/>
        <v>-4.1237113402061855E-2</v>
      </c>
    </row>
    <row r="1368" spans="1:6">
      <c r="A1368" s="5">
        <v>1833</v>
      </c>
      <c r="B1368" s="5" t="s">
        <v>12</v>
      </c>
      <c r="C1368" s="4">
        <v>94</v>
      </c>
      <c r="D1368" s="101">
        <f t="shared" si="36"/>
        <v>93.666666666666671</v>
      </c>
      <c r="F1368" s="90">
        <f t="shared" si="37"/>
        <v>1.0752688172043012E-2</v>
      </c>
    </row>
    <row r="1369" spans="1:6">
      <c r="A1369" s="5">
        <v>1833</v>
      </c>
      <c r="B1369" s="5" t="s">
        <v>13</v>
      </c>
      <c r="C1369" s="4">
        <v>94</v>
      </c>
      <c r="D1369" s="101">
        <f t="shared" si="36"/>
        <v>93.75</v>
      </c>
      <c r="F1369" s="90">
        <f t="shared" si="37"/>
        <v>1.0752688172043012E-2</v>
      </c>
    </row>
    <row r="1370" spans="1:6">
      <c r="A1370" s="5">
        <v>1833</v>
      </c>
      <c r="B1370" s="5" t="s">
        <v>14</v>
      </c>
      <c r="C1370" s="4">
        <v>93</v>
      </c>
      <c r="D1370" s="101">
        <f t="shared" si="36"/>
        <v>93.833333333333329</v>
      </c>
      <c r="F1370" s="90">
        <f t="shared" si="37"/>
        <v>1.0869565217391304E-2</v>
      </c>
    </row>
    <row r="1371" spans="1:6">
      <c r="A1371" s="5">
        <v>1833</v>
      </c>
      <c r="B1371" s="5" t="s">
        <v>15</v>
      </c>
      <c r="C1371" s="4">
        <v>93</v>
      </c>
      <c r="D1371" s="101">
        <f t="shared" si="36"/>
        <v>93.916666666666671</v>
      </c>
      <c r="F1371" s="90">
        <f t="shared" si="37"/>
        <v>1.0869565217391304E-2</v>
      </c>
    </row>
    <row r="1372" spans="1:6">
      <c r="A1372" s="5">
        <v>1833</v>
      </c>
      <c r="B1372" s="5" t="s">
        <v>16</v>
      </c>
      <c r="C1372" s="4">
        <v>95</v>
      </c>
      <c r="D1372" s="101">
        <f t="shared" si="36"/>
        <v>94.166666666666671</v>
      </c>
      <c r="F1372" s="90">
        <f t="shared" si="37"/>
        <v>3.2608695652173912E-2</v>
      </c>
    </row>
    <row r="1373" spans="1:6">
      <c r="A1373" s="5">
        <v>1833</v>
      </c>
      <c r="B1373" s="5" t="s">
        <v>17</v>
      </c>
      <c r="C1373" s="4">
        <v>96</v>
      </c>
      <c r="D1373" s="101">
        <f t="shared" si="36"/>
        <v>94.416666666666671</v>
      </c>
      <c r="F1373" s="90">
        <f t="shared" si="37"/>
        <v>3.2258064516129031E-2</v>
      </c>
    </row>
    <row r="1374" spans="1:6">
      <c r="A1374" s="5">
        <v>1833</v>
      </c>
      <c r="B1374" s="5" t="s">
        <v>18</v>
      </c>
      <c r="C1374" s="4">
        <v>96</v>
      </c>
      <c r="D1374" s="101">
        <f t="shared" si="36"/>
        <v>94.583333333333329</v>
      </c>
      <c r="F1374" s="90">
        <f t="shared" si="37"/>
        <v>2.1276595744680851E-2</v>
      </c>
    </row>
    <row r="1375" spans="1:6">
      <c r="A1375" s="5">
        <v>1833</v>
      </c>
      <c r="B1375" s="5" t="s">
        <v>19</v>
      </c>
      <c r="C1375" s="4">
        <v>96</v>
      </c>
      <c r="D1375" s="101">
        <f t="shared" si="36"/>
        <v>94.666666666666671</v>
      </c>
      <c r="F1375" s="90">
        <f t="shared" si="37"/>
        <v>1.0526315789473684E-2</v>
      </c>
    </row>
    <row r="1376" spans="1:6">
      <c r="A1376" s="5">
        <v>1833</v>
      </c>
      <c r="B1376" s="5" t="s">
        <v>20</v>
      </c>
      <c r="C1376" s="4">
        <v>95</v>
      </c>
      <c r="D1376" s="101">
        <f t="shared" si="36"/>
        <v>94.583333333333329</v>
      </c>
      <c r="E1376" s="4">
        <v>95</v>
      </c>
      <c r="F1376" s="90">
        <f t="shared" si="37"/>
        <v>-1.0416666666666666E-2</v>
      </c>
    </row>
    <row r="1377" spans="1:6">
      <c r="A1377" s="5">
        <v>1834</v>
      </c>
      <c r="B1377" s="5" t="s">
        <v>9</v>
      </c>
      <c r="C1377" s="4">
        <v>92</v>
      </c>
      <c r="D1377" s="101">
        <f t="shared" si="36"/>
        <v>94.25</v>
      </c>
      <c r="F1377" s="90">
        <f t="shared" si="37"/>
        <v>-4.1666666666666664E-2</v>
      </c>
    </row>
    <row r="1378" spans="1:6">
      <c r="A1378" s="5">
        <v>1834</v>
      </c>
      <c r="B1378" s="5" t="s">
        <v>10</v>
      </c>
      <c r="C1378" s="4">
        <v>92</v>
      </c>
      <c r="D1378" s="101">
        <f t="shared" si="36"/>
        <v>94.083333333333329</v>
      </c>
      <c r="F1378" s="90">
        <f t="shared" si="37"/>
        <v>-2.1276595744680851E-2</v>
      </c>
    </row>
    <row r="1379" spans="1:6">
      <c r="A1379" s="5">
        <v>1834</v>
      </c>
      <c r="B1379" s="5" t="s">
        <v>11</v>
      </c>
      <c r="C1379" s="4">
        <v>90</v>
      </c>
      <c r="D1379" s="101">
        <f t="shared" si="36"/>
        <v>93.833333333333329</v>
      </c>
      <c r="F1379" s="90">
        <f t="shared" si="37"/>
        <v>-3.2258064516129031E-2</v>
      </c>
    </row>
    <row r="1380" spans="1:6">
      <c r="A1380" s="5">
        <v>1834</v>
      </c>
      <c r="B1380" s="5" t="s">
        <v>12</v>
      </c>
      <c r="C1380" s="4">
        <v>88</v>
      </c>
      <c r="D1380" s="101">
        <f t="shared" si="36"/>
        <v>93.333333333333329</v>
      </c>
      <c r="F1380" s="90">
        <f t="shared" si="37"/>
        <v>-6.3829787234042548E-2</v>
      </c>
    </row>
    <row r="1381" spans="1:6">
      <c r="A1381" s="5">
        <v>1834</v>
      </c>
      <c r="B1381" s="5" t="s">
        <v>13</v>
      </c>
      <c r="C1381" s="4">
        <v>88</v>
      </c>
      <c r="D1381" s="101">
        <f t="shared" si="36"/>
        <v>92.833333333333329</v>
      </c>
      <c r="F1381" s="90">
        <f t="shared" si="37"/>
        <v>-6.3829787234042548E-2</v>
      </c>
    </row>
    <row r="1382" spans="1:6">
      <c r="A1382" s="5">
        <v>1834</v>
      </c>
      <c r="B1382" s="5" t="s">
        <v>14</v>
      </c>
      <c r="C1382" s="4">
        <v>88</v>
      </c>
      <c r="D1382" s="101">
        <f t="shared" si="36"/>
        <v>92.416666666666671</v>
      </c>
      <c r="F1382" s="90">
        <f t="shared" si="37"/>
        <v>-5.3763440860215055E-2</v>
      </c>
    </row>
    <row r="1383" spans="1:6">
      <c r="A1383" s="5">
        <v>1834</v>
      </c>
      <c r="B1383" s="5" t="s">
        <v>15</v>
      </c>
      <c r="C1383" s="4">
        <v>88</v>
      </c>
      <c r="D1383" s="101">
        <f t="shared" si="36"/>
        <v>92</v>
      </c>
      <c r="F1383" s="90">
        <f t="shared" si="37"/>
        <v>-5.3763440860215055E-2</v>
      </c>
    </row>
    <row r="1384" spans="1:6">
      <c r="A1384" s="5">
        <v>1834</v>
      </c>
      <c r="B1384" s="5" t="s">
        <v>16</v>
      </c>
      <c r="C1384" s="4">
        <v>89</v>
      </c>
      <c r="D1384" s="101">
        <f t="shared" si="36"/>
        <v>91.5</v>
      </c>
      <c r="F1384" s="90">
        <f t="shared" si="37"/>
        <v>-6.3157894736842107E-2</v>
      </c>
    </row>
    <row r="1385" spans="1:6">
      <c r="A1385" s="5">
        <v>1834</v>
      </c>
      <c r="B1385" s="5" t="s">
        <v>17</v>
      </c>
      <c r="C1385" s="4">
        <v>90</v>
      </c>
      <c r="D1385" s="101">
        <f t="shared" si="36"/>
        <v>91</v>
      </c>
      <c r="F1385" s="90">
        <f t="shared" si="37"/>
        <v>-6.25E-2</v>
      </c>
    </row>
    <row r="1386" spans="1:6">
      <c r="A1386" s="5">
        <v>1834</v>
      </c>
      <c r="B1386" s="5" t="s">
        <v>18</v>
      </c>
      <c r="C1386" s="4">
        <v>90</v>
      </c>
      <c r="D1386" s="101">
        <f t="shared" si="36"/>
        <v>90.5</v>
      </c>
      <c r="F1386" s="90">
        <f t="shared" si="37"/>
        <v>-6.25E-2</v>
      </c>
    </row>
    <row r="1387" spans="1:6">
      <c r="A1387" s="5">
        <v>1834</v>
      </c>
      <c r="B1387" s="5" t="s">
        <v>19</v>
      </c>
      <c r="C1387" s="4">
        <v>90</v>
      </c>
      <c r="D1387" s="101">
        <f t="shared" si="36"/>
        <v>90</v>
      </c>
      <c r="F1387" s="90">
        <f t="shared" si="37"/>
        <v>-6.25E-2</v>
      </c>
    </row>
    <row r="1388" spans="1:6">
      <c r="A1388" s="5">
        <v>1834</v>
      </c>
      <c r="B1388" s="5" t="s">
        <v>20</v>
      </c>
      <c r="C1388" s="4">
        <v>91</v>
      </c>
      <c r="D1388" s="101">
        <f t="shared" si="36"/>
        <v>89.666666666666671</v>
      </c>
      <c r="E1388" s="4">
        <v>90</v>
      </c>
      <c r="F1388" s="90">
        <f t="shared" si="37"/>
        <v>-4.2105263157894736E-2</v>
      </c>
    </row>
    <row r="1389" spans="1:6">
      <c r="A1389" s="5">
        <v>1835</v>
      </c>
      <c r="B1389" s="5" t="s">
        <v>9</v>
      </c>
      <c r="C1389" s="4">
        <v>92</v>
      </c>
      <c r="D1389" s="101">
        <f t="shared" si="36"/>
        <v>89.666666666666671</v>
      </c>
      <c r="F1389" s="90">
        <f t="shared" si="37"/>
        <v>0</v>
      </c>
    </row>
    <row r="1390" spans="1:6">
      <c r="A1390" s="5">
        <v>1835</v>
      </c>
      <c r="B1390" s="5" t="s">
        <v>10</v>
      </c>
      <c r="C1390" s="4">
        <v>93</v>
      </c>
      <c r="D1390" s="101">
        <f t="shared" si="36"/>
        <v>89.75</v>
      </c>
      <c r="F1390" s="90">
        <f t="shared" si="37"/>
        <v>1.0869565217391304E-2</v>
      </c>
    </row>
    <row r="1391" spans="1:6">
      <c r="A1391" s="5">
        <v>1835</v>
      </c>
      <c r="B1391" s="5" t="s">
        <v>11</v>
      </c>
      <c r="C1391" s="4">
        <v>94</v>
      </c>
      <c r="D1391" s="101">
        <f t="shared" si="36"/>
        <v>90.083333333333329</v>
      </c>
      <c r="F1391" s="90">
        <f t="shared" si="37"/>
        <v>4.4444444444444446E-2</v>
      </c>
    </row>
    <row r="1392" spans="1:6">
      <c r="A1392" s="5">
        <v>1835</v>
      </c>
      <c r="B1392" s="5" t="s">
        <v>12</v>
      </c>
      <c r="C1392" s="4">
        <v>97</v>
      </c>
      <c r="D1392" s="101">
        <f t="shared" si="36"/>
        <v>90.833333333333329</v>
      </c>
      <c r="F1392" s="90">
        <f t="shared" si="37"/>
        <v>0.10227272727272728</v>
      </c>
    </row>
    <row r="1393" spans="1:6">
      <c r="A1393" s="5">
        <v>1835</v>
      </c>
      <c r="B1393" s="5" t="s">
        <v>13</v>
      </c>
      <c r="C1393" s="4">
        <v>100</v>
      </c>
      <c r="D1393" s="101">
        <f t="shared" ref="D1393:D1456" si="38">AVERAGE(C1382:C1393)</f>
        <v>91.833333333333329</v>
      </c>
      <c r="F1393" s="90">
        <f t="shared" si="37"/>
        <v>0.13636363636363635</v>
      </c>
    </row>
    <row r="1394" spans="1:6">
      <c r="A1394" s="5">
        <v>1835</v>
      </c>
      <c r="B1394" s="5" t="s">
        <v>14</v>
      </c>
      <c r="C1394" s="4">
        <v>102</v>
      </c>
      <c r="D1394" s="101">
        <f t="shared" si="38"/>
        <v>93</v>
      </c>
      <c r="F1394" s="90">
        <f t="shared" si="37"/>
        <v>0.15909090909090909</v>
      </c>
    </row>
    <row r="1395" spans="1:6">
      <c r="A1395" s="5">
        <v>1835</v>
      </c>
      <c r="B1395" s="5" t="s">
        <v>15</v>
      </c>
      <c r="C1395" s="4">
        <v>104</v>
      </c>
      <c r="D1395" s="101">
        <f t="shared" si="38"/>
        <v>94.333333333333329</v>
      </c>
      <c r="F1395" s="90">
        <f t="shared" si="37"/>
        <v>0.18181818181818182</v>
      </c>
    </row>
    <row r="1396" spans="1:6">
      <c r="A1396" s="5">
        <v>1835</v>
      </c>
      <c r="B1396" s="5" t="s">
        <v>16</v>
      </c>
      <c r="C1396" s="4">
        <v>104</v>
      </c>
      <c r="D1396" s="101">
        <f t="shared" si="38"/>
        <v>95.583333333333329</v>
      </c>
      <c r="F1396" s="90">
        <f t="shared" si="37"/>
        <v>0.16853932584269662</v>
      </c>
    </row>
    <row r="1397" spans="1:6">
      <c r="A1397" s="5">
        <v>1835</v>
      </c>
      <c r="B1397" s="5" t="s">
        <v>17</v>
      </c>
      <c r="C1397" s="4">
        <v>102</v>
      </c>
      <c r="D1397" s="101">
        <f t="shared" si="38"/>
        <v>96.583333333333329</v>
      </c>
      <c r="F1397" s="90">
        <f t="shared" si="37"/>
        <v>0.13333333333333333</v>
      </c>
    </row>
    <row r="1398" spans="1:6">
      <c r="A1398" s="5">
        <v>1835</v>
      </c>
      <c r="B1398" s="5" t="s">
        <v>18</v>
      </c>
      <c r="C1398" s="4">
        <v>101</v>
      </c>
      <c r="D1398" s="101">
        <f t="shared" si="38"/>
        <v>97.5</v>
      </c>
      <c r="F1398" s="90">
        <f t="shared" si="37"/>
        <v>0.12222222222222222</v>
      </c>
    </row>
    <row r="1399" spans="1:6">
      <c r="A1399" s="5">
        <v>1835</v>
      </c>
      <c r="B1399" s="5" t="s">
        <v>19</v>
      </c>
      <c r="C1399" s="4">
        <v>102</v>
      </c>
      <c r="D1399" s="101">
        <f t="shared" si="38"/>
        <v>98.5</v>
      </c>
      <c r="F1399" s="90">
        <f t="shared" si="37"/>
        <v>0.13333333333333333</v>
      </c>
    </row>
    <row r="1400" spans="1:6">
      <c r="A1400" s="5">
        <v>1835</v>
      </c>
      <c r="B1400" s="5" t="s">
        <v>20</v>
      </c>
      <c r="C1400" s="4">
        <v>106</v>
      </c>
      <c r="D1400" s="101">
        <f t="shared" si="38"/>
        <v>99.75</v>
      </c>
      <c r="E1400" s="4">
        <v>100</v>
      </c>
      <c r="F1400" s="90">
        <f t="shared" si="37"/>
        <v>0.16483516483516483</v>
      </c>
    </row>
    <row r="1401" spans="1:6">
      <c r="A1401" s="5">
        <v>1836</v>
      </c>
      <c r="B1401" s="5" t="s">
        <v>9</v>
      </c>
      <c r="C1401" s="4">
        <v>107</v>
      </c>
      <c r="D1401" s="101">
        <f t="shared" si="38"/>
        <v>101</v>
      </c>
      <c r="F1401" s="90">
        <f t="shared" si="37"/>
        <v>0.16304347826086957</v>
      </c>
    </row>
    <row r="1402" spans="1:6">
      <c r="A1402" s="5">
        <v>1836</v>
      </c>
      <c r="B1402" s="5" t="s">
        <v>10</v>
      </c>
      <c r="C1402" s="4">
        <v>108</v>
      </c>
      <c r="D1402" s="101">
        <f t="shared" si="38"/>
        <v>102.25</v>
      </c>
      <c r="F1402" s="90">
        <f t="shared" si="37"/>
        <v>0.16129032258064516</v>
      </c>
    </row>
    <row r="1403" spans="1:6">
      <c r="A1403" s="5">
        <v>1836</v>
      </c>
      <c r="B1403" s="5" t="s">
        <v>11</v>
      </c>
      <c r="C1403" s="4">
        <v>112</v>
      </c>
      <c r="D1403" s="101">
        <f t="shared" si="38"/>
        <v>103.75</v>
      </c>
      <c r="F1403" s="90">
        <f t="shared" si="37"/>
        <v>0.19148936170212766</v>
      </c>
    </row>
    <row r="1404" spans="1:6">
      <c r="A1404" s="5">
        <v>1836</v>
      </c>
      <c r="B1404" s="5" t="s">
        <v>12</v>
      </c>
      <c r="C1404" s="4">
        <v>116</v>
      </c>
      <c r="D1404" s="101">
        <f t="shared" si="38"/>
        <v>105.33333333333333</v>
      </c>
      <c r="F1404" s="90">
        <f t="shared" si="37"/>
        <v>0.19587628865979381</v>
      </c>
    </row>
    <row r="1405" spans="1:6">
      <c r="A1405" s="5">
        <v>1836</v>
      </c>
      <c r="B1405" s="5" t="s">
        <v>13</v>
      </c>
      <c r="C1405" s="4">
        <v>115</v>
      </c>
      <c r="D1405" s="101">
        <f t="shared" si="38"/>
        <v>106.58333333333333</v>
      </c>
      <c r="F1405" s="90">
        <f t="shared" si="37"/>
        <v>0.15</v>
      </c>
    </row>
    <row r="1406" spans="1:6">
      <c r="A1406" s="5">
        <v>1836</v>
      </c>
      <c r="B1406" s="5" t="s">
        <v>14</v>
      </c>
      <c r="C1406" s="4">
        <v>111</v>
      </c>
      <c r="D1406" s="101">
        <f t="shared" si="38"/>
        <v>107.33333333333333</v>
      </c>
      <c r="F1406" s="90">
        <f t="shared" si="37"/>
        <v>8.8235294117647065E-2</v>
      </c>
    </row>
    <row r="1407" spans="1:6">
      <c r="A1407" s="5">
        <v>1836</v>
      </c>
      <c r="B1407" s="5" t="s">
        <v>15</v>
      </c>
      <c r="C1407" s="4">
        <v>110</v>
      </c>
      <c r="D1407" s="101">
        <f t="shared" si="38"/>
        <v>107.83333333333333</v>
      </c>
      <c r="F1407" s="90">
        <f t="shared" si="37"/>
        <v>5.7692307692307696E-2</v>
      </c>
    </row>
    <row r="1408" spans="1:6">
      <c r="A1408" s="5">
        <v>1836</v>
      </c>
      <c r="B1408" s="5" t="s">
        <v>16</v>
      </c>
      <c r="C1408" s="4">
        <v>112</v>
      </c>
      <c r="D1408" s="101">
        <f t="shared" si="38"/>
        <v>108.5</v>
      </c>
      <c r="F1408" s="90">
        <f t="shared" si="37"/>
        <v>7.6923076923076927E-2</v>
      </c>
    </row>
    <row r="1409" spans="1:6">
      <c r="A1409" s="5">
        <v>1836</v>
      </c>
      <c r="B1409" s="5" t="s">
        <v>17</v>
      </c>
      <c r="C1409" s="4">
        <v>115</v>
      </c>
      <c r="D1409" s="101">
        <f t="shared" si="38"/>
        <v>109.58333333333333</v>
      </c>
      <c r="F1409" s="90">
        <f t="shared" si="37"/>
        <v>0.12745098039215685</v>
      </c>
    </row>
    <row r="1410" spans="1:6">
      <c r="A1410" s="5">
        <v>1836</v>
      </c>
      <c r="B1410" s="5" t="s">
        <v>18</v>
      </c>
      <c r="C1410" s="4">
        <v>120</v>
      </c>
      <c r="D1410" s="101">
        <f t="shared" si="38"/>
        <v>111.16666666666667</v>
      </c>
      <c r="F1410" s="90">
        <f t="shared" si="37"/>
        <v>0.18811881188118812</v>
      </c>
    </row>
    <row r="1411" spans="1:6">
      <c r="A1411" s="5">
        <v>1836</v>
      </c>
      <c r="B1411" s="5" t="s">
        <v>19</v>
      </c>
      <c r="C1411" s="4">
        <v>122</v>
      </c>
      <c r="D1411" s="101">
        <f t="shared" si="38"/>
        <v>112.83333333333333</v>
      </c>
      <c r="F1411" s="90">
        <f t="shared" si="37"/>
        <v>0.19607843137254902</v>
      </c>
    </row>
    <row r="1412" spans="1:6">
      <c r="A1412" s="5">
        <v>1836</v>
      </c>
      <c r="B1412" s="5" t="s">
        <v>20</v>
      </c>
      <c r="C1412" s="4">
        <v>123</v>
      </c>
      <c r="D1412" s="101">
        <f t="shared" si="38"/>
        <v>114.25</v>
      </c>
      <c r="E1412" s="4">
        <v>114</v>
      </c>
      <c r="F1412" s="90">
        <f t="shared" si="37"/>
        <v>0.16037735849056603</v>
      </c>
    </row>
    <row r="1413" spans="1:6">
      <c r="A1413" s="5">
        <v>1837</v>
      </c>
      <c r="B1413" s="5" t="s">
        <v>9</v>
      </c>
      <c r="C1413" s="4">
        <v>123</v>
      </c>
      <c r="D1413" s="101">
        <f t="shared" si="38"/>
        <v>115.58333333333333</v>
      </c>
      <c r="F1413" s="90">
        <f t="shared" si="37"/>
        <v>0.14953271028037382</v>
      </c>
    </row>
    <row r="1414" spans="1:6">
      <c r="A1414" s="5">
        <v>1837</v>
      </c>
      <c r="B1414" s="5" t="s">
        <v>10</v>
      </c>
      <c r="C1414" s="4">
        <v>129</v>
      </c>
      <c r="D1414" s="101">
        <f t="shared" si="38"/>
        <v>117.33333333333333</v>
      </c>
      <c r="F1414" s="90">
        <f t="shared" si="37"/>
        <v>0.19444444444444445</v>
      </c>
    </row>
    <row r="1415" spans="1:6">
      <c r="A1415" s="5">
        <v>1837</v>
      </c>
      <c r="B1415" s="5" t="s">
        <v>11</v>
      </c>
      <c r="C1415" s="4">
        <v>127</v>
      </c>
      <c r="D1415" s="101">
        <f t="shared" si="38"/>
        <v>118.58333333333333</v>
      </c>
      <c r="F1415" s="90">
        <f t="shared" si="37"/>
        <v>0.13392857142857142</v>
      </c>
    </row>
    <row r="1416" spans="1:6">
      <c r="A1416" s="5">
        <v>1837</v>
      </c>
      <c r="B1416" s="5" t="s">
        <v>12</v>
      </c>
      <c r="C1416" s="4">
        <v>120</v>
      </c>
      <c r="D1416" s="101">
        <f t="shared" si="38"/>
        <v>118.91666666666667</v>
      </c>
      <c r="F1416" s="90">
        <f t="shared" si="37"/>
        <v>3.4482758620689655E-2</v>
      </c>
    </row>
    <row r="1417" spans="1:6">
      <c r="A1417" s="5">
        <v>1837</v>
      </c>
      <c r="B1417" s="5" t="s">
        <v>13</v>
      </c>
      <c r="C1417" s="4">
        <v>110</v>
      </c>
      <c r="D1417" s="101">
        <f t="shared" si="38"/>
        <v>118.5</v>
      </c>
      <c r="F1417" s="90">
        <f t="shared" si="37"/>
        <v>-4.3478260869565216E-2</v>
      </c>
    </row>
    <row r="1418" spans="1:6">
      <c r="A1418" s="5">
        <v>1837</v>
      </c>
      <c r="B1418" s="5" t="s">
        <v>14</v>
      </c>
      <c r="C1418" s="4">
        <v>110</v>
      </c>
      <c r="D1418" s="101">
        <f t="shared" si="38"/>
        <v>118.41666666666667</v>
      </c>
      <c r="F1418" s="90">
        <f t="shared" si="37"/>
        <v>-9.0090090090090089E-3</v>
      </c>
    </row>
    <row r="1419" spans="1:6">
      <c r="A1419" s="5">
        <v>1837</v>
      </c>
      <c r="B1419" s="5" t="s">
        <v>15</v>
      </c>
      <c r="C1419" s="4">
        <v>113</v>
      </c>
      <c r="D1419" s="101">
        <f t="shared" si="38"/>
        <v>118.66666666666667</v>
      </c>
      <c r="F1419" s="90">
        <f t="shared" si="37"/>
        <v>2.7272727272727271E-2</v>
      </c>
    </row>
    <row r="1420" spans="1:6">
      <c r="A1420" s="5">
        <v>1837</v>
      </c>
      <c r="B1420" s="5" t="s">
        <v>16</v>
      </c>
      <c r="C1420" s="4">
        <v>111</v>
      </c>
      <c r="D1420" s="101">
        <f t="shared" si="38"/>
        <v>118.58333333333333</v>
      </c>
      <c r="F1420" s="90">
        <f t="shared" si="37"/>
        <v>-8.9285714285714281E-3</v>
      </c>
    </row>
    <row r="1421" spans="1:6">
      <c r="A1421" s="5">
        <v>1837</v>
      </c>
      <c r="B1421" s="5" t="s">
        <v>17</v>
      </c>
      <c r="C1421" s="4">
        <v>107</v>
      </c>
      <c r="D1421" s="101">
        <f t="shared" si="38"/>
        <v>117.91666666666667</v>
      </c>
      <c r="F1421" s="90">
        <f t="shared" si="37"/>
        <v>-6.9565217391304349E-2</v>
      </c>
    </row>
    <row r="1422" spans="1:6">
      <c r="A1422" s="5">
        <v>1837</v>
      </c>
      <c r="B1422" s="5" t="s">
        <v>18</v>
      </c>
      <c r="C1422" s="4">
        <v>107</v>
      </c>
      <c r="D1422" s="101">
        <f t="shared" si="38"/>
        <v>116.83333333333333</v>
      </c>
      <c r="F1422" s="90">
        <f t="shared" si="37"/>
        <v>-0.10833333333333334</v>
      </c>
    </row>
    <row r="1423" spans="1:6">
      <c r="A1423" s="5">
        <v>1837</v>
      </c>
      <c r="B1423" s="5" t="s">
        <v>19</v>
      </c>
      <c r="C1423" s="4">
        <v>110</v>
      </c>
      <c r="D1423" s="101">
        <f t="shared" si="38"/>
        <v>115.83333333333333</v>
      </c>
      <c r="F1423" s="90">
        <f t="shared" si="37"/>
        <v>-9.8360655737704916E-2</v>
      </c>
    </row>
    <row r="1424" spans="1:6">
      <c r="A1424" s="5">
        <v>1837</v>
      </c>
      <c r="B1424" s="5" t="s">
        <v>20</v>
      </c>
      <c r="C1424" s="4">
        <v>114</v>
      </c>
      <c r="D1424" s="101">
        <f t="shared" si="38"/>
        <v>115.08333333333333</v>
      </c>
      <c r="E1424" s="4">
        <v>115</v>
      </c>
      <c r="F1424" s="90">
        <f t="shared" si="37"/>
        <v>-7.3170731707317069E-2</v>
      </c>
    </row>
    <row r="1425" spans="1:6">
      <c r="A1425" s="5">
        <v>1838</v>
      </c>
      <c r="B1425" s="5" t="s">
        <v>9</v>
      </c>
      <c r="C1425" s="4">
        <v>112</v>
      </c>
      <c r="D1425" s="101">
        <f t="shared" si="38"/>
        <v>114.16666666666667</v>
      </c>
      <c r="F1425" s="90">
        <f t="shared" si="37"/>
        <v>-8.943089430894309E-2</v>
      </c>
    </row>
    <row r="1426" spans="1:6">
      <c r="A1426" s="5">
        <v>1838</v>
      </c>
      <c r="B1426" s="5" t="s">
        <v>10</v>
      </c>
      <c r="C1426" s="4">
        <v>109</v>
      </c>
      <c r="D1426" s="101">
        <f t="shared" si="38"/>
        <v>112.5</v>
      </c>
      <c r="F1426" s="90">
        <f t="shared" si="37"/>
        <v>-0.15503875968992248</v>
      </c>
    </row>
    <row r="1427" spans="1:6">
      <c r="A1427" s="5">
        <v>1838</v>
      </c>
      <c r="B1427" s="5" t="s">
        <v>11</v>
      </c>
      <c r="C1427" s="4">
        <v>108</v>
      </c>
      <c r="D1427" s="101">
        <f t="shared" si="38"/>
        <v>110.91666666666667</v>
      </c>
      <c r="F1427" s="90">
        <f t="shared" si="37"/>
        <v>-0.14960629921259844</v>
      </c>
    </row>
    <row r="1428" spans="1:6">
      <c r="A1428" s="5">
        <v>1838</v>
      </c>
      <c r="B1428" s="5" t="s">
        <v>12</v>
      </c>
      <c r="C1428" s="4">
        <v>108</v>
      </c>
      <c r="D1428" s="101">
        <f t="shared" si="38"/>
        <v>109.91666666666667</v>
      </c>
      <c r="F1428" s="90">
        <f t="shared" si="37"/>
        <v>-0.1</v>
      </c>
    </row>
    <row r="1429" spans="1:6">
      <c r="A1429" s="5">
        <v>1838</v>
      </c>
      <c r="B1429" s="5" t="s">
        <v>13</v>
      </c>
      <c r="C1429" s="4">
        <v>109</v>
      </c>
      <c r="D1429" s="101">
        <f t="shared" si="38"/>
        <v>109.83333333333333</v>
      </c>
      <c r="F1429" s="90">
        <f t="shared" ref="F1429:F1492" si="39">(C1429-C1417)/C1417</f>
        <v>-9.0909090909090905E-3</v>
      </c>
    </row>
    <row r="1430" spans="1:6">
      <c r="A1430" s="5">
        <v>1838</v>
      </c>
      <c r="B1430" s="5" t="s">
        <v>14</v>
      </c>
      <c r="C1430" s="4">
        <v>107</v>
      </c>
      <c r="D1430" s="101">
        <f t="shared" si="38"/>
        <v>109.58333333333333</v>
      </c>
      <c r="F1430" s="90">
        <f t="shared" si="39"/>
        <v>-2.7272727272727271E-2</v>
      </c>
    </row>
    <row r="1431" spans="1:6">
      <c r="A1431" s="5">
        <v>1838</v>
      </c>
      <c r="B1431" s="5" t="s">
        <v>15</v>
      </c>
      <c r="C1431" s="4">
        <v>107</v>
      </c>
      <c r="D1431" s="101">
        <f t="shared" si="38"/>
        <v>109.08333333333333</v>
      </c>
      <c r="F1431" s="90">
        <f t="shared" si="39"/>
        <v>-5.3097345132743362E-2</v>
      </c>
    </row>
    <row r="1432" spans="1:6">
      <c r="A1432" s="5">
        <v>1838</v>
      </c>
      <c r="B1432" s="5" t="s">
        <v>16</v>
      </c>
      <c r="C1432" s="4">
        <v>107</v>
      </c>
      <c r="D1432" s="101">
        <f t="shared" si="38"/>
        <v>108.75</v>
      </c>
      <c r="F1432" s="90">
        <f t="shared" si="39"/>
        <v>-3.6036036036036036E-2</v>
      </c>
    </row>
    <row r="1433" spans="1:6">
      <c r="A1433" s="5">
        <v>1838</v>
      </c>
      <c r="B1433" s="5" t="s">
        <v>17</v>
      </c>
      <c r="C1433" s="4">
        <v>110</v>
      </c>
      <c r="D1433" s="101">
        <f t="shared" si="38"/>
        <v>109</v>
      </c>
      <c r="F1433" s="90">
        <f t="shared" si="39"/>
        <v>2.8037383177570093E-2</v>
      </c>
    </row>
    <row r="1434" spans="1:6">
      <c r="A1434" s="5">
        <v>1838</v>
      </c>
      <c r="B1434" s="5" t="s">
        <v>18</v>
      </c>
      <c r="C1434" s="4">
        <v>115</v>
      </c>
      <c r="D1434" s="101">
        <f t="shared" si="38"/>
        <v>109.66666666666667</v>
      </c>
      <c r="F1434" s="90">
        <f t="shared" si="39"/>
        <v>7.476635514018691E-2</v>
      </c>
    </row>
    <row r="1435" spans="1:6">
      <c r="A1435" s="5">
        <v>1838</v>
      </c>
      <c r="B1435" s="5" t="s">
        <v>19</v>
      </c>
      <c r="C1435" s="4">
        <v>115</v>
      </c>
      <c r="D1435" s="101">
        <f t="shared" si="38"/>
        <v>110.08333333333333</v>
      </c>
      <c r="F1435" s="90">
        <f t="shared" si="39"/>
        <v>4.5454545454545456E-2</v>
      </c>
    </row>
    <row r="1436" spans="1:6">
      <c r="A1436" s="5">
        <v>1838</v>
      </c>
      <c r="B1436" s="5" t="s">
        <v>20</v>
      </c>
      <c r="C1436" s="4">
        <v>116</v>
      </c>
      <c r="D1436" s="101">
        <f t="shared" si="38"/>
        <v>110.25</v>
      </c>
      <c r="E1436" s="4">
        <v>110</v>
      </c>
      <c r="F1436" s="90">
        <f t="shared" si="39"/>
        <v>1.7543859649122806E-2</v>
      </c>
    </row>
    <row r="1437" spans="1:6">
      <c r="A1437" s="5">
        <v>1839</v>
      </c>
      <c r="B1437" s="5" t="s">
        <v>9</v>
      </c>
      <c r="C1437" s="4">
        <v>117</v>
      </c>
      <c r="D1437" s="101">
        <f t="shared" si="38"/>
        <v>110.66666666666667</v>
      </c>
      <c r="F1437" s="90">
        <f t="shared" si="39"/>
        <v>4.4642857142857144E-2</v>
      </c>
    </row>
    <row r="1438" spans="1:6">
      <c r="A1438" s="5">
        <v>1839</v>
      </c>
      <c r="B1438" s="5" t="s">
        <v>10</v>
      </c>
      <c r="C1438" s="4">
        <v>119</v>
      </c>
      <c r="D1438" s="101">
        <f t="shared" si="38"/>
        <v>111.5</v>
      </c>
      <c r="F1438" s="90">
        <f t="shared" si="39"/>
        <v>9.1743119266055051E-2</v>
      </c>
    </row>
    <row r="1439" spans="1:6">
      <c r="A1439" s="5">
        <v>1839</v>
      </c>
      <c r="B1439" s="5" t="s">
        <v>11</v>
      </c>
      <c r="C1439" s="4">
        <v>118</v>
      </c>
      <c r="D1439" s="101">
        <f t="shared" si="38"/>
        <v>112.33333333333333</v>
      </c>
      <c r="F1439" s="90">
        <f t="shared" si="39"/>
        <v>9.2592592592592587E-2</v>
      </c>
    </row>
    <row r="1440" spans="1:6">
      <c r="A1440" s="5">
        <v>1839</v>
      </c>
      <c r="B1440" s="5" t="s">
        <v>12</v>
      </c>
      <c r="C1440" s="4">
        <v>119</v>
      </c>
      <c r="D1440" s="101">
        <f t="shared" si="38"/>
        <v>113.25</v>
      </c>
      <c r="F1440" s="90">
        <f t="shared" si="39"/>
        <v>0.10185185185185185</v>
      </c>
    </row>
    <row r="1441" spans="1:6">
      <c r="A1441" s="5">
        <v>1839</v>
      </c>
      <c r="B1441" s="5" t="s">
        <v>13</v>
      </c>
      <c r="C1441" s="4">
        <v>116</v>
      </c>
      <c r="D1441" s="101">
        <f t="shared" si="38"/>
        <v>113.83333333333333</v>
      </c>
      <c r="F1441" s="90">
        <f t="shared" si="39"/>
        <v>6.4220183486238536E-2</v>
      </c>
    </row>
    <row r="1442" spans="1:6">
      <c r="A1442" s="5">
        <v>1839</v>
      </c>
      <c r="B1442" s="5" t="s">
        <v>14</v>
      </c>
      <c r="C1442" s="4">
        <v>114</v>
      </c>
      <c r="D1442" s="101">
        <f t="shared" si="38"/>
        <v>114.41666666666667</v>
      </c>
      <c r="F1442" s="90">
        <f t="shared" si="39"/>
        <v>6.5420560747663545E-2</v>
      </c>
    </row>
    <row r="1443" spans="1:6">
      <c r="A1443" s="5">
        <v>1839</v>
      </c>
      <c r="B1443" s="5" t="s">
        <v>15</v>
      </c>
      <c r="C1443" s="4">
        <v>111</v>
      </c>
      <c r="D1443" s="101">
        <f t="shared" si="38"/>
        <v>114.75</v>
      </c>
      <c r="F1443" s="90">
        <f t="shared" si="39"/>
        <v>3.7383177570093455E-2</v>
      </c>
    </row>
    <row r="1444" spans="1:6">
      <c r="A1444" s="5">
        <v>1839</v>
      </c>
      <c r="B1444" s="5" t="s">
        <v>16</v>
      </c>
      <c r="C1444" s="4">
        <v>109</v>
      </c>
      <c r="D1444" s="101">
        <f t="shared" si="38"/>
        <v>114.91666666666667</v>
      </c>
      <c r="F1444" s="90">
        <f t="shared" si="39"/>
        <v>1.8691588785046728E-2</v>
      </c>
    </row>
    <row r="1445" spans="1:6">
      <c r="A1445" s="5">
        <v>1839</v>
      </c>
      <c r="B1445" s="5" t="s">
        <v>17</v>
      </c>
      <c r="C1445" s="4">
        <v>108</v>
      </c>
      <c r="D1445" s="101">
        <f t="shared" si="38"/>
        <v>114.75</v>
      </c>
      <c r="F1445" s="90">
        <f t="shared" si="39"/>
        <v>-1.8181818181818181E-2</v>
      </c>
    </row>
    <row r="1446" spans="1:6">
      <c r="A1446" s="5">
        <v>1839</v>
      </c>
      <c r="B1446" s="5" t="s">
        <v>18</v>
      </c>
      <c r="C1446" s="4">
        <v>106</v>
      </c>
      <c r="D1446" s="101">
        <f t="shared" si="38"/>
        <v>114</v>
      </c>
      <c r="F1446" s="90">
        <f t="shared" si="39"/>
        <v>-7.8260869565217397E-2</v>
      </c>
    </row>
    <row r="1447" spans="1:6">
      <c r="A1447" s="5">
        <v>1839</v>
      </c>
      <c r="B1447" s="5" t="s">
        <v>19</v>
      </c>
      <c r="C1447" s="4">
        <v>104</v>
      </c>
      <c r="D1447" s="101">
        <f t="shared" si="38"/>
        <v>113.08333333333333</v>
      </c>
      <c r="F1447" s="90">
        <f t="shared" si="39"/>
        <v>-9.5652173913043481E-2</v>
      </c>
    </row>
    <row r="1448" spans="1:6">
      <c r="A1448" s="5">
        <v>1839</v>
      </c>
      <c r="B1448" s="5" t="s">
        <v>20</v>
      </c>
      <c r="C1448" s="4">
        <v>102</v>
      </c>
      <c r="D1448" s="101">
        <f t="shared" si="38"/>
        <v>111.91666666666667</v>
      </c>
      <c r="E1448" s="4">
        <v>112</v>
      </c>
      <c r="F1448" s="90">
        <f t="shared" si="39"/>
        <v>-0.1206896551724138</v>
      </c>
    </row>
    <row r="1449" spans="1:6">
      <c r="A1449" s="5">
        <v>1840</v>
      </c>
      <c r="B1449" s="5" t="s">
        <v>9</v>
      </c>
      <c r="C1449" s="4">
        <v>99</v>
      </c>
      <c r="D1449" s="101">
        <f t="shared" si="38"/>
        <v>110.41666666666667</v>
      </c>
      <c r="F1449" s="90">
        <f t="shared" si="39"/>
        <v>-0.15384615384615385</v>
      </c>
    </row>
    <row r="1450" spans="1:6">
      <c r="A1450" s="5">
        <v>1840</v>
      </c>
      <c r="B1450" s="5" t="s">
        <v>10</v>
      </c>
      <c r="C1450" s="4">
        <v>99</v>
      </c>
      <c r="D1450" s="101">
        <f t="shared" si="38"/>
        <v>108.75</v>
      </c>
      <c r="F1450" s="90">
        <f t="shared" si="39"/>
        <v>-0.16806722689075632</v>
      </c>
    </row>
    <row r="1451" spans="1:6">
      <c r="A1451" s="5">
        <v>1840</v>
      </c>
      <c r="B1451" s="5" t="s">
        <v>11</v>
      </c>
      <c r="C1451" s="4">
        <v>97</v>
      </c>
      <c r="D1451" s="101">
        <f t="shared" si="38"/>
        <v>107</v>
      </c>
      <c r="F1451" s="90">
        <f t="shared" si="39"/>
        <v>-0.17796610169491525</v>
      </c>
    </row>
    <row r="1452" spans="1:6">
      <c r="A1452" s="5">
        <v>1840</v>
      </c>
      <c r="B1452" s="5" t="s">
        <v>12</v>
      </c>
      <c r="C1452" s="4">
        <v>97</v>
      </c>
      <c r="D1452" s="101">
        <f t="shared" si="38"/>
        <v>105.16666666666667</v>
      </c>
      <c r="F1452" s="90">
        <f t="shared" si="39"/>
        <v>-0.18487394957983194</v>
      </c>
    </row>
    <row r="1453" spans="1:6">
      <c r="A1453" s="5">
        <v>1840</v>
      </c>
      <c r="B1453" s="5" t="s">
        <v>13</v>
      </c>
      <c r="C1453" s="4">
        <v>95</v>
      </c>
      <c r="D1453" s="101">
        <f t="shared" si="38"/>
        <v>103.41666666666667</v>
      </c>
      <c r="F1453" s="90">
        <f t="shared" si="39"/>
        <v>-0.18103448275862069</v>
      </c>
    </row>
    <row r="1454" spans="1:6">
      <c r="A1454" s="5">
        <v>1840</v>
      </c>
      <c r="B1454" s="5" t="s">
        <v>14</v>
      </c>
      <c r="C1454" s="4">
        <v>93</v>
      </c>
      <c r="D1454" s="101">
        <f t="shared" si="38"/>
        <v>101.66666666666667</v>
      </c>
      <c r="F1454" s="90">
        <f t="shared" si="39"/>
        <v>-0.18421052631578946</v>
      </c>
    </row>
    <row r="1455" spans="1:6">
      <c r="A1455" s="5">
        <v>1840</v>
      </c>
      <c r="B1455" s="5" t="s">
        <v>15</v>
      </c>
      <c r="C1455" s="4">
        <v>92</v>
      </c>
      <c r="D1455" s="101">
        <f t="shared" si="38"/>
        <v>100.08333333333333</v>
      </c>
      <c r="F1455" s="90">
        <f t="shared" si="39"/>
        <v>-0.17117117117117117</v>
      </c>
    </row>
    <row r="1456" spans="1:6">
      <c r="A1456" s="5">
        <v>1840</v>
      </c>
      <c r="B1456" s="5" t="s">
        <v>16</v>
      </c>
      <c r="C1456" s="4">
        <v>93</v>
      </c>
      <c r="D1456" s="101">
        <f t="shared" si="38"/>
        <v>98.75</v>
      </c>
      <c r="F1456" s="90">
        <f t="shared" si="39"/>
        <v>-0.14678899082568808</v>
      </c>
    </row>
    <row r="1457" spans="1:6">
      <c r="A1457" s="5">
        <v>1840</v>
      </c>
      <c r="B1457" s="5" t="s">
        <v>17</v>
      </c>
      <c r="C1457" s="4">
        <v>94</v>
      </c>
      <c r="D1457" s="101">
        <f t="shared" ref="D1457:D1520" si="40">AVERAGE(C1446:C1457)</f>
        <v>97.583333333333329</v>
      </c>
      <c r="F1457" s="90">
        <f t="shared" si="39"/>
        <v>-0.12962962962962962</v>
      </c>
    </row>
    <row r="1458" spans="1:6">
      <c r="A1458" s="5">
        <v>1840</v>
      </c>
      <c r="B1458" s="5" t="s">
        <v>18</v>
      </c>
      <c r="C1458" s="4">
        <v>94</v>
      </c>
      <c r="D1458" s="101">
        <f t="shared" si="40"/>
        <v>96.583333333333329</v>
      </c>
      <c r="F1458" s="90">
        <f t="shared" si="39"/>
        <v>-0.11320754716981132</v>
      </c>
    </row>
    <row r="1459" spans="1:6">
      <c r="A1459" s="5">
        <v>1840</v>
      </c>
      <c r="B1459" s="5" t="s">
        <v>19</v>
      </c>
      <c r="C1459" s="4">
        <v>94</v>
      </c>
      <c r="D1459" s="101">
        <f t="shared" si="40"/>
        <v>95.75</v>
      </c>
      <c r="F1459" s="90">
        <f t="shared" si="39"/>
        <v>-9.6153846153846159E-2</v>
      </c>
    </row>
    <row r="1460" spans="1:6">
      <c r="A1460" s="5">
        <v>1840</v>
      </c>
      <c r="B1460" s="5" t="s">
        <v>20</v>
      </c>
      <c r="C1460" s="4">
        <v>94</v>
      </c>
      <c r="D1460" s="101">
        <f t="shared" si="40"/>
        <v>95.083333333333329</v>
      </c>
      <c r="E1460" s="4">
        <v>95</v>
      </c>
      <c r="F1460" s="90">
        <f t="shared" si="39"/>
        <v>-7.8431372549019607E-2</v>
      </c>
    </row>
    <row r="1461" spans="1:6">
      <c r="A1461" s="5">
        <v>1841</v>
      </c>
      <c r="B1461" s="5" t="s">
        <v>9</v>
      </c>
      <c r="C1461" s="4">
        <v>93</v>
      </c>
      <c r="D1461" s="101">
        <f t="shared" si="40"/>
        <v>94.583333333333329</v>
      </c>
      <c r="F1461" s="90">
        <f t="shared" si="39"/>
        <v>-6.0606060606060608E-2</v>
      </c>
    </row>
    <row r="1462" spans="1:6">
      <c r="A1462" s="5">
        <v>1841</v>
      </c>
      <c r="B1462" s="5" t="s">
        <v>10</v>
      </c>
      <c r="C1462" s="4">
        <v>93</v>
      </c>
      <c r="D1462" s="101">
        <f t="shared" si="40"/>
        <v>94.083333333333329</v>
      </c>
      <c r="F1462" s="90">
        <f t="shared" si="39"/>
        <v>-6.0606060606060608E-2</v>
      </c>
    </row>
    <row r="1463" spans="1:6">
      <c r="A1463" s="5">
        <v>1841</v>
      </c>
      <c r="B1463" s="5" t="s">
        <v>11</v>
      </c>
      <c r="C1463" s="4">
        <v>91</v>
      </c>
      <c r="D1463" s="101">
        <f t="shared" si="40"/>
        <v>93.583333333333329</v>
      </c>
      <c r="F1463" s="90">
        <f t="shared" si="39"/>
        <v>-6.1855670103092786E-2</v>
      </c>
    </row>
    <row r="1464" spans="1:6">
      <c r="A1464" s="5">
        <v>1841</v>
      </c>
      <c r="B1464" s="5" t="s">
        <v>12</v>
      </c>
      <c r="C1464" s="4">
        <v>90</v>
      </c>
      <c r="D1464" s="101">
        <f t="shared" si="40"/>
        <v>93</v>
      </c>
      <c r="F1464" s="90">
        <f t="shared" si="39"/>
        <v>-7.2164948453608241E-2</v>
      </c>
    </row>
    <row r="1465" spans="1:6">
      <c r="A1465" s="5">
        <v>1841</v>
      </c>
      <c r="B1465" s="5" t="s">
        <v>13</v>
      </c>
      <c r="C1465" s="4">
        <v>91</v>
      </c>
      <c r="D1465" s="101">
        <f t="shared" si="40"/>
        <v>92.666666666666671</v>
      </c>
      <c r="F1465" s="90">
        <f t="shared" si="39"/>
        <v>-4.2105263157894736E-2</v>
      </c>
    </row>
    <row r="1466" spans="1:6">
      <c r="A1466" s="5">
        <v>1841</v>
      </c>
      <c r="B1466" s="5" t="s">
        <v>14</v>
      </c>
      <c r="C1466" s="4">
        <v>89</v>
      </c>
      <c r="D1466" s="101">
        <f t="shared" si="40"/>
        <v>92.333333333333329</v>
      </c>
      <c r="F1466" s="90">
        <f t="shared" si="39"/>
        <v>-4.3010752688172046E-2</v>
      </c>
    </row>
    <row r="1467" spans="1:6">
      <c r="A1467" s="5">
        <v>1841</v>
      </c>
      <c r="B1467" s="5" t="s">
        <v>15</v>
      </c>
      <c r="C1467" s="4">
        <v>90</v>
      </c>
      <c r="D1467" s="101">
        <f t="shared" si="40"/>
        <v>92.166666666666671</v>
      </c>
      <c r="F1467" s="90">
        <f t="shared" si="39"/>
        <v>-2.1739130434782608E-2</v>
      </c>
    </row>
    <row r="1468" spans="1:6">
      <c r="A1468" s="5">
        <v>1841</v>
      </c>
      <c r="B1468" s="5" t="s">
        <v>16</v>
      </c>
      <c r="C1468" s="4">
        <v>92</v>
      </c>
      <c r="D1468" s="101">
        <f t="shared" si="40"/>
        <v>92.083333333333329</v>
      </c>
      <c r="F1468" s="90">
        <f t="shared" si="39"/>
        <v>-1.0752688172043012E-2</v>
      </c>
    </row>
    <row r="1469" spans="1:6">
      <c r="A1469" s="5">
        <v>1841</v>
      </c>
      <c r="B1469" s="5" t="s">
        <v>17</v>
      </c>
      <c r="C1469" s="4">
        <v>95</v>
      </c>
      <c r="D1469" s="101">
        <f t="shared" si="40"/>
        <v>92.166666666666671</v>
      </c>
      <c r="F1469" s="90">
        <f t="shared" si="39"/>
        <v>1.0638297872340425E-2</v>
      </c>
    </row>
    <row r="1470" spans="1:6">
      <c r="A1470" s="5">
        <v>1841</v>
      </c>
      <c r="B1470" s="5" t="s">
        <v>18</v>
      </c>
      <c r="C1470" s="4">
        <v>93</v>
      </c>
      <c r="D1470" s="101">
        <f t="shared" si="40"/>
        <v>92.083333333333329</v>
      </c>
      <c r="F1470" s="90">
        <f t="shared" si="39"/>
        <v>-1.0638297872340425E-2</v>
      </c>
    </row>
    <row r="1471" spans="1:6">
      <c r="A1471" s="5">
        <v>1841</v>
      </c>
      <c r="B1471" s="5" t="s">
        <v>19</v>
      </c>
      <c r="C1471" s="4">
        <v>92</v>
      </c>
      <c r="D1471" s="101">
        <f t="shared" si="40"/>
        <v>91.916666666666671</v>
      </c>
      <c r="F1471" s="90">
        <f t="shared" si="39"/>
        <v>-2.1276595744680851E-2</v>
      </c>
    </row>
    <row r="1472" spans="1:6">
      <c r="A1472" s="5">
        <v>1841</v>
      </c>
      <c r="B1472" s="5" t="s">
        <v>20</v>
      </c>
      <c r="C1472" s="4">
        <v>91</v>
      </c>
      <c r="D1472" s="101">
        <f t="shared" si="40"/>
        <v>91.666666666666671</v>
      </c>
      <c r="E1472" s="4">
        <v>92</v>
      </c>
      <c r="F1472" s="90">
        <f t="shared" si="39"/>
        <v>-3.1914893617021274E-2</v>
      </c>
    </row>
    <row r="1473" spans="1:6">
      <c r="A1473" s="5">
        <v>1842</v>
      </c>
      <c r="B1473" s="5" t="s">
        <v>9</v>
      </c>
      <c r="C1473" s="4">
        <v>90</v>
      </c>
      <c r="D1473" s="101">
        <f t="shared" si="40"/>
        <v>91.416666666666671</v>
      </c>
      <c r="F1473" s="90">
        <f t="shared" si="39"/>
        <v>-3.2258064516129031E-2</v>
      </c>
    </row>
    <row r="1474" spans="1:6">
      <c r="A1474" s="5">
        <v>1842</v>
      </c>
      <c r="B1474" s="5" t="s">
        <v>10</v>
      </c>
      <c r="C1474" s="4">
        <v>88</v>
      </c>
      <c r="D1474" s="101">
        <f t="shared" si="40"/>
        <v>91</v>
      </c>
      <c r="F1474" s="90">
        <f t="shared" si="39"/>
        <v>-5.3763440860215055E-2</v>
      </c>
    </row>
    <row r="1475" spans="1:6">
      <c r="A1475" s="5">
        <v>1842</v>
      </c>
      <c r="B1475" s="5" t="s">
        <v>11</v>
      </c>
      <c r="C1475" s="4">
        <v>86</v>
      </c>
      <c r="D1475" s="101">
        <f t="shared" si="40"/>
        <v>90.583333333333329</v>
      </c>
      <c r="F1475" s="90">
        <f t="shared" si="39"/>
        <v>-5.4945054945054944E-2</v>
      </c>
    </row>
    <row r="1476" spans="1:6">
      <c r="A1476" s="5">
        <v>1842</v>
      </c>
      <c r="B1476" s="5" t="s">
        <v>12</v>
      </c>
      <c r="C1476" s="4">
        <v>84</v>
      </c>
      <c r="D1476" s="101">
        <f t="shared" si="40"/>
        <v>90.083333333333329</v>
      </c>
      <c r="F1476" s="90">
        <f t="shared" si="39"/>
        <v>-6.6666666666666666E-2</v>
      </c>
    </row>
    <row r="1477" spans="1:6">
      <c r="A1477" s="5">
        <v>1842</v>
      </c>
      <c r="B1477" s="5" t="s">
        <v>13</v>
      </c>
      <c r="C1477" s="4">
        <v>83</v>
      </c>
      <c r="D1477" s="101">
        <f t="shared" si="40"/>
        <v>89.416666666666671</v>
      </c>
      <c r="F1477" s="90">
        <f t="shared" si="39"/>
        <v>-8.7912087912087919E-2</v>
      </c>
    </row>
    <row r="1478" spans="1:6">
      <c r="A1478" s="5">
        <v>1842</v>
      </c>
      <c r="B1478" s="5" t="s">
        <v>14</v>
      </c>
      <c r="C1478" s="4">
        <v>82</v>
      </c>
      <c r="D1478" s="101">
        <f t="shared" si="40"/>
        <v>88.833333333333329</v>
      </c>
      <c r="F1478" s="90">
        <f t="shared" si="39"/>
        <v>-7.8651685393258425E-2</v>
      </c>
    </row>
    <row r="1479" spans="1:6">
      <c r="A1479" s="5">
        <v>1842</v>
      </c>
      <c r="B1479" s="5" t="s">
        <v>15</v>
      </c>
      <c r="C1479" s="4">
        <v>81</v>
      </c>
      <c r="D1479" s="101">
        <f t="shared" si="40"/>
        <v>88.083333333333329</v>
      </c>
      <c r="F1479" s="90">
        <f t="shared" si="39"/>
        <v>-0.1</v>
      </c>
    </row>
    <row r="1480" spans="1:6">
      <c r="A1480" s="5">
        <v>1842</v>
      </c>
      <c r="B1480" s="5" t="s">
        <v>16</v>
      </c>
      <c r="C1480" s="4">
        <v>79</v>
      </c>
      <c r="D1480" s="101">
        <f t="shared" si="40"/>
        <v>87</v>
      </c>
      <c r="F1480" s="90">
        <f t="shared" si="39"/>
        <v>-0.14130434782608695</v>
      </c>
    </row>
    <row r="1481" spans="1:6">
      <c r="A1481" s="5">
        <v>1842</v>
      </c>
      <c r="B1481" s="5" t="s">
        <v>17</v>
      </c>
      <c r="C1481" s="4">
        <v>77</v>
      </c>
      <c r="D1481" s="101">
        <f t="shared" si="40"/>
        <v>85.5</v>
      </c>
      <c r="F1481" s="90">
        <f t="shared" si="39"/>
        <v>-0.18947368421052632</v>
      </c>
    </row>
    <row r="1482" spans="1:6">
      <c r="A1482" s="5">
        <v>1842</v>
      </c>
      <c r="B1482" s="5" t="s">
        <v>18</v>
      </c>
      <c r="C1482" s="4">
        <v>77</v>
      </c>
      <c r="D1482" s="101">
        <f t="shared" si="40"/>
        <v>84.166666666666671</v>
      </c>
      <c r="F1482" s="90">
        <f t="shared" si="39"/>
        <v>-0.17204301075268819</v>
      </c>
    </row>
    <row r="1483" spans="1:6">
      <c r="A1483" s="5">
        <v>1842</v>
      </c>
      <c r="B1483" s="5" t="s">
        <v>19</v>
      </c>
      <c r="C1483" s="4">
        <v>75</v>
      </c>
      <c r="D1483" s="101">
        <f t="shared" si="40"/>
        <v>82.75</v>
      </c>
      <c r="F1483" s="90">
        <f t="shared" si="39"/>
        <v>-0.18478260869565216</v>
      </c>
    </row>
    <row r="1484" spans="1:6">
      <c r="A1484" s="5">
        <v>1842</v>
      </c>
      <c r="B1484" s="5" t="s">
        <v>20</v>
      </c>
      <c r="C1484" s="4">
        <v>76</v>
      </c>
      <c r="D1484" s="101">
        <f t="shared" si="40"/>
        <v>81.5</v>
      </c>
      <c r="E1484" s="4">
        <v>82</v>
      </c>
      <c r="F1484" s="90">
        <f t="shared" si="39"/>
        <v>-0.16483516483516483</v>
      </c>
    </row>
    <row r="1485" spans="1:6">
      <c r="A1485" s="5">
        <v>1843</v>
      </c>
      <c r="B1485" s="5" t="s">
        <v>9</v>
      </c>
      <c r="C1485" s="4">
        <v>76</v>
      </c>
      <c r="D1485" s="101">
        <f t="shared" si="40"/>
        <v>80.333333333333329</v>
      </c>
      <c r="F1485" s="90">
        <f t="shared" si="39"/>
        <v>-0.15555555555555556</v>
      </c>
    </row>
    <row r="1486" spans="1:6">
      <c r="A1486" s="5">
        <v>1843</v>
      </c>
      <c r="B1486" s="5" t="s">
        <v>10</v>
      </c>
      <c r="C1486" s="4">
        <v>74</v>
      </c>
      <c r="D1486" s="101">
        <f t="shared" si="40"/>
        <v>79.166666666666671</v>
      </c>
      <c r="F1486" s="90">
        <f t="shared" si="39"/>
        <v>-0.15909090909090909</v>
      </c>
    </row>
    <row r="1487" spans="1:6">
      <c r="A1487" s="5">
        <v>1843</v>
      </c>
      <c r="B1487" s="5" t="s">
        <v>11</v>
      </c>
      <c r="C1487" s="4">
        <v>73</v>
      </c>
      <c r="D1487" s="101">
        <f t="shared" si="40"/>
        <v>78.083333333333329</v>
      </c>
      <c r="F1487" s="90">
        <f t="shared" si="39"/>
        <v>-0.15116279069767441</v>
      </c>
    </row>
    <row r="1488" spans="1:6">
      <c r="A1488" s="5">
        <v>1843</v>
      </c>
      <c r="B1488" s="5" t="s">
        <v>12</v>
      </c>
      <c r="C1488" s="4">
        <v>74</v>
      </c>
      <c r="D1488" s="101">
        <f t="shared" si="40"/>
        <v>77.25</v>
      </c>
      <c r="F1488" s="90">
        <f t="shared" si="39"/>
        <v>-0.11904761904761904</v>
      </c>
    </row>
    <row r="1489" spans="1:6">
      <c r="A1489" s="5">
        <v>1843</v>
      </c>
      <c r="B1489" s="5" t="s">
        <v>13</v>
      </c>
      <c r="C1489" s="4">
        <v>75</v>
      </c>
      <c r="D1489" s="101">
        <f t="shared" si="40"/>
        <v>76.583333333333329</v>
      </c>
      <c r="F1489" s="90">
        <f t="shared" si="39"/>
        <v>-9.6385542168674704E-2</v>
      </c>
    </row>
    <row r="1490" spans="1:6">
      <c r="A1490" s="5">
        <v>1843</v>
      </c>
      <c r="B1490" s="5" t="s">
        <v>14</v>
      </c>
      <c r="C1490" s="4">
        <v>75</v>
      </c>
      <c r="D1490" s="101">
        <f t="shared" si="40"/>
        <v>76</v>
      </c>
      <c r="F1490" s="90">
        <f t="shared" si="39"/>
        <v>-8.5365853658536592E-2</v>
      </c>
    </row>
    <row r="1491" spans="1:6">
      <c r="A1491" s="5">
        <v>1843</v>
      </c>
      <c r="B1491" s="5" t="s">
        <v>15</v>
      </c>
      <c r="C1491" s="4">
        <v>76</v>
      </c>
      <c r="D1491" s="101">
        <f t="shared" si="40"/>
        <v>75.583333333333329</v>
      </c>
      <c r="F1491" s="90">
        <f t="shared" si="39"/>
        <v>-6.1728395061728392E-2</v>
      </c>
    </row>
    <row r="1492" spans="1:6">
      <c r="A1492" s="5">
        <v>1843</v>
      </c>
      <c r="B1492" s="5" t="s">
        <v>16</v>
      </c>
      <c r="C1492" s="4">
        <v>76</v>
      </c>
      <c r="D1492" s="101">
        <f t="shared" si="40"/>
        <v>75.333333333333329</v>
      </c>
      <c r="F1492" s="90">
        <f t="shared" si="39"/>
        <v>-3.7974683544303799E-2</v>
      </c>
    </row>
    <row r="1493" spans="1:6">
      <c r="A1493" s="5">
        <v>1843</v>
      </c>
      <c r="B1493" s="5" t="s">
        <v>17</v>
      </c>
      <c r="C1493" s="4">
        <v>77</v>
      </c>
      <c r="D1493" s="101">
        <f t="shared" si="40"/>
        <v>75.333333333333329</v>
      </c>
      <c r="F1493" s="90">
        <f t="shared" ref="F1493:F1556" si="41">(C1493-C1481)/C1481</f>
        <v>0</v>
      </c>
    </row>
    <row r="1494" spans="1:6">
      <c r="A1494" s="5">
        <v>1843</v>
      </c>
      <c r="B1494" s="5" t="s">
        <v>18</v>
      </c>
      <c r="C1494" s="4">
        <v>75</v>
      </c>
      <c r="D1494" s="101">
        <f t="shared" si="40"/>
        <v>75.166666666666671</v>
      </c>
      <c r="F1494" s="90">
        <f t="shared" si="41"/>
        <v>-2.5974025974025976E-2</v>
      </c>
    </row>
    <row r="1495" spans="1:6">
      <c r="A1495" s="5">
        <v>1843</v>
      </c>
      <c r="B1495" s="5" t="s">
        <v>19</v>
      </c>
      <c r="C1495" s="4">
        <v>77</v>
      </c>
      <c r="D1495" s="101">
        <f t="shared" si="40"/>
        <v>75.333333333333329</v>
      </c>
      <c r="F1495" s="90">
        <f t="shared" si="41"/>
        <v>2.6666666666666668E-2</v>
      </c>
    </row>
    <row r="1496" spans="1:6">
      <c r="A1496" s="5">
        <v>1843</v>
      </c>
      <c r="B1496" s="5" t="s">
        <v>20</v>
      </c>
      <c r="C1496" s="4">
        <v>77</v>
      </c>
      <c r="D1496" s="101">
        <f t="shared" si="40"/>
        <v>75.416666666666671</v>
      </c>
      <c r="E1496" s="4">
        <v>75</v>
      </c>
      <c r="F1496" s="90">
        <f t="shared" si="41"/>
        <v>1.3157894736842105E-2</v>
      </c>
    </row>
    <row r="1497" spans="1:6">
      <c r="A1497" s="5">
        <v>1844</v>
      </c>
      <c r="B1497" s="5" t="s">
        <v>9</v>
      </c>
      <c r="C1497" s="4">
        <v>76</v>
      </c>
      <c r="D1497" s="101">
        <f t="shared" si="40"/>
        <v>75.416666666666671</v>
      </c>
      <c r="F1497" s="90">
        <f t="shared" si="41"/>
        <v>0</v>
      </c>
    </row>
    <row r="1498" spans="1:6">
      <c r="A1498" s="5">
        <v>1844</v>
      </c>
      <c r="B1498" s="5" t="s">
        <v>10</v>
      </c>
      <c r="C1498" s="4">
        <v>77</v>
      </c>
      <c r="D1498" s="101">
        <f t="shared" si="40"/>
        <v>75.666666666666671</v>
      </c>
      <c r="F1498" s="90">
        <f t="shared" si="41"/>
        <v>4.0540540540540543E-2</v>
      </c>
    </row>
    <row r="1499" spans="1:6">
      <c r="A1499" s="5">
        <v>1844</v>
      </c>
      <c r="B1499" s="5" t="s">
        <v>11</v>
      </c>
      <c r="C1499" s="4">
        <v>77</v>
      </c>
      <c r="D1499" s="101">
        <f t="shared" si="40"/>
        <v>76</v>
      </c>
      <c r="F1499" s="90">
        <f t="shared" si="41"/>
        <v>5.4794520547945202E-2</v>
      </c>
    </row>
    <row r="1500" spans="1:6">
      <c r="A1500" s="5">
        <v>1844</v>
      </c>
      <c r="B1500" s="5" t="s">
        <v>12</v>
      </c>
      <c r="C1500" s="4">
        <v>78</v>
      </c>
      <c r="D1500" s="101">
        <f t="shared" si="40"/>
        <v>76.333333333333329</v>
      </c>
      <c r="F1500" s="90">
        <f t="shared" si="41"/>
        <v>5.4054054054054057E-2</v>
      </c>
    </row>
    <row r="1501" spans="1:6">
      <c r="A1501" s="5">
        <v>1844</v>
      </c>
      <c r="B1501" s="5" t="s">
        <v>13</v>
      </c>
      <c r="C1501" s="4">
        <v>78</v>
      </c>
      <c r="D1501" s="101">
        <f t="shared" si="40"/>
        <v>76.583333333333329</v>
      </c>
      <c r="F1501" s="90">
        <f t="shared" si="41"/>
        <v>0.04</v>
      </c>
    </row>
    <row r="1502" spans="1:6">
      <c r="A1502" s="5">
        <v>1844</v>
      </c>
      <c r="B1502" s="5" t="s">
        <v>14</v>
      </c>
      <c r="C1502" s="4">
        <v>77</v>
      </c>
      <c r="D1502" s="101">
        <f t="shared" si="40"/>
        <v>76.75</v>
      </c>
      <c r="F1502" s="90">
        <f t="shared" si="41"/>
        <v>2.6666666666666668E-2</v>
      </c>
    </row>
    <row r="1503" spans="1:6">
      <c r="A1503" s="5">
        <v>1844</v>
      </c>
      <c r="B1503" s="5" t="s">
        <v>15</v>
      </c>
      <c r="C1503" s="4">
        <v>77</v>
      </c>
      <c r="D1503" s="101">
        <f t="shared" si="40"/>
        <v>76.833333333333329</v>
      </c>
      <c r="F1503" s="90">
        <f t="shared" si="41"/>
        <v>1.3157894736842105E-2</v>
      </c>
    </row>
    <row r="1504" spans="1:6">
      <c r="A1504" s="5">
        <v>1844</v>
      </c>
      <c r="B1504" s="5" t="s">
        <v>16</v>
      </c>
      <c r="C1504" s="4">
        <v>77</v>
      </c>
      <c r="D1504" s="101">
        <f t="shared" si="40"/>
        <v>76.916666666666671</v>
      </c>
      <c r="F1504" s="90">
        <f t="shared" si="41"/>
        <v>1.3157894736842105E-2</v>
      </c>
    </row>
    <row r="1505" spans="1:6">
      <c r="A1505" s="5">
        <v>1844</v>
      </c>
      <c r="B1505" s="5" t="s">
        <v>17</v>
      </c>
      <c r="C1505" s="4">
        <v>77</v>
      </c>
      <c r="D1505" s="101">
        <f t="shared" si="40"/>
        <v>76.916666666666671</v>
      </c>
      <c r="F1505" s="90">
        <f t="shared" si="41"/>
        <v>0</v>
      </c>
    </row>
    <row r="1506" spans="1:6">
      <c r="A1506" s="5">
        <v>1844</v>
      </c>
      <c r="B1506" s="5" t="s">
        <v>18</v>
      </c>
      <c r="C1506" s="4">
        <v>77</v>
      </c>
      <c r="D1506" s="101">
        <f t="shared" si="40"/>
        <v>77.083333333333329</v>
      </c>
      <c r="F1506" s="90">
        <f t="shared" si="41"/>
        <v>2.6666666666666668E-2</v>
      </c>
    </row>
    <row r="1507" spans="1:6">
      <c r="A1507" s="5">
        <v>1844</v>
      </c>
      <c r="B1507" s="5" t="s">
        <v>19</v>
      </c>
      <c r="C1507" s="4">
        <v>78</v>
      </c>
      <c r="D1507" s="101">
        <f t="shared" si="40"/>
        <v>77.166666666666671</v>
      </c>
      <c r="F1507" s="90">
        <f t="shared" si="41"/>
        <v>1.2987012987012988E-2</v>
      </c>
    </row>
    <row r="1508" spans="1:6">
      <c r="A1508" s="5">
        <v>1844</v>
      </c>
      <c r="B1508" s="5" t="s">
        <v>20</v>
      </c>
      <c r="C1508" s="4">
        <v>78</v>
      </c>
      <c r="D1508" s="101">
        <f t="shared" si="40"/>
        <v>77.25</v>
      </c>
      <c r="E1508" s="4">
        <v>77</v>
      </c>
      <c r="F1508" s="90">
        <f t="shared" si="41"/>
        <v>1.2987012987012988E-2</v>
      </c>
    </row>
    <row r="1509" spans="1:6">
      <c r="A1509" s="5">
        <v>1845</v>
      </c>
      <c r="B1509" s="5" t="s">
        <v>9</v>
      </c>
      <c r="C1509" s="4">
        <v>79</v>
      </c>
      <c r="D1509" s="101">
        <f t="shared" si="40"/>
        <v>77.5</v>
      </c>
      <c r="F1509" s="90">
        <f t="shared" si="41"/>
        <v>3.9473684210526314E-2</v>
      </c>
    </row>
    <row r="1510" spans="1:6">
      <c r="A1510" s="5">
        <v>1845</v>
      </c>
      <c r="B1510" s="5" t="s">
        <v>10</v>
      </c>
      <c r="C1510" s="4">
        <v>79</v>
      </c>
      <c r="D1510" s="101">
        <f t="shared" si="40"/>
        <v>77.666666666666671</v>
      </c>
      <c r="F1510" s="90">
        <f t="shared" si="41"/>
        <v>2.5974025974025976E-2</v>
      </c>
    </row>
    <row r="1511" spans="1:6">
      <c r="A1511" s="5">
        <v>1845</v>
      </c>
      <c r="B1511" s="5" t="s">
        <v>11</v>
      </c>
      <c r="C1511" s="4">
        <v>81</v>
      </c>
      <c r="D1511" s="101">
        <f t="shared" si="40"/>
        <v>78</v>
      </c>
      <c r="F1511" s="90">
        <f t="shared" si="41"/>
        <v>5.1948051948051951E-2</v>
      </c>
    </row>
    <row r="1512" spans="1:6">
      <c r="A1512" s="5">
        <v>1845</v>
      </c>
      <c r="B1512" s="5" t="s">
        <v>12</v>
      </c>
      <c r="C1512" s="4">
        <v>83</v>
      </c>
      <c r="D1512" s="101">
        <f t="shared" si="40"/>
        <v>78.416666666666671</v>
      </c>
      <c r="F1512" s="90">
        <f t="shared" si="41"/>
        <v>6.4102564102564097E-2</v>
      </c>
    </row>
    <row r="1513" spans="1:6">
      <c r="A1513" s="5">
        <v>1845</v>
      </c>
      <c r="B1513" s="5" t="s">
        <v>13</v>
      </c>
      <c r="C1513" s="4">
        <v>83</v>
      </c>
      <c r="D1513" s="101">
        <f t="shared" si="40"/>
        <v>78.833333333333329</v>
      </c>
      <c r="F1513" s="90">
        <f t="shared" si="41"/>
        <v>6.4102564102564097E-2</v>
      </c>
    </row>
    <row r="1514" spans="1:6">
      <c r="A1514" s="5">
        <v>1845</v>
      </c>
      <c r="B1514" s="5" t="s">
        <v>14</v>
      </c>
      <c r="C1514" s="4">
        <v>82</v>
      </c>
      <c r="D1514" s="101">
        <f t="shared" si="40"/>
        <v>79.25</v>
      </c>
      <c r="F1514" s="90">
        <f t="shared" si="41"/>
        <v>6.4935064935064929E-2</v>
      </c>
    </row>
    <row r="1515" spans="1:6">
      <c r="A1515" s="5">
        <v>1845</v>
      </c>
      <c r="B1515" s="5" t="s">
        <v>15</v>
      </c>
      <c r="C1515" s="4">
        <v>82</v>
      </c>
      <c r="D1515" s="101">
        <f t="shared" si="40"/>
        <v>79.666666666666671</v>
      </c>
      <c r="F1515" s="90">
        <f t="shared" si="41"/>
        <v>6.4935064935064929E-2</v>
      </c>
    </row>
    <row r="1516" spans="1:6">
      <c r="A1516" s="5">
        <v>1845</v>
      </c>
      <c r="B1516" s="5" t="s">
        <v>16</v>
      </c>
      <c r="C1516" s="4">
        <v>83</v>
      </c>
      <c r="D1516" s="101">
        <f t="shared" si="40"/>
        <v>80.166666666666671</v>
      </c>
      <c r="F1516" s="90">
        <f t="shared" si="41"/>
        <v>7.792207792207792E-2</v>
      </c>
    </row>
    <row r="1517" spans="1:6">
      <c r="A1517" s="5">
        <v>1845</v>
      </c>
      <c r="B1517" s="5" t="s">
        <v>17</v>
      </c>
      <c r="C1517" s="4">
        <v>85</v>
      </c>
      <c r="D1517" s="101">
        <f t="shared" si="40"/>
        <v>80.833333333333329</v>
      </c>
      <c r="F1517" s="90">
        <f t="shared" si="41"/>
        <v>0.1038961038961039</v>
      </c>
    </row>
    <row r="1518" spans="1:6">
      <c r="A1518" s="5">
        <v>1845</v>
      </c>
      <c r="B1518" s="5" t="s">
        <v>18</v>
      </c>
      <c r="C1518" s="4">
        <v>85</v>
      </c>
      <c r="D1518" s="101">
        <f t="shared" si="40"/>
        <v>81.5</v>
      </c>
      <c r="F1518" s="90">
        <f t="shared" si="41"/>
        <v>0.1038961038961039</v>
      </c>
    </row>
    <row r="1519" spans="1:6">
      <c r="A1519" s="5">
        <v>1845</v>
      </c>
      <c r="B1519" s="5" t="s">
        <v>19</v>
      </c>
      <c r="C1519" s="4">
        <v>88</v>
      </c>
      <c r="D1519" s="101">
        <f t="shared" si="40"/>
        <v>82.333333333333329</v>
      </c>
      <c r="F1519" s="90">
        <f t="shared" si="41"/>
        <v>0.12820512820512819</v>
      </c>
    </row>
    <row r="1520" spans="1:6">
      <c r="A1520" s="5">
        <v>1845</v>
      </c>
      <c r="B1520" s="5" t="s">
        <v>20</v>
      </c>
      <c r="C1520" s="4">
        <v>91</v>
      </c>
      <c r="D1520" s="101">
        <f t="shared" si="40"/>
        <v>83.416666666666671</v>
      </c>
      <c r="E1520" s="4">
        <v>83</v>
      </c>
      <c r="F1520" s="90">
        <f t="shared" si="41"/>
        <v>0.16666666666666666</v>
      </c>
    </row>
    <row r="1521" spans="1:6">
      <c r="A1521" s="5">
        <v>1846</v>
      </c>
      <c r="B1521" s="5" t="s">
        <v>9</v>
      </c>
      <c r="C1521" s="4">
        <v>89</v>
      </c>
      <c r="D1521" s="101">
        <f t="shared" ref="D1521:D1584" si="42">AVERAGE(C1510:C1521)</f>
        <v>84.25</v>
      </c>
      <c r="F1521" s="90">
        <f t="shared" si="41"/>
        <v>0.12658227848101267</v>
      </c>
    </row>
    <row r="1522" spans="1:6">
      <c r="A1522" s="5">
        <v>1846</v>
      </c>
      <c r="B1522" s="5" t="s">
        <v>10</v>
      </c>
      <c r="C1522" s="4">
        <v>87</v>
      </c>
      <c r="D1522" s="101">
        <f t="shared" si="42"/>
        <v>84.916666666666671</v>
      </c>
      <c r="F1522" s="90">
        <f t="shared" si="41"/>
        <v>0.10126582278481013</v>
      </c>
    </row>
    <row r="1523" spans="1:6">
      <c r="A1523" s="5">
        <v>1846</v>
      </c>
      <c r="B1523" s="5" t="s">
        <v>11</v>
      </c>
      <c r="C1523" s="4">
        <v>86</v>
      </c>
      <c r="D1523" s="101">
        <f t="shared" si="42"/>
        <v>85.333333333333329</v>
      </c>
      <c r="F1523" s="90">
        <f t="shared" si="41"/>
        <v>6.1728395061728392E-2</v>
      </c>
    </row>
    <row r="1524" spans="1:6">
      <c r="A1524" s="5">
        <v>1846</v>
      </c>
      <c r="B1524" s="5" t="s">
        <v>12</v>
      </c>
      <c r="C1524" s="4">
        <v>85</v>
      </c>
      <c r="D1524" s="101">
        <f t="shared" si="42"/>
        <v>85.5</v>
      </c>
      <c r="F1524" s="90">
        <f t="shared" si="41"/>
        <v>2.4096385542168676E-2</v>
      </c>
    </row>
    <row r="1525" spans="1:6">
      <c r="A1525" s="5">
        <v>1846</v>
      </c>
      <c r="B1525" s="5" t="s">
        <v>13</v>
      </c>
      <c r="C1525" s="4">
        <v>83</v>
      </c>
      <c r="D1525" s="101">
        <f t="shared" si="42"/>
        <v>85.5</v>
      </c>
      <c r="F1525" s="90">
        <f t="shared" si="41"/>
        <v>0</v>
      </c>
    </row>
    <row r="1526" spans="1:6">
      <c r="A1526" s="5">
        <v>1846</v>
      </c>
      <c r="B1526" s="5" t="s">
        <v>14</v>
      </c>
      <c r="C1526" s="4">
        <v>81</v>
      </c>
      <c r="D1526" s="101">
        <f t="shared" si="42"/>
        <v>85.416666666666671</v>
      </c>
      <c r="F1526" s="90">
        <f t="shared" si="41"/>
        <v>-1.2195121951219513E-2</v>
      </c>
    </row>
    <row r="1527" spans="1:6">
      <c r="A1527" s="5">
        <v>1846</v>
      </c>
      <c r="B1527" s="5" t="s">
        <v>15</v>
      </c>
      <c r="C1527" s="4">
        <v>79</v>
      </c>
      <c r="D1527" s="101">
        <f t="shared" si="42"/>
        <v>85.166666666666671</v>
      </c>
      <c r="F1527" s="90">
        <f t="shared" si="41"/>
        <v>-3.6585365853658534E-2</v>
      </c>
    </row>
    <row r="1528" spans="1:6">
      <c r="A1528" s="5">
        <v>1846</v>
      </c>
      <c r="B1528" s="5" t="s">
        <v>16</v>
      </c>
      <c r="C1528" s="4">
        <v>78</v>
      </c>
      <c r="D1528" s="101">
        <f t="shared" si="42"/>
        <v>84.75</v>
      </c>
      <c r="F1528" s="90">
        <f t="shared" si="41"/>
        <v>-6.0240963855421686E-2</v>
      </c>
    </row>
    <row r="1529" spans="1:6">
      <c r="A1529" s="5">
        <v>1846</v>
      </c>
      <c r="B1529" s="5" t="s">
        <v>17</v>
      </c>
      <c r="C1529" s="4">
        <v>78</v>
      </c>
      <c r="D1529" s="101">
        <f t="shared" si="42"/>
        <v>84.166666666666671</v>
      </c>
      <c r="F1529" s="90">
        <f t="shared" si="41"/>
        <v>-8.2352941176470587E-2</v>
      </c>
    </row>
    <row r="1530" spans="1:6">
      <c r="A1530" s="5">
        <v>1846</v>
      </c>
      <c r="B1530" s="5" t="s">
        <v>18</v>
      </c>
      <c r="C1530" s="4">
        <v>82</v>
      </c>
      <c r="D1530" s="101">
        <f t="shared" si="42"/>
        <v>83.916666666666671</v>
      </c>
      <c r="F1530" s="90">
        <f t="shared" si="41"/>
        <v>-3.5294117647058823E-2</v>
      </c>
    </row>
    <row r="1531" spans="1:6">
      <c r="A1531" s="5">
        <v>1846</v>
      </c>
      <c r="B1531" s="5" t="s">
        <v>19</v>
      </c>
      <c r="C1531" s="4">
        <v>83</v>
      </c>
      <c r="D1531" s="101">
        <f t="shared" si="42"/>
        <v>83.5</v>
      </c>
      <c r="F1531" s="90">
        <f t="shared" si="41"/>
        <v>-5.6818181818181816E-2</v>
      </c>
    </row>
    <row r="1532" spans="1:6">
      <c r="A1532" s="5">
        <v>1846</v>
      </c>
      <c r="B1532" s="5" t="s">
        <v>20</v>
      </c>
      <c r="C1532" s="4">
        <v>83</v>
      </c>
      <c r="D1532" s="101">
        <f t="shared" si="42"/>
        <v>82.833333333333329</v>
      </c>
      <c r="E1532" s="4">
        <v>83</v>
      </c>
      <c r="F1532" s="90">
        <f t="shared" si="41"/>
        <v>-8.7912087912087919E-2</v>
      </c>
    </row>
    <row r="1533" spans="1:6">
      <c r="A1533" s="5">
        <v>1847</v>
      </c>
      <c r="B1533" s="5" t="s">
        <v>9</v>
      </c>
      <c r="C1533" s="4">
        <v>84</v>
      </c>
      <c r="D1533" s="101">
        <f t="shared" si="42"/>
        <v>82.416666666666671</v>
      </c>
      <c r="F1533" s="90">
        <f t="shared" si="41"/>
        <v>-5.6179775280898875E-2</v>
      </c>
    </row>
    <row r="1534" spans="1:6">
      <c r="A1534" s="5">
        <v>1847</v>
      </c>
      <c r="B1534" s="5" t="s">
        <v>10</v>
      </c>
      <c r="C1534" s="4">
        <v>90</v>
      </c>
      <c r="D1534" s="101">
        <f t="shared" si="42"/>
        <v>82.666666666666671</v>
      </c>
      <c r="F1534" s="90">
        <f t="shared" si="41"/>
        <v>3.4482758620689655E-2</v>
      </c>
    </row>
    <row r="1535" spans="1:6">
      <c r="A1535" s="5">
        <v>1847</v>
      </c>
      <c r="B1535" s="5" t="s">
        <v>11</v>
      </c>
      <c r="C1535" s="4">
        <v>92</v>
      </c>
      <c r="D1535" s="101">
        <f t="shared" si="42"/>
        <v>83.166666666666671</v>
      </c>
      <c r="F1535" s="90">
        <f t="shared" si="41"/>
        <v>6.9767441860465115E-2</v>
      </c>
    </row>
    <row r="1536" spans="1:6">
      <c r="A1536" s="5">
        <v>1847</v>
      </c>
      <c r="B1536" s="5" t="s">
        <v>12</v>
      </c>
      <c r="C1536" s="4">
        <v>93</v>
      </c>
      <c r="D1536" s="101">
        <f t="shared" si="42"/>
        <v>83.833333333333329</v>
      </c>
      <c r="F1536" s="90">
        <f t="shared" si="41"/>
        <v>9.4117647058823528E-2</v>
      </c>
    </row>
    <row r="1537" spans="1:6">
      <c r="A1537" s="5">
        <v>1847</v>
      </c>
      <c r="B1537" s="5" t="s">
        <v>13</v>
      </c>
      <c r="C1537" s="4">
        <v>93</v>
      </c>
      <c r="D1537" s="101">
        <f t="shared" si="42"/>
        <v>84.666666666666671</v>
      </c>
      <c r="F1537" s="90">
        <f t="shared" si="41"/>
        <v>0.12048192771084337</v>
      </c>
    </row>
    <row r="1538" spans="1:6">
      <c r="A1538" s="5">
        <v>1847</v>
      </c>
      <c r="B1538" s="5" t="s">
        <v>14</v>
      </c>
      <c r="C1538" s="4">
        <v>95</v>
      </c>
      <c r="D1538" s="101">
        <f t="shared" si="42"/>
        <v>85.833333333333329</v>
      </c>
      <c r="F1538" s="90">
        <f t="shared" si="41"/>
        <v>0.1728395061728395</v>
      </c>
    </row>
    <row r="1539" spans="1:6">
      <c r="A1539" s="5">
        <v>1847</v>
      </c>
      <c r="B1539" s="5" t="s">
        <v>15</v>
      </c>
      <c r="C1539" s="4">
        <v>91</v>
      </c>
      <c r="D1539" s="101">
        <f t="shared" si="42"/>
        <v>86.833333333333329</v>
      </c>
      <c r="F1539" s="90">
        <f t="shared" si="41"/>
        <v>0.15189873417721519</v>
      </c>
    </row>
    <row r="1540" spans="1:6">
      <c r="A1540" s="5">
        <v>1847</v>
      </c>
      <c r="B1540" s="5" t="s">
        <v>16</v>
      </c>
      <c r="C1540" s="4">
        <v>88</v>
      </c>
      <c r="D1540" s="101">
        <f t="shared" si="42"/>
        <v>87.666666666666671</v>
      </c>
      <c r="F1540" s="90">
        <f t="shared" si="41"/>
        <v>0.12820512820512819</v>
      </c>
    </row>
    <row r="1541" spans="1:6">
      <c r="A1541" s="5">
        <v>1847</v>
      </c>
      <c r="B1541" s="5" t="s">
        <v>17</v>
      </c>
      <c r="C1541" s="4">
        <v>89</v>
      </c>
      <c r="D1541" s="101">
        <f t="shared" si="42"/>
        <v>88.583333333333329</v>
      </c>
      <c r="F1541" s="90">
        <f t="shared" si="41"/>
        <v>0.14102564102564102</v>
      </c>
    </row>
    <row r="1542" spans="1:6">
      <c r="A1542" s="5">
        <v>1847</v>
      </c>
      <c r="B1542" s="5" t="s">
        <v>18</v>
      </c>
      <c r="C1542" s="4">
        <v>88</v>
      </c>
      <c r="D1542" s="101">
        <f t="shared" si="42"/>
        <v>89.083333333333329</v>
      </c>
      <c r="F1542" s="90">
        <f t="shared" si="41"/>
        <v>7.3170731707317069E-2</v>
      </c>
    </row>
    <row r="1543" spans="1:6">
      <c r="A1543" s="5">
        <v>1847</v>
      </c>
      <c r="B1543" s="5" t="s">
        <v>19</v>
      </c>
      <c r="C1543" s="4">
        <v>89</v>
      </c>
      <c r="D1543" s="101">
        <f t="shared" si="42"/>
        <v>89.583333333333329</v>
      </c>
      <c r="F1543" s="90">
        <f t="shared" si="41"/>
        <v>7.2289156626506021E-2</v>
      </c>
    </row>
    <row r="1544" spans="1:6">
      <c r="A1544" s="5">
        <v>1847</v>
      </c>
      <c r="B1544" s="5" t="s">
        <v>20</v>
      </c>
      <c r="C1544" s="4">
        <v>87</v>
      </c>
      <c r="D1544" s="101">
        <f t="shared" si="42"/>
        <v>89.916666666666671</v>
      </c>
      <c r="E1544" s="4">
        <v>90</v>
      </c>
      <c r="F1544" s="90">
        <f t="shared" si="41"/>
        <v>4.8192771084337352E-2</v>
      </c>
    </row>
    <row r="1545" spans="1:6">
      <c r="A1545" s="5">
        <v>1848</v>
      </c>
      <c r="B1545" s="5" t="s">
        <v>9</v>
      </c>
      <c r="C1545" s="4">
        <v>85</v>
      </c>
      <c r="D1545" s="101">
        <f t="shared" si="42"/>
        <v>90</v>
      </c>
      <c r="F1545" s="90">
        <f t="shared" si="41"/>
        <v>1.1904761904761904E-2</v>
      </c>
    </row>
    <row r="1546" spans="1:6">
      <c r="A1546" s="5">
        <v>1848</v>
      </c>
      <c r="B1546" s="5" t="s">
        <v>10</v>
      </c>
      <c r="C1546" s="4">
        <v>85</v>
      </c>
      <c r="D1546" s="101">
        <f t="shared" si="42"/>
        <v>89.583333333333329</v>
      </c>
      <c r="F1546" s="90">
        <f t="shared" si="41"/>
        <v>-5.5555555555555552E-2</v>
      </c>
    </row>
    <row r="1547" spans="1:6">
      <c r="A1547" s="5">
        <v>1848</v>
      </c>
      <c r="B1547" s="5" t="s">
        <v>11</v>
      </c>
      <c r="C1547" s="4">
        <v>84</v>
      </c>
      <c r="D1547" s="101">
        <f t="shared" si="42"/>
        <v>88.916666666666671</v>
      </c>
      <c r="F1547" s="90">
        <f t="shared" si="41"/>
        <v>-8.6956521739130432E-2</v>
      </c>
    </row>
    <row r="1548" spans="1:6">
      <c r="A1548" s="5">
        <v>1848</v>
      </c>
      <c r="B1548" s="5" t="s">
        <v>12</v>
      </c>
      <c r="C1548" s="4">
        <v>84</v>
      </c>
      <c r="D1548" s="101">
        <f t="shared" si="42"/>
        <v>88.166666666666671</v>
      </c>
      <c r="F1548" s="90">
        <f t="shared" si="41"/>
        <v>-9.6774193548387094E-2</v>
      </c>
    </row>
    <row r="1549" spans="1:6">
      <c r="A1549" s="5">
        <v>1848</v>
      </c>
      <c r="B1549" s="5" t="s">
        <v>13</v>
      </c>
      <c r="C1549" s="4">
        <v>83</v>
      </c>
      <c r="D1549" s="101">
        <f t="shared" si="42"/>
        <v>87.333333333333329</v>
      </c>
      <c r="F1549" s="90">
        <f t="shared" si="41"/>
        <v>-0.10752688172043011</v>
      </c>
    </row>
    <row r="1550" spans="1:6">
      <c r="A1550" s="5">
        <v>1848</v>
      </c>
      <c r="B1550" s="5" t="s">
        <v>14</v>
      </c>
      <c r="C1550" s="4">
        <v>80</v>
      </c>
      <c r="D1550" s="101">
        <f t="shared" si="42"/>
        <v>86.083333333333329</v>
      </c>
      <c r="F1550" s="90">
        <f t="shared" si="41"/>
        <v>-0.15789473684210525</v>
      </c>
    </row>
    <row r="1551" spans="1:6">
      <c r="A1551" s="5">
        <v>1848</v>
      </c>
      <c r="B1551" s="5" t="s">
        <v>15</v>
      </c>
      <c r="C1551" s="4">
        <v>79</v>
      </c>
      <c r="D1551" s="101">
        <f t="shared" si="42"/>
        <v>85.083333333333329</v>
      </c>
      <c r="F1551" s="90">
        <f t="shared" si="41"/>
        <v>-0.13186813186813187</v>
      </c>
    </row>
    <row r="1552" spans="1:6">
      <c r="A1552" s="5">
        <v>1848</v>
      </c>
      <c r="B1552" s="5" t="s">
        <v>16</v>
      </c>
      <c r="C1552" s="4">
        <v>79</v>
      </c>
      <c r="D1552" s="101">
        <f t="shared" si="42"/>
        <v>84.333333333333329</v>
      </c>
      <c r="F1552" s="90">
        <f t="shared" si="41"/>
        <v>-0.10227272727272728</v>
      </c>
    </row>
    <row r="1553" spans="1:6">
      <c r="A1553" s="5">
        <v>1848</v>
      </c>
      <c r="B1553" s="5" t="s">
        <v>17</v>
      </c>
      <c r="C1553" s="4">
        <v>81</v>
      </c>
      <c r="D1553" s="101">
        <f t="shared" si="42"/>
        <v>83.666666666666671</v>
      </c>
      <c r="F1553" s="90">
        <f t="shared" si="41"/>
        <v>-8.98876404494382E-2</v>
      </c>
    </row>
    <row r="1554" spans="1:6">
      <c r="A1554" s="5">
        <v>1848</v>
      </c>
      <c r="B1554" s="5" t="s">
        <v>18</v>
      </c>
      <c r="C1554" s="4">
        <v>82</v>
      </c>
      <c r="D1554" s="101">
        <f t="shared" si="42"/>
        <v>83.166666666666671</v>
      </c>
      <c r="F1554" s="90">
        <f t="shared" si="41"/>
        <v>-6.8181818181818177E-2</v>
      </c>
    </row>
    <row r="1555" spans="1:6">
      <c r="A1555" s="5">
        <v>1848</v>
      </c>
      <c r="B1555" s="5" t="s">
        <v>19</v>
      </c>
      <c r="C1555" s="4">
        <v>80</v>
      </c>
      <c r="D1555" s="101">
        <f t="shared" si="42"/>
        <v>82.416666666666671</v>
      </c>
      <c r="F1555" s="90">
        <f t="shared" si="41"/>
        <v>-0.10112359550561797</v>
      </c>
    </row>
    <row r="1556" spans="1:6">
      <c r="A1556" s="5">
        <v>1848</v>
      </c>
      <c r="B1556" s="5" t="s">
        <v>20</v>
      </c>
      <c r="C1556" s="4">
        <v>80</v>
      </c>
      <c r="D1556" s="101">
        <f t="shared" si="42"/>
        <v>81.833333333333329</v>
      </c>
      <c r="E1556" s="4">
        <v>82</v>
      </c>
      <c r="F1556" s="90">
        <f t="shared" si="41"/>
        <v>-8.0459770114942528E-2</v>
      </c>
    </row>
    <row r="1557" spans="1:6">
      <c r="A1557" s="5">
        <v>1849</v>
      </c>
      <c r="B1557" s="5" t="s">
        <v>9</v>
      </c>
      <c r="C1557" s="4">
        <v>83</v>
      </c>
      <c r="D1557" s="101">
        <f t="shared" si="42"/>
        <v>81.666666666666671</v>
      </c>
      <c r="F1557" s="90">
        <f t="shared" ref="F1557:F1620" si="43">(C1557-C1545)/C1545</f>
        <v>-2.3529411764705882E-2</v>
      </c>
    </row>
    <row r="1558" spans="1:6">
      <c r="A1558" s="5">
        <v>1849</v>
      </c>
      <c r="B1558" s="5" t="s">
        <v>10</v>
      </c>
      <c r="C1558" s="4">
        <v>83</v>
      </c>
      <c r="D1558" s="101">
        <f t="shared" si="42"/>
        <v>81.5</v>
      </c>
      <c r="F1558" s="90">
        <f t="shared" si="43"/>
        <v>-2.3529411764705882E-2</v>
      </c>
    </row>
    <row r="1559" spans="1:6">
      <c r="A1559" s="5">
        <v>1849</v>
      </c>
      <c r="B1559" s="5" t="s">
        <v>11</v>
      </c>
      <c r="C1559" s="4">
        <v>83</v>
      </c>
      <c r="D1559" s="101">
        <f t="shared" si="42"/>
        <v>81.416666666666671</v>
      </c>
      <c r="F1559" s="90">
        <f t="shared" si="43"/>
        <v>-1.1904761904761904E-2</v>
      </c>
    </row>
    <row r="1560" spans="1:6">
      <c r="A1560" s="5">
        <v>1849</v>
      </c>
      <c r="B1560" s="5" t="s">
        <v>12</v>
      </c>
      <c r="C1560" s="4">
        <v>82</v>
      </c>
      <c r="D1560" s="101">
        <f t="shared" si="42"/>
        <v>81.25</v>
      </c>
      <c r="F1560" s="90">
        <f t="shared" si="43"/>
        <v>-2.3809523809523808E-2</v>
      </c>
    </row>
    <row r="1561" spans="1:6">
      <c r="A1561" s="5">
        <v>1849</v>
      </c>
      <c r="B1561" s="5" t="s">
        <v>13</v>
      </c>
      <c r="C1561" s="4">
        <v>81</v>
      </c>
      <c r="D1561" s="101">
        <f t="shared" si="42"/>
        <v>81.083333333333329</v>
      </c>
      <c r="F1561" s="90">
        <f t="shared" si="43"/>
        <v>-2.4096385542168676E-2</v>
      </c>
    </row>
    <row r="1562" spans="1:6">
      <c r="A1562" s="5">
        <v>1849</v>
      </c>
      <c r="B1562" s="5" t="s">
        <v>14</v>
      </c>
      <c r="C1562" s="4">
        <v>80</v>
      </c>
      <c r="D1562" s="101">
        <f t="shared" si="42"/>
        <v>81.083333333333329</v>
      </c>
      <c r="F1562" s="90">
        <f t="shared" si="43"/>
        <v>0</v>
      </c>
    </row>
    <row r="1563" spans="1:6">
      <c r="A1563" s="5">
        <v>1849</v>
      </c>
      <c r="B1563" s="5" t="s">
        <v>15</v>
      </c>
      <c r="C1563" s="4">
        <v>81</v>
      </c>
      <c r="D1563" s="101">
        <f t="shared" si="42"/>
        <v>81.25</v>
      </c>
      <c r="F1563" s="90">
        <f t="shared" si="43"/>
        <v>2.5316455696202531E-2</v>
      </c>
    </row>
    <row r="1564" spans="1:6">
      <c r="A1564" s="5">
        <v>1849</v>
      </c>
      <c r="B1564" s="5" t="s">
        <v>16</v>
      </c>
      <c r="C1564" s="4">
        <v>81</v>
      </c>
      <c r="D1564" s="101">
        <f t="shared" si="42"/>
        <v>81.416666666666671</v>
      </c>
      <c r="F1564" s="90">
        <f t="shared" si="43"/>
        <v>2.5316455696202531E-2</v>
      </c>
    </row>
    <row r="1565" spans="1:6">
      <c r="A1565" s="5">
        <v>1849</v>
      </c>
      <c r="B1565" s="5" t="s">
        <v>17</v>
      </c>
      <c r="C1565" s="4">
        <v>83</v>
      </c>
      <c r="D1565" s="101">
        <f t="shared" si="42"/>
        <v>81.583333333333329</v>
      </c>
      <c r="F1565" s="90">
        <f t="shared" si="43"/>
        <v>2.4691358024691357E-2</v>
      </c>
    </row>
    <row r="1566" spans="1:6">
      <c r="A1566" s="5">
        <v>1849</v>
      </c>
      <c r="B1566" s="5" t="s">
        <v>18</v>
      </c>
      <c r="C1566" s="4">
        <v>82</v>
      </c>
      <c r="D1566" s="101">
        <f t="shared" si="42"/>
        <v>81.583333333333329</v>
      </c>
      <c r="F1566" s="90">
        <f t="shared" si="43"/>
        <v>0</v>
      </c>
    </row>
    <row r="1567" spans="1:6">
      <c r="A1567" s="5">
        <v>1849</v>
      </c>
      <c r="B1567" s="5" t="s">
        <v>19</v>
      </c>
      <c r="C1567" s="4">
        <v>81</v>
      </c>
      <c r="D1567" s="101">
        <f t="shared" si="42"/>
        <v>81.666666666666671</v>
      </c>
      <c r="F1567" s="90">
        <f t="shared" si="43"/>
        <v>1.2500000000000001E-2</v>
      </c>
    </row>
    <row r="1568" spans="1:6">
      <c r="A1568" s="5">
        <v>1849</v>
      </c>
      <c r="B1568" s="5" t="s">
        <v>20</v>
      </c>
      <c r="C1568" s="4">
        <v>82</v>
      </c>
      <c r="D1568" s="101">
        <f t="shared" si="42"/>
        <v>81.833333333333329</v>
      </c>
      <c r="E1568" s="4">
        <v>82</v>
      </c>
      <c r="F1568" s="90">
        <f t="shared" si="43"/>
        <v>2.5000000000000001E-2</v>
      </c>
    </row>
    <row r="1569" spans="1:6">
      <c r="A1569" s="5">
        <v>1850</v>
      </c>
      <c r="B1569" s="5" t="s">
        <v>9</v>
      </c>
      <c r="C1569" s="4">
        <v>83</v>
      </c>
      <c r="D1569" s="101">
        <f t="shared" si="42"/>
        <v>81.833333333333329</v>
      </c>
      <c r="F1569" s="90">
        <f t="shared" si="43"/>
        <v>0</v>
      </c>
    </row>
    <row r="1570" spans="1:6">
      <c r="A1570" s="5">
        <v>1850</v>
      </c>
      <c r="B1570" s="5" t="s">
        <v>10</v>
      </c>
      <c r="C1570" s="4">
        <v>84</v>
      </c>
      <c r="D1570" s="101">
        <f t="shared" si="42"/>
        <v>81.916666666666671</v>
      </c>
      <c r="F1570" s="90">
        <f t="shared" si="43"/>
        <v>1.2048192771084338E-2</v>
      </c>
    </row>
    <row r="1571" spans="1:6">
      <c r="A1571" s="5">
        <v>1850</v>
      </c>
      <c r="B1571" s="5" t="s">
        <v>11</v>
      </c>
      <c r="C1571" s="4">
        <v>85</v>
      </c>
      <c r="D1571" s="101">
        <f t="shared" si="42"/>
        <v>82.083333333333329</v>
      </c>
      <c r="F1571" s="90">
        <f t="shared" si="43"/>
        <v>2.4096385542168676E-2</v>
      </c>
    </row>
    <row r="1572" spans="1:6">
      <c r="A1572" s="5">
        <v>1850</v>
      </c>
      <c r="B1572" s="5" t="s">
        <v>12</v>
      </c>
      <c r="C1572" s="4">
        <v>84</v>
      </c>
      <c r="D1572" s="101">
        <f t="shared" si="42"/>
        <v>82.25</v>
      </c>
      <c r="F1572" s="90">
        <f t="shared" si="43"/>
        <v>2.4390243902439025E-2</v>
      </c>
    </row>
    <row r="1573" spans="1:6">
      <c r="A1573" s="5">
        <v>1850</v>
      </c>
      <c r="B1573" s="5" t="s">
        <v>13</v>
      </c>
      <c r="C1573" s="4">
        <v>84</v>
      </c>
      <c r="D1573" s="101">
        <f t="shared" si="42"/>
        <v>82.5</v>
      </c>
      <c r="F1573" s="90">
        <f t="shared" si="43"/>
        <v>3.7037037037037035E-2</v>
      </c>
    </row>
    <row r="1574" spans="1:6">
      <c r="A1574" s="5">
        <v>1850</v>
      </c>
      <c r="B1574" s="5" t="s">
        <v>14</v>
      </c>
      <c r="C1574" s="4">
        <v>84</v>
      </c>
      <c r="D1574" s="101">
        <f t="shared" si="42"/>
        <v>82.833333333333329</v>
      </c>
      <c r="F1574" s="90">
        <f t="shared" si="43"/>
        <v>0.05</v>
      </c>
    </row>
    <row r="1575" spans="1:6">
      <c r="A1575" s="5">
        <v>1850</v>
      </c>
      <c r="B1575" s="5" t="s">
        <v>15</v>
      </c>
      <c r="C1575" s="4">
        <v>84</v>
      </c>
      <c r="D1575" s="101">
        <f t="shared" si="42"/>
        <v>83.083333333333329</v>
      </c>
      <c r="F1575" s="90">
        <f t="shared" si="43"/>
        <v>3.7037037037037035E-2</v>
      </c>
    </row>
    <row r="1576" spans="1:6">
      <c r="A1576" s="5">
        <v>1850</v>
      </c>
      <c r="B1576" s="5" t="s">
        <v>16</v>
      </c>
      <c r="C1576" s="4">
        <v>83</v>
      </c>
      <c r="D1576" s="101">
        <f t="shared" si="42"/>
        <v>83.25</v>
      </c>
      <c r="F1576" s="90">
        <f t="shared" si="43"/>
        <v>2.4691358024691357E-2</v>
      </c>
    </row>
    <row r="1577" spans="1:6">
      <c r="A1577" s="5">
        <v>1850</v>
      </c>
      <c r="B1577" s="5" t="s">
        <v>17</v>
      </c>
      <c r="C1577" s="4">
        <v>83</v>
      </c>
      <c r="D1577" s="101">
        <f t="shared" si="42"/>
        <v>83.25</v>
      </c>
      <c r="F1577" s="90">
        <f t="shared" si="43"/>
        <v>0</v>
      </c>
    </row>
    <row r="1578" spans="1:6">
      <c r="A1578" s="5">
        <v>1850</v>
      </c>
      <c r="B1578" s="5" t="s">
        <v>18</v>
      </c>
      <c r="C1578" s="4">
        <v>84</v>
      </c>
      <c r="D1578" s="101">
        <f t="shared" si="42"/>
        <v>83.416666666666671</v>
      </c>
      <c r="F1578" s="90">
        <f t="shared" si="43"/>
        <v>2.4390243902439025E-2</v>
      </c>
    </row>
    <row r="1579" spans="1:6">
      <c r="A1579" s="5">
        <v>1850</v>
      </c>
      <c r="B1579" s="5" t="s">
        <v>19</v>
      </c>
      <c r="C1579" s="4">
        <v>85</v>
      </c>
      <c r="D1579" s="101">
        <f t="shared" si="42"/>
        <v>83.75</v>
      </c>
      <c r="F1579" s="90">
        <f t="shared" si="43"/>
        <v>4.9382716049382713E-2</v>
      </c>
    </row>
    <row r="1580" spans="1:6">
      <c r="A1580" s="5">
        <v>1850</v>
      </c>
      <c r="B1580" s="5" t="s">
        <v>20</v>
      </c>
      <c r="C1580" s="4">
        <v>85</v>
      </c>
      <c r="D1580" s="101">
        <f t="shared" si="42"/>
        <v>84</v>
      </c>
      <c r="E1580" s="4">
        <v>84</v>
      </c>
      <c r="F1580" s="90">
        <f t="shared" si="43"/>
        <v>3.6585365853658534E-2</v>
      </c>
    </row>
    <row r="1581" spans="1:6">
      <c r="A1581" s="5">
        <v>1851</v>
      </c>
      <c r="B1581" s="5" t="s">
        <v>9</v>
      </c>
      <c r="C1581" s="4">
        <v>87</v>
      </c>
      <c r="D1581" s="101">
        <f t="shared" si="42"/>
        <v>84.333333333333329</v>
      </c>
      <c r="F1581" s="90">
        <f t="shared" si="43"/>
        <v>4.8192771084337352E-2</v>
      </c>
    </row>
    <row r="1582" spans="1:6">
      <c r="A1582" s="5">
        <v>1851</v>
      </c>
      <c r="B1582" s="5" t="s">
        <v>10</v>
      </c>
      <c r="C1582" s="4">
        <v>87</v>
      </c>
      <c r="D1582" s="101">
        <f t="shared" si="42"/>
        <v>84.583333333333329</v>
      </c>
      <c r="F1582" s="90">
        <f t="shared" si="43"/>
        <v>3.5714285714285712E-2</v>
      </c>
    </row>
    <row r="1583" spans="1:6">
      <c r="A1583" s="5">
        <v>1851</v>
      </c>
      <c r="B1583" s="5" t="s">
        <v>11</v>
      </c>
      <c r="C1583" s="4">
        <v>86</v>
      </c>
      <c r="D1583" s="101">
        <f t="shared" si="42"/>
        <v>84.666666666666671</v>
      </c>
      <c r="F1583" s="90">
        <f t="shared" si="43"/>
        <v>1.1764705882352941E-2</v>
      </c>
    </row>
    <row r="1584" spans="1:6">
      <c r="A1584" s="5">
        <v>1851</v>
      </c>
      <c r="B1584" s="5" t="s">
        <v>12</v>
      </c>
      <c r="C1584" s="4">
        <v>85</v>
      </c>
      <c r="D1584" s="101">
        <f t="shared" si="42"/>
        <v>84.75</v>
      </c>
      <c r="F1584" s="90">
        <f t="shared" si="43"/>
        <v>1.1904761904761904E-2</v>
      </c>
    </row>
    <row r="1585" spans="1:6">
      <c r="A1585" s="5">
        <v>1851</v>
      </c>
      <c r="B1585" s="5" t="s">
        <v>13</v>
      </c>
      <c r="C1585" s="4">
        <v>84</v>
      </c>
      <c r="D1585" s="101">
        <f t="shared" ref="D1585:D1648" si="44">AVERAGE(C1574:C1585)</f>
        <v>84.75</v>
      </c>
      <c r="F1585" s="90">
        <f t="shared" si="43"/>
        <v>0</v>
      </c>
    </row>
    <row r="1586" spans="1:6">
      <c r="A1586" s="5">
        <v>1851</v>
      </c>
      <c r="B1586" s="5" t="s">
        <v>14</v>
      </c>
      <c r="C1586" s="4">
        <v>82</v>
      </c>
      <c r="D1586" s="101">
        <f t="shared" si="44"/>
        <v>84.583333333333329</v>
      </c>
      <c r="F1586" s="90">
        <f t="shared" si="43"/>
        <v>-2.3809523809523808E-2</v>
      </c>
    </row>
    <row r="1587" spans="1:6">
      <c r="A1587" s="5">
        <v>1851</v>
      </c>
      <c r="B1587" s="5" t="s">
        <v>15</v>
      </c>
      <c r="C1587" s="4">
        <v>81</v>
      </c>
      <c r="D1587" s="101">
        <f t="shared" si="44"/>
        <v>84.333333333333329</v>
      </c>
      <c r="F1587" s="90">
        <f t="shared" si="43"/>
        <v>-3.5714285714285712E-2</v>
      </c>
    </row>
    <row r="1588" spans="1:6">
      <c r="A1588" s="5">
        <v>1851</v>
      </c>
      <c r="B1588" s="5" t="s">
        <v>16</v>
      </c>
      <c r="C1588" s="4">
        <v>81</v>
      </c>
      <c r="D1588" s="101">
        <f t="shared" si="44"/>
        <v>84.166666666666671</v>
      </c>
      <c r="F1588" s="90">
        <f t="shared" si="43"/>
        <v>-2.4096385542168676E-2</v>
      </c>
    </row>
    <row r="1589" spans="1:6">
      <c r="A1589" s="5">
        <v>1851</v>
      </c>
      <c r="B1589" s="5" t="s">
        <v>17</v>
      </c>
      <c r="C1589" s="4">
        <v>81</v>
      </c>
      <c r="D1589" s="101">
        <f t="shared" si="44"/>
        <v>84</v>
      </c>
      <c r="F1589" s="90">
        <f t="shared" si="43"/>
        <v>-2.4096385542168676E-2</v>
      </c>
    </row>
    <row r="1590" spans="1:6">
      <c r="A1590" s="5">
        <v>1851</v>
      </c>
      <c r="B1590" s="5" t="s">
        <v>18</v>
      </c>
      <c r="C1590" s="4">
        <v>81</v>
      </c>
      <c r="D1590" s="101">
        <f t="shared" si="44"/>
        <v>83.75</v>
      </c>
      <c r="F1590" s="90">
        <f t="shared" si="43"/>
        <v>-3.5714285714285712E-2</v>
      </c>
    </row>
    <row r="1591" spans="1:6">
      <c r="A1591" s="5">
        <v>1851</v>
      </c>
      <c r="B1591" s="5" t="s">
        <v>19</v>
      </c>
      <c r="C1591" s="4">
        <v>81</v>
      </c>
      <c r="D1591" s="101">
        <f t="shared" si="44"/>
        <v>83.416666666666671</v>
      </c>
      <c r="F1591" s="90">
        <f t="shared" si="43"/>
        <v>-4.7058823529411764E-2</v>
      </c>
    </row>
    <row r="1592" spans="1:6">
      <c r="A1592" s="5">
        <v>1851</v>
      </c>
      <c r="B1592" s="5" t="s">
        <v>20</v>
      </c>
      <c r="C1592" s="4">
        <v>81</v>
      </c>
      <c r="D1592" s="101">
        <f t="shared" si="44"/>
        <v>83.083333333333329</v>
      </c>
      <c r="E1592" s="4">
        <v>83</v>
      </c>
      <c r="F1592" s="90">
        <f t="shared" si="43"/>
        <v>-4.7058823529411764E-2</v>
      </c>
    </row>
    <row r="1593" spans="1:6">
      <c r="A1593" s="5">
        <v>1852</v>
      </c>
      <c r="B1593" s="5" t="s">
        <v>9</v>
      </c>
      <c r="C1593" s="4">
        <v>83</v>
      </c>
      <c r="D1593" s="101">
        <f t="shared" si="44"/>
        <v>82.75</v>
      </c>
      <c r="F1593" s="90">
        <f t="shared" si="43"/>
        <v>-4.5977011494252873E-2</v>
      </c>
    </row>
    <row r="1594" spans="1:6">
      <c r="A1594" s="5">
        <v>1852</v>
      </c>
      <c r="B1594" s="5" t="s">
        <v>10</v>
      </c>
      <c r="C1594" s="4">
        <v>85</v>
      </c>
      <c r="D1594" s="101">
        <f t="shared" si="44"/>
        <v>82.583333333333329</v>
      </c>
      <c r="F1594" s="90">
        <f t="shared" si="43"/>
        <v>-2.2988505747126436E-2</v>
      </c>
    </row>
    <row r="1595" spans="1:6">
      <c r="A1595" s="5">
        <v>1852</v>
      </c>
      <c r="B1595" s="5" t="s">
        <v>11</v>
      </c>
      <c r="C1595" s="4">
        <v>87</v>
      </c>
      <c r="D1595" s="101">
        <f t="shared" si="44"/>
        <v>82.666666666666671</v>
      </c>
      <c r="F1595" s="90">
        <f t="shared" si="43"/>
        <v>1.1627906976744186E-2</v>
      </c>
    </row>
    <row r="1596" spans="1:6">
      <c r="A1596" s="5">
        <v>1852</v>
      </c>
      <c r="B1596" s="5" t="s">
        <v>12</v>
      </c>
      <c r="C1596" s="4">
        <v>86</v>
      </c>
      <c r="D1596" s="101">
        <f t="shared" si="44"/>
        <v>82.75</v>
      </c>
      <c r="F1596" s="90">
        <f t="shared" si="43"/>
        <v>1.1764705882352941E-2</v>
      </c>
    </row>
    <row r="1597" spans="1:6">
      <c r="A1597" s="5">
        <v>1852</v>
      </c>
      <c r="B1597" s="5" t="s">
        <v>13</v>
      </c>
      <c r="C1597" s="4">
        <v>86</v>
      </c>
      <c r="D1597" s="101">
        <f t="shared" si="44"/>
        <v>82.916666666666671</v>
      </c>
      <c r="F1597" s="90">
        <f t="shared" si="43"/>
        <v>2.3809523809523808E-2</v>
      </c>
    </row>
    <row r="1598" spans="1:6">
      <c r="A1598" s="5">
        <v>1852</v>
      </c>
      <c r="B1598" s="5" t="s">
        <v>14</v>
      </c>
      <c r="C1598" s="4">
        <v>86</v>
      </c>
      <c r="D1598" s="101">
        <f t="shared" si="44"/>
        <v>83.25</v>
      </c>
      <c r="F1598" s="90">
        <f t="shared" si="43"/>
        <v>4.878048780487805E-2</v>
      </c>
    </row>
    <row r="1599" spans="1:6">
      <c r="A1599" s="5">
        <v>1852</v>
      </c>
      <c r="B1599" s="5" t="s">
        <v>15</v>
      </c>
      <c r="C1599" s="4">
        <v>88</v>
      </c>
      <c r="D1599" s="101">
        <f t="shared" si="44"/>
        <v>83.833333333333329</v>
      </c>
      <c r="F1599" s="90">
        <f t="shared" si="43"/>
        <v>8.6419753086419748E-2</v>
      </c>
    </row>
    <row r="1600" spans="1:6">
      <c r="A1600" s="5">
        <v>1852</v>
      </c>
      <c r="B1600" s="5" t="s">
        <v>16</v>
      </c>
      <c r="C1600" s="4">
        <v>90</v>
      </c>
      <c r="D1600" s="101">
        <f t="shared" si="44"/>
        <v>84.583333333333329</v>
      </c>
      <c r="F1600" s="90">
        <f t="shared" si="43"/>
        <v>0.1111111111111111</v>
      </c>
    </row>
    <row r="1601" spans="1:6">
      <c r="A1601" s="5">
        <v>1852</v>
      </c>
      <c r="B1601" s="5" t="s">
        <v>17</v>
      </c>
      <c r="C1601" s="4">
        <v>91</v>
      </c>
      <c r="D1601" s="101">
        <f t="shared" si="44"/>
        <v>85.416666666666671</v>
      </c>
      <c r="F1601" s="90">
        <f t="shared" si="43"/>
        <v>0.12345679012345678</v>
      </c>
    </row>
    <row r="1602" spans="1:6">
      <c r="A1602" s="5">
        <v>1852</v>
      </c>
      <c r="B1602" s="5" t="s">
        <v>18</v>
      </c>
      <c r="C1602" s="4">
        <v>91</v>
      </c>
      <c r="D1602" s="101">
        <f t="shared" si="44"/>
        <v>86.25</v>
      </c>
      <c r="F1602" s="90">
        <f t="shared" si="43"/>
        <v>0.12345679012345678</v>
      </c>
    </row>
    <row r="1603" spans="1:6">
      <c r="A1603" s="5">
        <v>1852</v>
      </c>
      <c r="B1603" s="5" t="s">
        <v>19</v>
      </c>
      <c r="C1603" s="4">
        <v>93</v>
      </c>
      <c r="D1603" s="101">
        <f t="shared" si="44"/>
        <v>87.25</v>
      </c>
      <c r="F1603" s="90">
        <f t="shared" si="43"/>
        <v>0.14814814814814814</v>
      </c>
    </row>
    <row r="1604" spans="1:6">
      <c r="A1604" s="5">
        <v>1852</v>
      </c>
      <c r="B1604" s="5" t="s">
        <v>20</v>
      </c>
      <c r="C1604" s="4">
        <v>95</v>
      </c>
      <c r="D1604" s="101">
        <f t="shared" si="44"/>
        <v>88.416666666666671</v>
      </c>
      <c r="E1604" s="4">
        <v>88</v>
      </c>
      <c r="F1604" s="90">
        <f t="shared" si="43"/>
        <v>0.1728395061728395</v>
      </c>
    </row>
    <row r="1605" spans="1:6">
      <c r="A1605" s="5">
        <v>1853</v>
      </c>
      <c r="B1605" s="5" t="s">
        <v>9</v>
      </c>
      <c r="C1605" s="4">
        <v>96</v>
      </c>
      <c r="D1605" s="101">
        <f t="shared" si="44"/>
        <v>89.5</v>
      </c>
      <c r="F1605" s="90">
        <f t="shared" si="43"/>
        <v>0.15662650602409639</v>
      </c>
    </row>
    <row r="1606" spans="1:6">
      <c r="A1606" s="5">
        <v>1853</v>
      </c>
      <c r="B1606" s="5" t="s">
        <v>10</v>
      </c>
      <c r="C1606" s="4">
        <v>97</v>
      </c>
      <c r="D1606" s="101">
        <f t="shared" si="44"/>
        <v>90.5</v>
      </c>
      <c r="F1606" s="90">
        <f t="shared" si="43"/>
        <v>0.14117647058823529</v>
      </c>
    </row>
    <row r="1607" spans="1:6">
      <c r="A1607" s="5">
        <v>1853</v>
      </c>
      <c r="B1607" s="5" t="s">
        <v>11</v>
      </c>
      <c r="C1607" s="4">
        <v>97</v>
      </c>
      <c r="D1607" s="101">
        <f t="shared" si="44"/>
        <v>91.333333333333329</v>
      </c>
      <c r="F1607" s="90">
        <f t="shared" si="43"/>
        <v>0.11494252873563218</v>
      </c>
    </row>
    <row r="1608" spans="1:6">
      <c r="A1608" s="5">
        <v>1853</v>
      </c>
      <c r="B1608" s="5" t="s">
        <v>12</v>
      </c>
      <c r="C1608" s="4">
        <v>95</v>
      </c>
      <c r="D1608" s="101">
        <f t="shared" si="44"/>
        <v>92.083333333333329</v>
      </c>
      <c r="F1608" s="90">
        <f t="shared" si="43"/>
        <v>0.10465116279069768</v>
      </c>
    </row>
    <row r="1609" spans="1:6">
      <c r="A1609" s="5">
        <v>1853</v>
      </c>
      <c r="B1609" s="5" t="s">
        <v>13</v>
      </c>
      <c r="C1609" s="4">
        <v>94</v>
      </c>
      <c r="D1609" s="101">
        <f t="shared" si="44"/>
        <v>92.75</v>
      </c>
      <c r="F1609" s="90">
        <f t="shared" si="43"/>
        <v>9.3023255813953487E-2</v>
      </c>
    </row>
    <row r="1610" spans="1:6">
      <c r="A1610" s="5">
        <v>1853</v>
      </c>
      <c r="B1610" s="5" t="s">
        <v>14</v>
      </c>
      <c r="C1610" s="4">
        <v>93</v>
      </c>
      <c r="D1610" s="101">
        <f t="shared" si="44"/>
        <v>93.333333333333329</v>
      </c>
      <c r="F1610" s="90">
        <f t="shared" si="43"/>
        <v>8.1395348837209308E-2</v>
      </c>
    </row>
    <row r="1611" spans="1:6">
      <c r="A1611" s="5">
        <v>1853</v>
      </c>
      <c r="B1611" s="5" t="s">
        <v>15</v>
      </c>
      <c r="C1611" s="4">
        <v>93</v>
      </c>
      <c r="D1611" s="101">
        <f t="shared" si="44"/>
        <v>93.75</v>
      </c>
      <c r="F1611" s="90">
        <f t="shared" si="43"/>
        <v>5.6818181818181816E-2</v>
      </c>
    </row>
    <row r="1612" spans="1:6">
      <c r="A1612" s="5">
        <v>1853</v>
      </c>
      <c r="B1612" s="5" t="s">
        <v>16</v>
      </c>
      <c r="C1612" s="4">
        <v>95</v>
      </c>
      <c r="D1612" s="101">
        <f t="shared" si="44"/>
        <v>94.166666666666671</v>
      </c>
      <c r="F1612" s="90">
        <f t="shared" si="43"/>
        <v>5.5555555555555552E-2</v>
      </c>
    </row>
    <row r="1613" spans="1:6">
      <c r="A1613" s="5">
        <v>1853</v>
      </c>
      <c r="B1613" s="5" t="s">
        <v>17</v>
      </c>
      <c r="C1613" s="4">
        <v>97</v>
      </c>
      <c r="D1613" s="101">
        <f t="shared" si="44"/>
        <v>94.666666666666671</v>
      </c>
      <c r="F1613" s="90">
        <f t="shared" si="43"/>
        <v>6.5934065934065936E-2</v>
      </c>
    </row>
    <row r="1614" spans="1:6">
      <c r="A1614" s="5">
        <v>1853</v>
      </c>
      <c r="B1614" s="5" t="s">
        <v>18</v>
      </c>
      <c r="C1614" s="4">
        <v>101</v>
      </c>
      <c r="D1614" s="101">
        <f t="shared" si="44"/>
        <v>95.5</v>
      </c>
      <c r="F1614" s="90">
        <f t="shared" si="43"/>
        <v>0.10989010989010989</v>
      </c>
    </row>
    <row r="1615" spans="1:6">
      <c r="A1615" s="5">
        <v>1853</v>
      </c>
      <c r="B1615" s="5" t="s">
        <v>19</v>
      </c>
      <c r="C1615" s="4">
        <v>102</v>
      </c>
      <c r="D1615" s="101">
        <f t="shared" si="44"/>
        <v>96.25</v>
      </c>
      <c r="F1615" s="90">
        <f t="shared" si="43"/>
        <v>9.6774193548387094E-2</v>
      </c>
    </row>
    <row r="1616" spans="1:6">
      <c r="A1616" s="5">
        <v>1853</v>
      </c>
      <c r="B1616" s="5" t="s">
        <v>20</v>
      </c>
      <c r="C1616" s="4">
        <v>103</v>
      </c>
      <c r="D1616" s="101">
        <f t="shared" si="44"/>
        <v>96.916666666666671</v>
      </c>
      <c r="E1616" s="4">
        <v>97</v>
      </c>
      <c r="F1616" s="90">
        <f t="shared" si="43"/>
        <v>8.4210526315789472E-2</v>
      </c>
    </row>
    <row r="1617" spans="1:6">
      <c r="A1617" s="5">
        <v>1854</v>
      </c>
      <c r="B1617" s="5" t="s">
        <v>9</v>
      </c>
      <c r="C1617" s="4">
        <v>105</v>
      </c>
      <c r="D1617" s="101">
        <f t="shared" si="44"/>
        <v>97.666666666666671</v>
      </c>
      <c r="F1617" s="90">
        <f t="shared" si="43"/>
        <v>9.375E-2</v>
      </c>
    </row>
    <row r="1618" spans="1:6">
      <c r="A1618" s="5">
        <v>1854</v>
      </c>
      <c r="B1618" s="5" t="s">
        <v>10</v>
      </c>
      <c r="C1618" s="4">
        <v>112</v>
      </c>
      <c r="D1618" s="101">
        <f t="shared" si="44"/>
        <v>98.916666666666671</v>
      </c>
      <c r="F1618" s="90">
        <f t="shared" si="43"/>
        <v>0.15463917525773196</v>
      </c>
    </row>
    <row r="1619" spans="1:6">
      <c r="A1619" s="5">
        <v>1854</v>
      </c>
      <c r="B1619" s="5" t="s">
        <v>11</v>
      </c>
      <c r="C1619" s="4">
        <v>109</v>
      </c>
      <c r="D1619" s="101">
        <f t="shared" si="44"/>
        <v>99.916666666666671</v>
      </c>
      <c r="F1619" s="90">
        <f t="shared" si="43"/>
        <v>0.12371134020618557</v>
      </c>
    </row>
    <row r="1620" spans="1:6">
      <c r="A1620" s="5">
        <v>1854</v>
      </c>
      <c r="B1620" s="5" t="s">
        <v>12</v>
      </c>
      <c r="C1620" s="4">
        <v>109</v>
      </c>
      <c r="D1620" s="101">
        <f t="shared" si="44"/>
        <v>101.08333333333333</v>
      </c>
      <c r="F1620" s="90">
        <f t="shared" si="43"/>
        <v>0.14736842105263157</v>
      </c>
    </row>
    <row r="1621" spans="1:6">
      <c r="A1621" s="5">
        <v>1854</v>
      </c>
      <c r="B1621" s="5" t="s">
        <v>13</v>
      </c>
      <c r="C1621" s="4">
        <v>109</v>
      </c>
      <c r="D1621" s="101">
        <f t="shared" si="44"/>
        <v>102.33333333333333</v>
      </c>
      <c r="F1621" s="90">
        <f t="shared" ref="F1621:F1684" si="45">(C1621-C1609)/C1609</f>
        <v>0.15957446808510639</v>
      </c>
    </row>
    <row r="1622" spans="1:6">
      <c r="A1622" s="5">
        <v>1854</v>
      </c>
      <c r="B1622" s="5" t="s">
        <v>14</v>
      </c>
      <c r="C1622" s="4">
        <v>110</v>
      </c>
      <c r="D1622" s="101">
        <f t="shared" si="44"/>
        <v>103.75</v>
      </c>
      <c r="F1622" s="90">
        <f t="shared" si="45"/>
        <v>0.18279569892473119</v>
      </c>
    </row>
    <row r="1623" spans="1:6">
      <c r="A1623" s="5">
        <v>1854</v>
      </c>
      <c r="B1623" s="5" t="s">
        <v>15</v>
      </c>
      <c r="C1623" s="4">
        <v>106</v>
      </c>
      <c r="D1623" s="101">
        <f t="shared" si="44"/>
        <v>104.83333333333333</v>
      </c>
      <c r="F1623" s="90">
        <f t="shared" si="45"/>
        <v>0.13978494623655913</v>
      </c>
    </row>
    <row r="1624" spans="1:6">
      <c r="A1624" s="5">
        <v>1854</v>
      </c>
      <c r="B1624" s="5" t="s">
        <v>16</v>
      </c>
      <c r="C1624" s="4">
        <v>108</v>
      </c>
      <c r="D1624" s="101">
        <f t="shared" si="44"/>
        <v>105.91666666666667</v>
      </c>
      <c r="F1624" s="90">
        <f t="shared" si="45"/>
        <v>0.1368421052631579</v>
      </c>
    </row>
    <row r="1625" spans="1:6">
      <c r="A1625" s="5">
        <v>1854</v>
      </c>
      <c r="B1625" s="5" t="s">
        <v>17</v>
      </c>
      <c r="C1625" s="4">
        <v>110</v>
      </c>
      <c r="D1625" s="101">
        <f t="shared" si="44"/>
        <v>107</v>
      </c>
      <c r="F1625" s="90">
        <f t="shared" si="45"/>
        <v>0.13402061855670103</v>
      </c>
    </row>
    <row r="1626" spans="1:6">
      <c r="A1626" s="5">
        <v>1854</v>
      </c>
      <c r="B1626" s="5" t="s">
        <v>18</v>
      </c>
      <c r="C1626" s="4">
        <v>105</v>
      </c>
      <c r="D1626" s="101">
        <f t="shared" si="44"/>
        <v>107.33333333333333</v>
      </c>
      <c r="F1626" s="90">
        <f t="shared" si="45"/>
        <v>3.9603960396039604E-2</v>
      </c>
    </row>
    <row r="1627" spans="1:6">
      <c r="A1627" s="5">
        <v>1854</v>
      </c>
      <c r="B1627" s="5" t="s">
        <v>19</v>
      </c>
      <c r="C1627" s="4">
        <v>108</v>
      </c>
      <c r="D1627" s="101">
        <f t="shared" si="44"/>
        <v>107.83333333333333</v>
      </c>
      <c r="F1627" s="90">
        <f t="shared" si="45"/>
        <v>5.8823529411764705E-2</v>
      </c>
    </row>
    <row r="1628" spans="1:6">
      <c r="A1628" s="5">
        <v>1854</v>
      </c>
      <c r="B1628" s="5" t="s">
        <v>20</v>
      </c>
      <c r="C1628" s="4">
        <v>107</v>
      </c>
      <c r="D1628" s="101">
        <f t="shared" si="44"/>
        <v>108.16666666666667</v>
      </c>
      <c r="E1628" s="4">
        <v>108</v>
      </c>
      <c r="F1628" s="90">
        <f t="shared" si="45"/>
        <v>3.8834951456310676E-2</v>
      </c>
    </row>
    <row r="1629" spans="1:6">
      <c r="A1629" s="5">
        <v>1855</v>
      </c>
      <c r="B1629" s="5" t="s">
        <v>9</v>
      </c>
      <c r="C1629" s="4">
        <v>107</v>
      </c>
      <c r="D1629" s="101">
        <f t="shared" si="44"/>
        <v>108.33333333333333</v>
      </c>
      <c r="F1629" s="90">
        <f t="shared" si="45"/>
        <v>1.9047619047619049E-2</v>
      </c>
    </row>
    <row r="1630" spans="1:6">
      <c r="A1630" s="5">
        <v>1855</v>
      </c>
      <c r="B1630" s="5" t="s">
        <v>10</v>
      </c>
      <c r="C1630" s="4">
        <v>107</v>
      </c>
      <c r="D1630" s="101">
        <f t="shared" si="44"/>
        <v>107.91666666666667</v>
      </c>
      <c r="F1630" s="90">
        <f t="shared" si="45"/>
        <v>-4.4642857142857144E-2</v>
      </c>
    </row>
    <row r="1631" spans="1:6">
      <c r="A1631" s="5">
        <v>1855</v>
      </c>
      <c r="B1631" s="5" t="s">
        <v>11</v>
      </c>
      <c r="C1631" s="4">
        <v>109</v>
      </c>
      <c r="D1631" s="101">
        <f t="shared" si="44"/>
        <v>107.91666666666667</v>
      </c>
      <c r="F1631" s="90">
        <f t="shared" si="45"/>
        <v>0</v>
      </c>
    </row>
    <row r="1632" spans="1:6">
      <c r="A1632" s="5">
        <v>1855</v>
      </c>
      <c r="B1632" s="5" t="s">
        <v>12</v>
      </c>
      <c r="C1632" s="4">
        <v>111</v>
      </c>
      <c r="D1632" s="101">
        <f t="shared" si="44"/>
        <v>108.08333333333333</v>
      </c>
      <c r="F1632" s="90">
        <f t="shared" si="45"/>
        <v>1.834862385321101E-2</v>
      </c>
    </row>
    <row r="1633" spans="1:6">
      <c r="A1633" s="5">
        <v>1855</v>
      </c>
      <c r="B1633" s="5" t="s">
        <v>13</v>
      </c>
      <c r="C1633" s="4">
        <v>114</v>
      </c>
      <c r="D1633" s="101">
        <f t="shared" si="44"/>
        <v>108.5</v>
      </c>
      <c r="F1633" s="90">
        <f t="shared" si="45"/>
        <v>4.5871559633027525E-2</v>
      </c>
    </row>
    <row r="1634" spans="1:6">
      <c r="A1634" s="5">
        <v>1855</v>
      </c>
      <c r="B1634" s="5" t="s">
        <v>14</v>
      </c>
      <c r="C1634" s="4">
        <v>115</v>
      </c>
      <c r="D1634" s="101">
        <f t="shared" si="44"/>
        <v>108.91666666666667</v>
      </c>
      <c r="F1634" s="90">
        <f t="shared" si="45"/>
        <v>4.5454545454545456E-2</v>
      </c>
    </row>
    <row r="1635" spans="1:6">
      <c r="A1635" s="5">
        <v>1855</v>
      </c>
      <c r="B1635" s="5" t="s">
        <v>15</v>
      </c>
      <c r="C1635" s="4">
        <v>109</v>
      </c>
      <c r="D1635" s="101">
        <f t="shared" si="44"/>
        <v>109.16666666666667</v>
      </c>
      <c r="F1635" s="90">
        <f t="shared" si="45"/>
        <v>2.8301886792452831E-2</v>
      </c>
    </row>
    <row r="1636" spans="1:6">
      <c r="A1636" s="5">
        <v>1855</v>
      </c>
      <c r="B1636" s="5" t="s">
        <v>16</v>
      </c>
      <c r="C1636" s="4">
        <v>109</v>
      </c>
      <c r="D1636" s="101">
        <f t="shared" si="44"/>
        <v>109.25</v>
      </c>
      <c r="F1636" s="90">
        <f t="shared" si="45"/>
        <v>9.2592592592592587E-3</v>
      </c>
    </row>
    <row r="1637" spans="1:6">
      <c r="A1637" s="5">
        <v>1855</v>
      </c>
      <c r="B1637" s="5" t="s">
        <v>17</v>
      </c>
      <c r="C1637" s="4">
        <v>109</v>
      </c>
      <c r="D1637" s="101">
        <f t="shared" si="44"/>
        <v>109.16666666666667</v>
      </c>
      <c r="F1637" s="90">
        <f t="shared" si="45"/>
        <v>-9.0909090909090905E-3</v>
      </c>
    </row>
    <row r="1638" spans="1:6">
      <c r="A1638" s="5">
        <v>1855</v>
      </c>
      <c r="B1638" s="5" t="s">
        <v>18</v>
      </c>
      <c r="C1638" s="4">
        <v>109</v>
      </c>
      <c r="D1638" s="101">
        <f t="shared" si="44"/>
        <v>109.5</v>
      </c>
      <c r="F1638" s="90">
        <f t="shared" si="45"/>
        <v>3.8095238095238099E-2</v>
      </c>
    </row>
    <row r="1639" spans="1:6">
      <c r="A1639" s="5">
        <v>1855</v>
      </c>
      <c r="B1639" s="5" t="s">
        <v>19</v>
      </c>
      <c r="C1639" s="4">
        <v>111</v>
      </c>
      <c r="D1639" s="101">
        <f t="shared" si="44"/>
        <v>109.75</v>
      </c>
      <c r="F1639" s="90">
        <f t="shared" si="45"/>
        <v>2.7777777777777776E-2</v>
      </c>
    </row>
    <row r="1640" spans="1:6">
      <c r="A1640" s="5">
        <v>1855</v>
      </c>
      <c r="B1640" s="5" t="s">
        <v>20</v>
      </c>
      <c r="C1640" s="4">
        <v>112</v>
      </c>
      <c r="D1640" s="101">
        <f t="shared" si="44"/>
        <v>110.16666666666667</v>
      </c>
      <c r="E1640" s="4">
        <v>110</v>
      </c>
      <c r="F1640" s="90">
        <f t="shared" si="45"/>
        <v>4.6728971962616821E-2</v>
      </c>
    </row>
    <row r="1641" spans="1:6">
      <c r="A1641" s="5">
        <v>1856</v>
      </c>
      <c r="B1641" s="5" t="s">
        <v>9</v>
      </c>
      <c r="C1641" s="4">
        <v>108</v>
      </c>
      <c r="D1641" s="101">
        <f t="shared" si="44"/>
        <v>110.25</v>
      </c>
      <c r="F1641" s="90">
        <f t="shared" si="45"/>
        <v>9.3457943925233638E-3</v>
      </c>
    </row>
    <row r="1642" spans="1:6">
      <c r="A1642" s="5">
        <v>1856</v>
      </c>
      <c r="B1642" s="5" t="s">
        <v>10</v>
      </c>
      <c r="C1642" s="4">
        <v>107</v>
      </c>
      <c r="D1642" s="101">
        <f t="shared" si="44"/>
        <v>110.25</v>
      </c>
      <c r="F1642" s="90">
        <f t="shared" si="45"/>
        <v>0</v>
      </c>
    </row>
    <row r="1643" spans="1:6">
      <c r="A1643" s="5">
        <v>1856</v>
      </c>
      <c r="B1643" s="5" t="s">
        <v>11</v>
      </c>
      <c r="C1643" s="4">
        <v>106</v>
      </c>
      <c r="D1643" s="101">
        <f t="shared" si="44"/>
        <v>110</v>
      </c>
      <c r="F1643" s="90">
        <f t="shared" si="45"/>
        <v>-2.7522935779816515E-2</v>
      </c>
    </row>
    <row r="1644" spans="1:6">
      <c r="A1644" s="5">
        <v>1856</v>
      </c>
      <c r="B1644" s="5" t="s">
        <v>12</v>
      </c>
      <c r="C1644" s="4">
        <v>105</v>
      </c>
      <c r="D1644" s="101">
        <f t="shared" si="44"/>
        <v>109.5</v>
      </c>
      <c r="F1644" s="90">
        <f t="shared" si="45"/>
        <v>-5.4054054054054057E-2</v>
      </c>
    </row>
    <row r="1645" spans="1:6">
      <c r="A1645" s="5">
        <v>1856</v>
      </c>
      <c r="B1645" s="5" t="s">
        <v>13</v>
      </c>
      <c r="C1645" s="4">
        <v>102</v>
      </c>
      <c r="D1645" s="101">
        <f t="shared" si="44"/>
        <v>108.5</v>
      </c>
      <c r="F1645" s="90">
        <f t="shared" si="45"/>
        <v>-0.10526315789473684</v>
      </c>
    </row>
    <row r="1646" spans="1:6">
      <c r="A1646" s="5">
        <v>1856</v>
      </c>
      <c r="B1646" s="5" t="s">
        <v>14</v>
      </c>
      <c r="C1646" s="4">
        <v>99</v>
      </c>
      <c r="D1646" s="101">
        <f t="shared" si="44"/>
        <v>107.16666666666667</v>
      </c>
      <c r="F1646" s="90">
        <f t="shared" si="45"/>
        <v>-0.1391304347826087</v>
      </c>
    </row>
    <row r="1647" spans="1:6">
      <c r="A1647" s="5">
        <v>1856</v>
      </c>
      <c r="B1647" s="5" t="s">
        <v>15</v>
      </c>
      <c r="C1647" s="4">
        <v>102</v>
      </c>
      <c r="D1647" s="101">
        <f t="shared" si="44"/>
        <v>106.58333333333333</v>
      </c>
      <c r="F1647" s="90">
        <f t="shared" si="45"/>
        <v>-6.4220183486238536E-2</v>
      </c>
    </row>
    <row r="1648" spans="1:6">
      <c r="A1648" s="5">
        <v>1856</v>
      </c>
      <c r="B1648" s="5" t="s">
        <v>16</v>
      </c>
      <c r="C1648" s="4">
        <v>104</v>
      </c>
      <c r="D1648" s="101">
        <f t="shared" si="44"/>
        <v>106.16666666666667</v>
      </c>
      <c r="F1648" s="90">
        <f t="shared" si="45"/>
        <v>-4.5871559633027525E-2</v>
      </c>
    </row>
    <row r="1649" spans="1:6">
      <c r="A1649" s="5">
        <v>1856</v>
      </c>
      <c r="B1649" s="5" t="s">
        <v>17</v>
      </c>
      <c r="C1649" s="4">
        <v>103</v>
      </c>
      <c r="D1649" s="101">
        <f t="shared" ref="D1649:D1712" si="46">AVERAGE(C1638:C1649)</f>
        <v>105.66666666666667</v>
      </c>
      <c r="F1649" s="90">
        <f t="shared" si="45"/>
        <v>-5.5045871559633031E-2</v>
      </c>
    </row>
    <row r="1650" spans="1:6">
      <c r="A1650" s="5">
        <v>1856</v>
      </c>
      <c r="B1650" s="5" t="s">
        <v>18</v>
      </c>
      <c r="C1650" s="4">
        <v>105</v>
      </c>
      <c r="D1650" s="101">
        <f t="shared" si="46"/>
        <v>105.33333333333333</v>
      </c>
      <c r="F1650" s="90">
        <f t="shared" si="45"/>
        <v>-3.669724770642202E-2</v>
      </c>
    </row>
    <row r="1651" spans="1:6">
      <c r="A1651" s="5">
        <v>1856</v>
      </c>
      <c r="B1651" s="5" t="s">
        <v>19</v>
      </c>
      <c r="C1651" s="4">
        <v>107</v>
      </c>
      <c r="D1651" s="101">
        <f t="shared" si="46"/>
        <v>105</v>
      </c>
      <c r="F1651" s="90">
        <f t="shared" si="45"/>
        <v>-3.6036036036036036E-2</v>
      </c>
    </row>
    <row r="1652" spans="1:6">
      <c r="A1652" s="5">
        <v>1856</v>
      </c>
      <c r="B1652" s="5" t="s">
        <v>20</v>
      </c>
      <c r="C1652" s="4">
        <v>108</v>
      </c>
      <c r="D1652" s="101">
        <f t="shared" si="46"/>
        <v>104.66666666666667</v>
      </c>
      <c r="E1652" s="4">
        <v>105</v>
      </c>
      <c r="F1652" s="90">
        <f t="shared" si="45"/>
        <v>-3.5714285714285712E-2</v>
      </c>
    </row>
    <row r="1653" spans="1:6">
      <c r="A1653" s="5">
        <v>1857</v>
      </c>
      <c r="B1653" s="5" t="s">
        <v>9</v>
      </c>
      <c r="C1653" s="4">
        <v>111</v>
      </c>
      <c r="D1653" s="101">
        <f t="shared" si="46"/>
        <v>104.91666666666667</v>
      </c>
      <c r="F1653" s="90">
        <f t="shared" si="45"/>
        <v>2.7777777777777776E-2</v>
      </c>
    </row>
    <row r="1654" spans="1:6">
      <c r="A1654" s="5">
        <v>1857</v>
      </c>
      <c r="B1654" s="5" t="s">
        <v>10</v>
      </c>
      <c r="C1654" s="4">
        <v>113</v>
      </c>
      <c r="D1654" s="101">
        <f t="shared" si="46"/>
        <v>105.41666666666667</v>
      </c>
      <c r="F1654" s="90">
        <f t="shared" si="45"/>
        <v>5.6074766355140186E-2</v>
      </c>
    </row>
    <row r="1655" spans="1:6">
      <c r="A1655" s="5">
        <v>1857</v>
      </c>
      <c r="B1655" s="5" t="s">
        <v>11</v>
      </c>
      <c r="C1655" s="4">
        <v>115</v>
      </c>
      <c r="D1655" s="101">
        <f t="shared" si="46"/>
        <v>106.16666666666667</v>
      </c>
      <c r="F1655" s="90">
        <f t="shared" si="45"/>
        <v>8.4905660377358486E-2</v>
      </c>
    </row>
    <row r="1656" spans="1:6">
      <c r="A1656" s="5">
        <v>1857</v>
      </c>
      <c r="B1656" s="5" t="s">
        <v>12</v>
      </c>
      <c r="C1656" s="4">
        <v>114</v>
      </c>
      <c r="D1656" s="101">
        <f t="shared" si="46"/>
        <v>106.91666666666667</v>
      </c>
      <c r="F1656" s="90">
        <f t="shared" si="45"/>
        <v>8.5714285714285715E-2</v>
      </c>
    </row>
    <row r="1657" spans="1:6">
      <c r="A1657" s="5">
        <v>1857</v>
      </c>
      <c r="B1657" s="5" t="s">
        <v>13</v>
      </c>
      <c r="C1657" s="4">
        <v>115</v>
      </c>
      <c r="D1657" s="101">
        <f t="shared" si="46"/>
        <v>108</v>
      </c>
      <c r="F1657" s="90">
        <f t="shared" si="45"/>
        <v>0.12745098039215685</v>
      </c>
    </row>
    <row r="1658" spans="1:6">
      <c r="A1658" s="5">
        <v>1857</v>
      </c>
      <c r="B1658" s="5" t="s">
        <v>14</v>
      </c>
      <c r="C1658" s="4">
        <v>114</v>
      </c>
      <c r="D1658" s="101">
        <f t="shared" si="46"/>
        <v>109.25</v>
      </c>
      <c r="F1658" s="90">
        <f t="shared" si="45"/>
        <v>0.15151515151515152</v>
      </c>
    </row>
    <row r="1659" spans="1:6">
      <c r="A1659" s="5">
        <v>1857</v>
      </c>
      <c r="B1659" s="5" t="s">
        <v>15</v>
      </c>
      <c r="C1659" s="4">
        <v>114</v>
      </c>
      <c r="D1659" s="101">
        <f t="shared" si="46"/>
        <v>110.25</v>
      </c>
      <c r="F1659" s="90">
        <f t="shared" si="45"/>
        <v>0.11764705882352941</v>
      </c>
    </row>
    <row r="1660" spans="1:6">
      <c r="A1660" s="5">
        <v>1857</v>
      </c>
      <c r="B1660" s="5" t="s">
        <v>16</v>
      </c>
      <c r="C1660" s="4">
        <v>115</v>
      </c>
      <c r="D1660" s="101">
        <f t="shared" si="46"/>
        <v>111.16666666666667</v>
      </c>
      <c r="F1660" s="90">
        <f t="shared" si="45"/>
        <v>0.10576923076923077</v>
      </c>
    </row>
    <row r="1661" spans="1:6">
      <c r="A1661" s="5">
        <v>1857</v>
      </c>
      <c r="B1661" s="5" t="s">
        <v>17</v>
      </c>
      <c r="C1661" s="4">
        <v>114</v>
      </c>
      <c r="D1661" s="101">
        <f t="shared" si="46"/>
        <v>112.08333333333333</v>
      </c>
      <c r="F1661" s="90">
        <f t="shared" si="45"/>
        <v>0.10679611650485436</v>
      </c>
    </row>
    <row r="1662" spans="1:6">
      <c r="A1662" s="5">
        <v>1857</v>
      </c>
      <c r="B1662" s="5" t="s">
        <v>18</v>
      </c>
      <c r="C1662" s="4">
        <v>106</v>
      </c>
      <c r="D1662" s="101">
        <f t="shared" si="46"/>
        <v>112.16666666666667</v>
      </c>
      <c r="F1662" s="90">
        <f t="shared" si="45"/>
        <v>9.5238095238095247E-3</v>
      </c>
    </row>
    <row r="1663" spans="1:6">
      <c r="A1663" s="5">
        <v>1857</v>
      </c>
      <c r="B1663" s="5" t="s">
        <v>19</v>
      </c>
      <c r="C1663" s="4">
        <v>101</v>
      </c>
      <c r="D1663" s="101">
        <f t="shared" si="46"/>
        <v>111.66666666666667</v>
      </c>
      <c r="F1663" s="90">
        <f t="shared" si="45"/>
        <v>-5.6074766355140186E-2</v>
      </c>
    </row>
    <row r="1664" spans="1:6">
      <c r="A1664" s="5">
        <v>1857</v>
      </c>
      <c r="B1664" s="5" t="s">
        <v>20</v>
      </c>
      <c r="C1664" s="4">
        <v>98</v>
      </c>
      <c r="D1664" s="101">
        <f t="shared" si="46"/>
        <v>110.83333333333333</v>
      </c>
      <c r="E1664" s="4">
        <v>111</v>
      </c>
      <c r="F1664" s="90">
        <f t="shared" si="45"/>
        <v>-9.2592592592592587E-2</v>
      </c>
    </row>
    <row r="1665" spans="1:6">
      <c r="A1665" s="5">
        <v>1858</v>
      </c>
      <c r="B1665" s="5" t="s">
        <v>9</v>
      </c>
      <c r="C1665" s="4">
        <v>93</v>
      </c>
      <c r="D1665" s="101">
        <f t="shared" si="46"/>
        <v>109.33333333333333</v>
      </c>
      <c r="F1665" s="90">
        <f t="shared" si="45"/>
        <v>-0.16216216216216217</v>
      </c>
    </row>
    <row r="1666" spans="1:6">
      <c r="A1666" s="5">
        <v>1858</v>
      </c>
      <c r="B1666" s="5" t="s">
        <v>10</v>
      </c>
      <c r="C1666" s="4">
        <v>93</v>
      </c>
      <c r="D1666" s="101">
        <f t="shared" si="46"/>
        <v>107.66666666666667</v>
      </c>
      <c r="F1666" s="90">
        <f t="shared" si="45"/>
        <v>-0.17699115044247787</v>
      </c>
    </row>
    <row r="1667" spans="1:6">
      <c r="A1667" s="5">
        <v>1858</v>
      </c>
      <c r="B1667" s="5" t="s">
        <v>11</v>
      </c>
      <c r="C1667" s="4">
        <v>95</v>
      </c>
      <c r="D1667" s="101">
        <f t="shared" si="46"/>
        <v>106</v>
      </c>
      <c r="F1667" s="90">
        <f t="shared" si="45"/>
        <v>-0.17391304347826086</v>
      </c>
    </row>
    <row r="1668" spans="1:6">
      <c r="A1668" s="5">
        <v>1858</v>
      </c>
      <c r="B1668" s="5" t="s">
        <v>12</v>
      </c>
      <c r="C1668" s="4">
        <v>95</v>
      </c>
      <c r="D1668" s="101">
        <f t="shared" si="46"/>
        <v>104.41666666666667</v>
      </c>
      <c r="F1668" s="90">
        <f t="shared" si="45"/>
        <v>-0.16666666666666666</v>
      </c>
    </row>
    <row r="1669" spans="1:6">
      <c r="A1669" s="5">
        <v>1858</v>
      </c>
      <c r="B1669" s="5" t="s">
        <v>13</v>
      </c>
      <c r="C1669" s="4">
        <v>94</v>
      </c>
      <c r="D1669" s="101">
        <f t="shared" si="46"/>
        <v>102.66666666666667</v>
      </c>
      <c r="F1669" s="90">
        <f t="shared" si="45"/>
        <v>-0.18260869565217391</v>
      </c>
    </row>
    <row r="1670" spans="1:6">
      <c r="A1670" s="5">
        <v>1858</v>
      </c>
      <c r="B1670" s="5" t="s">
        <v>14</v>
      </c>
      <c r="C1670" s="4">
        <v>92</v>
      </c>
      <c r="D1670" s="101">
        <f t="shared" si="46"/>
        <v>100.83333333333333</v>
      </c>
      <c r="F1670" s="90">
        <f t="shared" si="45"/>
        <v>-0.19298245614035087</v>
      </c>
    </row>
    <row r="1671" spans="1:6">
      <c r="A1671" s="5">
        <v>1858</v>
      </c>
      <c r="B1671" s="5" t="s">
        <v>15</v>
      </c>
      <c r="C1671" s="4">
        <v>92</v>
      </c>
      <c r="D1671" s="101">
        <f t="shared" si="46"/>
        <v>99</v>
      </c>
      <c r="F1671" s="90">
        <f t="shared" si="45"/>
        <v>-0.19298245614035087</v>
      </c>
    </row>
    <row r="1672" spans="1:6">
      <c r="A1672" s="5">
        <v>1858</v>
      </c>
      <c r="B1672" s="5" t="s">
        <v>16</v>
      </c>
      <c r="C1672" s="4">
        <v>94</v>
      </c>
      <c r="D1672" s="101">
        <f t="shared" si="46"/>
        <v>97.25</v>
      </c>
      <c r="F1672" s="90">
        <f t="shared" si="45"/>
        <v>-0.18260869565217391</v>
      </c>
    </row>
    <row r="1673" spans="1:6">
      <c r="A1673" s="5">
        <v>1858</v>
      </c>
      <c r="B1673" s="5" t="s">
        <v>17</v>
      </c>
      <c r="C1673" s="4">
        <v>94</v>
      </c>
      <c r="D1673" s="101">
        <f t="shared" si="46"/>
        <v>95.583333333333329</v>
      </c>
      <c r="F1673" s="90">
        <f t="shared" si="45"/>
        <v>-0.17543859649122806</v>
      </c>
    </row>
    <row r="1674" spans="1:6">
      <c r="A1674" s="5">
        <v>1858</v>
      </c>
      <c r="B1674" s="5" t="s">
        <v>18</v>
      </c>
      <c r="C1674" s="4">
        <v>94</v>
      </c>
      <c r="D1674" s="101">
        <f t="shared" si="46"/>
        <v>94.583333333333329</v>
      </c>
      <c r="F1674" s="90">
        <f t="shared" si="45"/>
        <v>-0.11320754716981132</v>
      </c>
    </row>
    <row r="1675" spans="1:6">
      <c r="A1675" s="5">
        <v>1858</v>
      </c>
      <c r="B1675" s="5" t="s">
        <v>19</v>
      </c>
      <c r="C1675" s="4">
        <v>92</v>
      </c>
      <c r="D1675" s="101">
        <f t="shared" si="46"/>
        <v>93.833333333333329</v>
      </c>
      <c r="F1675" s="90">
        <f t="shared" si="45"/>
        <v>-8.9108910891089105E-2</v>
      </c>
    </row>
    <row r="1676" spans="1:6">
      <c r="A1676" s="5">
        <v>1858</v>
      </c>
      <c r="B1676" s="5" t="s">
        <v>20</v>
      </c>
      <c r="C1676" s="4">
        <v>93</v>
      </c>
      <c r="D1676" s="101">
        <f t="shared" si="46"/>
        <v>93.416666666666671</v>
      </c>
      <c r="E1676" s="4">
        <v>93</v>
      </c>
      <c r="F1676" s="90">
        <f t="shared" si="45"/>
        <v>-5.1020408163265307E-2</v>
      </c>
    </row>
    <row r="1677" spans="1:6">
      <c r="A1677" s="5">
        <v>1859</v>
      </c>
      <c r="B1677" s="5" t="s">
        <v>9</v>
      </c>
      <c r="C1677" s="4">
        <v>95</v>
      </c>
      <c r="D1677" s="101">
        <f t="shared" si="46"/>
        <v>93.583333333333329</v>
      </c>
      <c r="F1677" s="90">
        <f t="shared" si="45"/>
        <v>2.1505376344086023E-2</v>
      </c>
    </row>
    <row r="1678" spans="1:6">
      <c r="A1678" s="5">
        <v>1859</v>
      </c>
      <c r="B1678" s="5" t="s">
        <v>10</v>
      </c>
      <c r="C1678" s="4">
        <v>99</v>
      </c>
      <c r="D1678" s="101">
        <f t="shared" si="46"/>
        <v>94.083333333333329</v>
      </c>
      <c r="F1678" s="90">
        <f t="shared" si="45"/>
        <v>6.4516129032258063E-2</v>
      </c>
    </row>
    <row r="1679" spans="1:6">
      <c r="A1679" s="5">
        <v>1859</v>
      </c>
      <c r="B1679" s="5" t="s">
        <v>11</v>
      </c>
      <c r="C1679" s="4">
        <v>99</v>
      </c>
      <c r="D1679" s="101">
        <f t="shared" si="46"/>
        <v>94.416666666666671</v>
      </c>
      <c r="F1679" s="90">
        <f t="shared" si="45"/>
        <v>4.2105263157894736E-2</v>
      </c>
    </row>
    <row r="1680" spans="1:6">
      <c r="A1680" s="5">
        <v>1859</v>
      </c>
      <c r="B1680" s="5" t="s">
        <v>12</v>
      </c>
      <c r="C1680" s="4">
        <v>98</v>
      </c>
      <c r="D1680" s="101">
        <f t="shared" si="46"/>
        <v>94.666666666666671</v>
      </c>
      <c r="F1680" s="90">
        <f t="shared" si="45"/>
        <v>3.1578947368421054E-2</v>
      </c>
    </row>
    <row r="1681" spans="1:6">
      <c r="A1681" s="5">
        <v>1859</v>
      </c>
      <c r="B1681" s="5" t="s">
        <v>13</v>
      </c>
      <c r="C1681" s="4">
        <v>97</v>
      </c>
      <c r="D1681" s="101">
        <f t="shared" si="46"/>
        <v>94.916666666666671</v>
      </c>
      <c r="F1681" s="90">
        <f t="shared" si="45"/>
        <v>3.1914893617021274E-2</v>
      </c>
    </row>
    <row r="1682" spans="1:6">
      <c r="A1682" s="5">
        <v>1859</v>
      </c>
      <c r="B1682" s="5" t="s">
        <v>14</v>
      </c>
      <c r="C1682" s="4">
        <v>97</v>
      </c>
      <c r="D1682" s="101">
        <f t="shared" si="46"/>
        <v>95.333333333333329</v>
      </c>
      <c r="F1682" s="90">
        <f t="shared" si="45"/>
        <v>5.434782608695652E-2</v>
      </c>
    </row>
    <row r="1683" spans="1:6">
      <c r="A1683" s="5">
        <v>1859</v>
      </c>
      <c r="B1683" s="5" t="s">
        <v>15</v>
      </c>
      <c r="C1683" s="4">
        <v>95</v>
      </c>
      <c r="D1683" s="101">
        <f t="shared" si="46"/>
        <v>95.583333333333329</v>
      </c>
      <c r="F1683" s="90">
        <f t="shared" si="45"/>
        <v>3.2608695652173912E-2</v>
      </c>
    </row>
    <row r="1684" spans="1:6">
      <c r="A1684" s="5">
        <v>1859</v>
      </c>
      <c r="B1684" s="5" t="s">
        <v>16</v>
      </c>
      <c r="C1684" s="4">
        <v>92</v>
      </c>
      <c r="D1684" s="101">
        <f t="shared" si="46"/>
        <v>95.416666666666671</v>
      </c>
      <c r="F1684" s="90">
        <f t="shared" si="45"/>
        <v>-2.1276595744680851E-2</v>
      </c>
    </row>
    <row r="1685" spans="1:6">
      <c r="A1685" s="5">
        <v>1859</v>
      </c>
      <c r="B1685" s="5" t="s">
        <v>17</v>
      </c>
      <c r="C1685" s="4">
        <v>91</v>
      </c>
      <c r="D1685" s="101">
        <f t="shared" si="46"/>
        <v>95.166666666666671</v>
      </c>
      <c r="F1685" s="90">
        <f t="shared" ref="F1685:F1748" si="47">(C1685-C1673)/C1673</f>
        <v>-3.1914893617021274E-2</v>
      </c>
    </row>
    <row r="1686" spans="1:6">
      <c r="A1686" s="5">
        <v>1859</v>
      </c>
      <c r="B1686" s="5" t="s">
        <v>18</v>
      </c>
      <c r="C1686" s="4">
        <v>90</v>
      </c>
      <c r="D1686" s="101">
        <f t="shared" si="46"/>
        <v>94.833333333333329</v>
      </c>
      <c r="F1686" s="90">
        <f t="shared" si="47"/>
        <v>-4.2553191489361701E-2</v>
      </c>
    </row>
    <row r="1687" spans="1:6">
      <c r="A1687" s="5">
        <v>1859</v>
      </c>
      <c r="B1687" s="5" t="s">
        <v>19</v>
      </c>
      <c r="C1687" s="4">
        <v>92</v>
      </c>
      <c r="D1687" s="101">
        <f t="shared" si="46"/>
        <v>94.833333333333329</v>
      </c>
      <c r="F1687" s="90">
        <f t="shared" si="47"/>
        <v>0</v>
      </c>
    </row>
    <row r="1688" spans="1:6">
      <c r="A1688" s="5">
        <v>1859</v>
      </c>
      <c r="B1688" s="5" t="s">
        <v>20</v>
      </c>
      <c r="C1688" s="4">
        <v>93</v>
      </c>
      <c r="D1688" s="101">
        <f t="shared" si="46"/>
        <v>94.833333333333329</v>
      </c>
      <c r="E1688" s="4">
        <v>95</v>
      </c>
      <c r="F1688" s="90">
        <f t="shared" si="47"/>
        <v>0</v>
      </c>
    </row>
    <row r="1689" spans="1:6">
      <c r="A1689" s="5">
        <v>1860</v>
      </c>
      <c r="B1689" s="5" t="s">
        <v>9</v>
      </c>
      <c r="C1689" s="4">
        <v>94</v>
      </c>
      <c r="D1689" s="101">
        <f t="shared" si="46"/>
        <v>94.75</v>
      </c>
      <c r="F1689" s="90">
        <f t="shared" si="47"/>
        <v>-1.0526315789473684E-2</v>
      </c>
    </row>
    <row r="1690" spans="1:6">
      <c r="A1690" s="5">
        <v>1860</v>
      </c>
      <c r="B1690" s="5" t="s">
        <v>10</v>
      </c>
      <c r="C1690" s="4">
        <v>94</v>
      </c>
      <c r="D1690" s="101">
        <f t="shared" si="46"/>
        <v>94.333333333333329</v>
      </c>
      <c r="F1690" s="90">
        <f t="shared" si="47"/>
        <v>-5.0505050505050504E-2</v>
      </c>
    </row>
    <row r="1691" spans="1:6">
      <c r="A1691" s="5">
        <v>1860</v>
      </c>
      <c r="B1691" s="5" t="s">
        <v>11</v>
      </c>
      <c r="C1691" s="4">
        <v>94</v>
      </c>
      <c r="D1691" s="101">
        <f t="shared" si="46"/>
        <v>93.916666666666671</v>
      </c>
      <c r="F1691" s="90">
        <f t="shared" si="47"/>
        <v>-5.0505050505050504E-2</v>
      </c>
    </row>
    <row r="1692" spans="1:6">
      <c r="A1692" s="5">
        <v>1860</v>
      </c>
      <c r="B1692" s="5" t="s">
        <v>12</v>
      </c>
      <c r="C1692" s="4">
        <v>93</v>
      </c>
      <c r="D1692" s="101">
        <f t="shared" si="46"/>
        <v>93.5</v>
      </c>
      <c r="F1692" s="90">
        <f t="shared" si="47"/>
        <v>-5.1020408163265307E-2</v>
      </c>
    </row>
    <row r="1693" spans="1:6">
      <c r="A1693" s="5">
        <v>1860</v>
      </c>
      <c r="B1693" s="5" t="s">
        <v>13</v>
      </c>
      <c r="C1693" s="4">
        <v>93</v>
      </c>
      <c r="D1693" s="101">
        <f t="shared" si="46"/>
        <v>93.166666666666671</v>
      </c>
      <c r="F1693" s="90">
        <f t="shared" si="47"/>
        <v>-4.1237113402061855E-2</v>
      </c>
    </row>
    <row r="1694" spans="1:6">
      <c r="A1694" s="5">
        <v>1860</v>
      </c>
      <c r="B1694" s="5" t="s">
        <v>14</v>
      </c>
      <c r="C1694" s="4">
        <v>91</v>
      </c>
      <c r="D1694" s="101">
        <f t="shared" si="46"/>
        <v>92.666666666666671</v>
      </c>
      <c r="F1694" s="90">
        <f t="shared" si="47"/>
        <v>-6.1855670103092786E-2</v>
      </c>
    </row>
    <row r="1695" spans="1:6">
      <c r="A1695" s="5">
        <v>1860</v>
      </c>
      <c r="B1695" s="5" t="s">
        <v>15</v>
      </c>
      <c r="C1695" s="4">
        <v>92</v>
      </c>
      <c r="D1695" s="101">
        <f t="shared" si="46"/>
        <v>92.416666666666671</v>
      </c>
      <c r="F1695" s="90">
        <f t="shared" si="47"/>
        <v>-3.1578947368421054E-2</v>
      </c>
    </row>
    <row r="1696" spans="1:6">
      <c r="A1696" s="5">
        <v>1860</v>
      </c>
      <c r="B1696" s="5" t="s">
        <v>16</v>
      </c>
      <c r="C1696" s="4">
        <v>92</v>
      </c>
      <c r="D1696" s="101">
        <f t="shared" si="46"/>
        <v>92.416666666666671</v>
      </c>
      <c r="F1696" s="90">
        <f t="shared" si="47"/>
        <v>0</v>
      </c>
    </row>
    <row r="1697" spans="1:6">
      <c r="A1697" s="5">
        <v>1860</v>
      </c>
      <c r="B1697" s="5" t="s">
        <v>17</v>
      </c>
      <c r="C1697" s="4">
        <v>92</v>
      </c>
      <c r="D1697" s="101">
        <f t="shared" si="46"/>
        <v>92.5</v>
      </c>
      <c r="F1697" s="90">
        <f t="shared" si="47"/>
        <v>1.098901098901099E-2</v>
      </c>
    </row>
    <row r="1698" spans="1:6">
      <c r="A1698" s="5">
        <v>1860</v>
      </c>
      <c r="B1698" s="5" t="s">
        <v>18</v>
      </c>
      <c r="C1698" s="4">
        <v>93</v>
      </c>
      <c r="D1698" s="101">
        <f t="shared" si="46"/>
        <v>92.75</v>
      </c>
      <c r="F1698" s="90">
        <f t="shared" si="47"/>
        <v>3.3333333333333333E-2</v>
      </c>
    </row>
    <row r="1699" spans="1:6">
      <c r="A1699" s="5">
        <v>1860</v>
      </c>
      <c r="B1699" s="5" t="s">
        <v>19</v>
      </c>
      <c r="C1699" s="4">
        <v>93</v>
      </c>
      <c r="D1699" s="101">
        <f t="shared" si="46"/>
        <v>92.833333333333329</v>
      </c>
      <c r="F1699" s="90">
        <f t="shared" si="47"/>
        <v>1.0869565217391304E-2</v>
      </c>
    </row>
    <row r="1700" spans="1:6">
      <c r="A1700" s="5">
        <v>1860</v>
      </c>
      <c r="B1700" s="5" t="s">
        <v>20</v>
      </c>
      <c r="C1700" s="4">
        <v>91</v>
      </c>
      <c r="D1700" s="101">
        <f t="shared" si="46"/>
        <v>92.666666666666671</v>
      </c>
      <c r="E1700" s="4">
        <v>93</v>
      </c>
      <c r="F1700" s="90">
        <f t="shared" si="47"/>
        <v>-2.1505376344086023E-2</v>
      </c>
    </row>
    <row r="1701" spans="1:6">
      <c r="A1701" s="5">
        <v>1861</v>
      </c>
      <c r="B1701" s="5" t="s">
        <v>9</v>
      </c>
      <c r="C1701" s="4">
        <v>92</v>
      </c>
      <c r="D1701" s="101">
        <f t="shared" si="46"/>
        <v>92.5</v>
      </c>
      <c r="F1701" s="90">
        <f t="shared" si="47"/>
        <v>-2.1276595744680851E-2</v>
      </c>
    </row>
    <row r="1702" spans="1:6">
      <c r="A1702" s="5">
        <v>1861</v>
      </c>
      <c r="B1702" s="5" t="s">
        <v>10</v>
      </c>
      <c r="C1702" s="4">
        <v>90</v>
      </c>
      <c r="D1702" s="101">
        <f t="shared" si="46"/>
        <v>92.166666666666671</v>
      </c>
      <c r="F1702" s="90">
        <f t="shared" si="47"/>
        <v>-4.2553191489361701E-2</v>
      </c>
    </row>
    <row r="1703" spans="1:6">
      <c r="A1703" s="5">
        <v>1861</v>
      </c>
      <c r="B1703" s="5" t="s">
        <v>11</v>
      </c>
      <c r="C1703" s="4">
        <v>90</v>
      </c>
      <c r="D1703" s="101">
        <f t="shared" si="46"/>
        <v>91.833333333333329</v>
      </c>
      <c r="F1703" s="90">
        <f t="shared" si="47"/>
        <v>-4.2553191489361701E-2</v>
      </c>
    </row>
    <row r="1704" spans="1:6">
      <c r="A1704" s="5">
        <v>1861</v>
      </c>
      <c r="B1704" s="5" t="s">
        <v>12</v>
      </c>
      <c r="C1704" s="4">
        <v>89</v>
      </c>
      <c r="D1704" s="101">
        <f t="shared" si="46"/>
        <v>91.5</v>
      </c>
      <c r="F1704" s="90">
        <f t="shared" si="47"/>
        <v>-4.3010752688172046E-2</v>
      </c>
    </row>
    <row r="1705" spans="1:6">
      <c r="A1705" s="5">
        <v>1861</v>
      </c>
      <c r="B1705" s="5" t="s">
        <v>13</v>
      </c>
      <c r="C1705" s="4">
        <v>88</v>
      </c>
      <c r="D1705" s="101">
        <f t="shared" si="46"/>
        <v>91.083333333333329</v>
      </c>
      <c r="F1705" s="90">
        <f t="shared" si="47"/>
        <v>-5.3763440860215055E-2</v>
      </c>
    </row>
    <row r="1706" spans="1:6">
      <c r="A1706" s="5">
        <v>1861</v>
      </c>
      <c r="B1706" s="5" t="s">
        <v>14</v>
      </c>
      <c r="C1706" s="4">
        <v>85</v>
      </c>
      <c r="D1706" s="101">
        <f t="shared" si="46"/>
        <v>90.583333333333329</v>
      </c>
      <c r="F1706" s="90">
        <f t="shared" si="47"/>
        <v>-6.5934065934065936E-2</v>
      </c>
    </row>
    <row r="1707" spans="1:6">
      <c r="A1707" s="5">
        <v>1861</v>
      </c>
      <c r="B1707" s="5" t="s">
        <v>15</v>
      </c>
      <c r="C1707" s="4">
        <v>83</v>
      </c>
      <c r="D1707" s="101">
        <f t="shared" si="46"/>
        <v>89.833333333333329</v>
      </c>
      <c r="F1707" s="90">
        <f t="shared" si="47"/>
        <v>-9.7826086956521743E-2</v>
      </c>
    </row>
    <row r="1708" spans="1:6">
      <c r="A1708" s="5">
        <v>1861</v>
      </c>
      <c r="B1708" s="5" t="s">
        <v>16</v>
      </c>
      <c r="C1708" s="4">
        <v>85</v>
      </c>
      <c r="D1708" s="101">
        <f t="shared" si="46"/>
        <v>89.25</v>
      </c>
      <c r="F1708" s="90">
        <f t="shared" si="47"/>
        <v>-7.6086956521739135E-2</v>
      </c>
    </row>
    <row r="1709" spans="1:6">
      <c r="A1709" s="5">
        <v>1861</v>
      </c>
      <c r="B1709" s="5" t="s">
        <v>17</v>
      </c>
      <c r="C1709" s="4">
        <v>86</v>
      </c>
      <c r="D1709" s="101">
        <f t="shared" si="46"/>
        <v>88.75</v>
      </c>
      <c r="F1709" s="90">
        <f t="shared" si="47"/>
        <v>-6.5217391304347824E-2</v>
      </c>
    </row>
    <row r="1710" spans="1:6">
      <c r="A1710" s="5">
        <v>1861</v>
      </c>
      <c r="B1710" s="5" t="s">
        <v>18</v>
      </c>
      <c r="C1710" s="4">
        <v>89</v>
      </c>
      <c r="D1710" s="101">
        <f t="shared" si="46"/>
        <v>88.416666666666671</v>
      </c>
      <c r="F1710" s="90">
        <f t="shared" si="47"/>
        <v>-4.3010752688172046E-2</v>
      </c>
    </row>
    <row r="1711" spans="1:6">
      <c r="A1711" s="5">
        <v>1861</v>
      </c>
      <c r="B1711" s="5" t="s">
        <v>19</v>
      </c>
      <c r="C1711" s="4">
        <v>92</v>
      </c>
      <c r="D1711" s="101">
        <f t="shared" si="46"/>
        <v>88.333333333333329</v>
      </c>
      <c r="F1711" s="90">
        <f t="shared" si="47"/>
        <v>-1.0752688172043012E-2</v>
      </c>
    </row>
    <row r="1712" spans="1:6">
      <c r="A1712" s="5">
        <v>1861</v>
      </c>
      <c r="B1712" s="5" t="s">
        <v>20</v>
      </c>
      <c r="C1712" s="4">
        <v>94</v>
      </c>
      <c r="D1712" s="101">
        <f t="shared" si="46"/>
        <v>88.583333333333329</v>
      </c>
      <c r="E1712" s="4">
        <v>89</v>
      </c>
      <c r="F1712" s="90">
        <f t="shared" si="47"/>
        <v>3.2967032967032968E-2</v>
      </c>
    </row>
    <row r="1713" spans="1:6">
      <c r="A1713" s="5">
        <v>1862</v>
      </c>
      <c r="B1713" s="5" t="s">
        <v>9</v>
      </c>
      <c r="C1713" s="4">
        <v>98</v>
      </c>
      <c r="D1713" s="101">
        <f t="shared" ref="D1713:D1776" si="48">AVERAGE(C1702:C1713)</f>
        <v>89.083333333333329</v>
      </c>
      <c r="F1713" s="90">
        <f t="shared" si="47"/>
        <v>6.5217391304347824E-2</v>
      </c>
    </row>
    <row r="1714" spans="1:6">
      <c r="A1714" s="5">
        <v>1862</v>
      </c>
      <c r="B1714" s="5" t="s">
        <v>10</v>
      </c>
      <c r="C1714" s="4">
        <v>99</v>
      </c>
      <c r="D1714" s="101">
        <f t="shared" si="48"/>
        <v>89.833333333333329</v>
      </c>
      <c r="F1714" s="90">
        <f t="shared" si="47"/>
        <v>0.1</v>
      </c>
    </row>
    <row r="1715" spans="1:6">
      <c r="A1715" s="5">
        <v>1862</v>
      </c>
      <c r="B1715" s="5" t="s">
        <v>11</v>
      </c>
      <c r="C1715" s="4">
        <v>98</v>
      </c>
      <c r="D1715" s="101">
        <f t="shared" si="48"/>
        <v>90.5</v>
      </c>
      <c r="F1715" s="90">
        <f t="shared" si="47"/>
        <v>8.8888888888888892E-2</v>
      </c>
    </row>
    <row r="1716" spans="1:6">
      <c r="A1716" s="5">
        <v>1862</v>
      </c>
      <c r="B1716" s="5" t="s">
        <v>12</v>
      </c>
      <c r="C1716" s="4">
        <v>98</v>
      </c>
      <c r="D1716" s="101">
        <f t="shared" si="48"/>
        <v>91.25</v>
      </c>
      <c r="F1716" s="90">
        <f t="shared" si="47"/>
        <v>0.10112359550561797</v>
      </c>
    </row>
    <row r="1717" spans="1:6">
      <c r="A1717" s="5">
        <v>1862</v>
      </c>
      <c r="B1717" s="5" t="s">
        <v>13</v>
      </c>
      <c r="C1717" s="4">
        <v>95</v>
      </c>
      <c r="D1717" s="101">
        <f t="shared" si="48"/>
        <v>91.833333333333329</v>
      </c>
      <c r="F1717" s="90">
        <f t="shared" si="47"/>
        <v>7.9545454545454544E-2</v>
      </c>
    </row>
    <row r="1718" spans="1:6">
      <c r="A1718" s="5">
        <v>1862</v>
      </c>
      <c r="B1718" s="5" t="s">
        <v>14</v>
      </c>
      <c r="C1718" s="4">
        <v>94</v>
      </c>
      <c r="D1718" s="101">
        <f t="shared" si="48"/>
        <v>92.583333333333329</v>
      </c>
      <c r="F1718" s="90">
        <f t="shared" si="47"/>
        <v>0.10588235294117647</v>
      </c>
    </row>
    <row r="1719" spans="1:6">
      <c r="A1719" s="5">
        <v>1862</v>
      </c>
      <c r="B1719" s="5" t="s">
        <v>15</v>
      </c>
      <c r="C1719" s="4">
        <v>98</v>
      </c>
      <c r="D1719" s="101">
        <f t="shared" si="48"/>
        <v>93.833333333333329</v>
      </c>
      <c r="F1719" s="90">
        <f t="shared" si="47"/>
        <v>0.18072289156626506</v>
      </c>
    </row>
    <row r="1720" spans="1:6">
      <c r="A1720" s="5">
        <v>1862</v>
      </c>
      <c r="B1720" s="5" t="s">
        <v>16</v>
      </c>
      <c r="C1720" s="4">
        <v>105</v>
      </c>
      <c r="D1720" s="101">
        <f t="shared" si="48"/>
        <v>95.5</v>
      </c>
      <c r="F1720" s="90">
        <f t="shared" si="47"/>
        <v>0.23529411764705882</v>
      </c>
    </row>
    <row r="1721" spans="1:6">
      <c r="A1721" s="5">
        <v>1862</v>
      </c>
      <c r="B1721" s="5" t="s">
        <v>17</v>
      </c>
      <c r="C1721" s="4">
        <v>107</v>
      </c>
      <c r="D1721" s="101">
        <f t="shared" si="48"/>
        <v>97.25</v>
      </c>
      <c r="F1721" s="90">
        <f t="shared" si="47"/>
        <v>0.2441860465116279</v>
      </c>
    </row>
    <row r="1722" spans="1:6">
      <c r="A1722" s="5">
        <v>1862</v>
      </c>
      <c r="B1722" s="5" t="s">
        <v>18</v>
      </c>
      <c r="C1722" s="4">
        <v>111</v>
      </c>
      <c r="D1722" s="101">
        <f t="shared" si="48"/>
        <v>99.083333333333329</v>
      </c>
      <c r="F1722" s="90">
        <f t="shared" si="47"/>
        <v>0.24719101123595505</v>
      </c>
    </row>
    <row r="1723" spans="1:6">
      <c r="A1723" s="5">
        <v>1862</v>
      </c>
      <c r="B1723" s="5" t="s">
        <v>19</v>
      </c>
      <c r="C1723" s="4">
        <v>120</v>
      </c>
      <c r="D1723" s="101">
        <f t="shared" si="48"/>
        <v>101.41666666666667</v>
      </c>
      <c r="F1723" s="90">
        <f t="shared" si="47"/>
        <v>0.30434782608695654</v>
      </c>
    </row>
    <row r="1724" spans="1:6">
      <c r="A1724" s="5">
        <v>1862</v>
      </c>
      <c r="B1724" s="5" t="s">
        <v>20</v>
      </c>
      <c r="C1724" s="4">
        <v>123</v>
      </c>
      <c r="D1724" s="101">
        <f t="shared" si="48"/>
        <v>103.83333333333333</v>
      </c>
      <c r="E1724" s="4">
        <v>104</v>
      </c>
      <c r="F1724" s="90">
        <f t="shared" si="47"/>
        <v>0.30851063829787234</v>
      </c>
    </row>
    <row r="1725" spans="1:6">
      <c r="A1725" s="5">
        <v>1863</v>
      </c>
      <c r="B1725" s="5" t="s">
        <v>9</v>
      </c>
      <c r="C1725" s="4">
        <v>126</v>
      </c>
      <c r="D1725" s="101">
        <f t="shared" si="48"/>
        <v>106.16666666666667</v>
      </c>
      <c r="F1725" s="90">
        <f t="shared" si="47"/>
        <v>0.2857142857142857</v>
      </c>
    </row>
    <row r="1726" spans="1:6">
      <c r="A1726" s="5">
        <v>1863</v>
      </c>
      <c r="B1726" s="5" t="s">
        <v>10</v>
      </c>
      <c r="C1726" s="4">
        <v>137</v>
      </c>
      <c r="D1726" s="101">
        <f t="shared" si="48"/>
        <v>109.33333333333333</v>
      </c>
      <c r="F1726" s="90">
        <f t="shared" si="47"/>
        <v>0.38383838383838381</v>
      </c>
    </row>
    <row r="1727" spans="1:6">
      <c r="A1727" s="5">
        <v>1863</v>
      </c>
      <c r="B1727" s="5" t="s">
        <v>11</v>
      </c>
      <c r="C1727" s="4">
        <v>141</v>
      </c>
      <c r="D1727" s="101">
        <f t="shared" si="48"/>
        <v>112.91666666666667</v>
      </c>
      <c r="F1727" s="90">
        <f t="shared" si="47"/>
        <v>0.43877551020408162</v>
      </c>
    </row>
    <row r="1728" spans="1:6">
      <c r="A1728" s="5">
        <v>1863</v>
      </c>
      <c r="B1728" s="5" t="s">
        <v>12</v>
      </c>
      <c r="C1728" s="4">
        <v>137</v>
      </c>
      <c r="D1728" s="101">
        <f t="shared" si="48"/>
        <v>116.16666666666667</v>
      </c>
      <c r="F1728" s="90">
        <f t="shared" si="47"/>
        <v>0.39795918367346939</v>
      </c>
    </row>
    <row r="1729" spans="1:6">
      <c r="A1729" s="5">
        <v>1863</v>
      </c>
      <c r="B1729" s="5" t="s">
        <v>13</v>
      </c>
      <c r="C1729" s="4">
        <v>130</v>
      </c>
      <c r="D1729" s="101">
        <f t="shared" si="48"/>
        <v>119.08333333333333</v>
      </c>
      <c r="F1729" s="90">
        <f t="shared" si="47"/>
        <v>0.36842105263157893</v>
      </c>
    </row>
    <row r="1730" spans="1:6">
      <c r="A1730" s="5">
        <v>1863</v>
      </c>
      <c r="B1730" s="5" t="s">
        <v>14</v>
      </c>
      <c r="C1730" s="4">
        <v>126</v>
      </c>
      <c r="D1730" s="101">
        <f t="shared" si="48"/>
        <v>121.75</v>
      </c>
      <c r="F1730" s="90">
        <f t="shared" si="47"/>
        <v>0.34042553191489361</v>
      </c>
    </row>
    <row r="1731" spans="1:6">
      <c r="A1731" s="5">
        <v>1863</v>
      </c>
      <c r="B1731" s="5" t="s">
        <v>15</v>
      </c>
      <c r="C1731" s="4">
        <v>127</v>
      </c>
      <c r="D1731" s="101">
        <f t="shared" si="48"/>
        <v>124.16666666666667</v>
      </c>
      <c r="F1731" s="90">
        <f t="shared" si="47"/>
        <v>0.29591836734693877</v>
      </c>
    </row>
    <row r="1732" spans="1:6">
      <c r="A1732" s="5">
        <v>1863</v>
      </c>
      <c r="B1732" s="5" t="s">
        <v>16</v>
      </c>
      <c r="C1732" s="4">
        <v>127</v>
      </c>
      <c r="D1732" s="101">
        <f t="shared" si="48"/>
        <v>126</v>
      </c>
      <c r="F1732" s="90">
        <f t="shared" si="47"/>
        <v>0.20952380952380953</v>
      </c>
    </row>
    <row r="1733" spans="1:6">
      <c r="A1733" s="5">
        <v>1863</v>
      </c>
      <c r="B1733" s="5" t="s">
        <v>17</v>
      </c>
      <c r="C1733" s="4">
        <v>123</v>
      </c>
      <c r="D1733" s="101">
        <f t="shared" si="48"/>
        <v>127.33333333333333</v>
      </c>
      <c r="F1733" s="90">
        <f t="shared" si="47"/>
        <v>0.14953271028037382</v>
      </c>
    </row>
    <row r="1734" spans="1:6">
      <c r="A1734" s="5">
        <v>1863</v>
      </c>
      <c r="B1734" s="5" t="s">
        <v>18</v>
      </c>
      <c r="C1734" s="4">
        <v>134</v>
      </c>
      <c r="D1734" s="101">
        <f t="shared" si="48"/>
        <v>129.25</v>
      </c>
      <c r="F1734" s="90">
        <f t="shared" si="47"/>
        <v>0.2072072072072072</v>
      </c>
    </row>
    <row r="1735" spans="1:6">
      <c r="A1735" s="5">
        <v>1863</v>
      </c>
      <c r="B1735" s="5" t="s">
        <v>19</v>
      </c>
      <c r="C1735" s="4">
        <v>142</v>
      </c>
      <c r="D1735" s="101">
        <f t="shared" si="48"/>
        <v>131.08333333333334</v>
      </c>
      <c r="F1735" s="90">
        <f t="shared" si="47"/>
        <v>0.18333333333333332</v>
      </c>
    </row>
    <row r="1736" spans="1:6">
      <c r="A1736" s="5">
        <v>1863</v>
      </c>
      <c r="B1736" s="5" t="s">
        <v>20</v>
      </c>
      <c r="C1736" s="4">
        <v>148</v>
      </c>
      <c r="D1736" s="101">
        <f t="shared" si="48"/>
        <v>133.16666666666666</v>
      </c>
      <c r="E1736" s="4">
        <v>133</v>
      </c>
      <c r="F1736" s="90">
        <f t="shared" si="47"/>
        <v>0.2032520325203252</v>
      </c>
    </row>
    <row r="1737" spans="1:6">
      <c r="A1737" s="5">
        <v>1864</v>
      </c>
      <c r="B1737" s="5" t="s">
        <v>9</v>
      </c>
      <c r="C1737" s="4">
        <v>153</v>
      </c>
      <c r="D1737" s="101">
        <f t="shared" si="48"/>
        <v>135.41666666666666</v>
      </c>
      <c r="F1737" s="90">
        <f t="shared" si="47"/>
        <v>0.21428571428571427</v>
      </c>
    </row>
    <row r="1738" spans="1:6">
      <c r="A1738" s="5">
        <v>1864</v>
      </c>
      <c r="B1738" s="5" t="s">
        <v>10</v>
      </c>
      <c r="C1738" s="4">
        <v>156</v>
      </c>
      <c r="D1738" s="101">
        <f t="shared" si="48"/>
        <v>137</v>
      </c>
      <c r="F1738" s="90">
        <f t="shared" si="47"/>
        <v>0.13868613138686131</v>
      </c>
    </row>
    <row r="1739" spans="1:6">
      <c r="A1739" s="5">
        <v>1864</v>
      </c>
      <c r="B1739" s="5" t="s">
        <v>11</v>
      </c>
      <c r="C1739" s="4">
        <v>161</v>
      </c>
      <c r="D1739" s="101">
        <f t="shared" si="48"/>
        <v>138.66666666666666</v>
      </c>
      <c r="F1739" s="90">
        <f t="shared" si="47"/>
        <v>0.14184397163120568</v>
      </c>
    </row>
    <row r="1740" spans="1:6">
      <c r="A1740" s="5">
        <v>1864</v>
      </c>
      <c r="B1740" s="5" t="s">
        <v>12</v>
      </c>
      <c r="C1740" s="4">
        <v>168</v>
      </c>
      <c r="D1740" s="101">
        <f t="shared" si="48"/>
        <v>141.25</v>
      </c>
      <c r="F1740" s="90">
        <f t="shared" si="47"/>
        <v>0.22627737226277372</v>
      </c>
    </row>
    <row r="1741" spans="1:6">
      <c r="A1741" s="5">
        <v>1864</v>
      </c>
      <c r="B1741" s="5" t="s">
        <v>13</v>
      </c>
      <c r="C1741" s="4">
        <v>174</v>
      </c>
      <c r="D1741" s="101">
        <f t="shared" si="48"/>
        <v>144.91666666666666</v>
      </c>
      <c r="F1741" s="90">
        <f t="shared" si="47"/>
        <v>0.33846153846153848</v>
      </c>
    </row>
    <row r="1742" spans="1:6">
      <c r="A1742" s="5">
        <v>1864</v>
      </c>
      <c r="B1742" s="5" t="s">
        <v>14</v>
      </c>
      <c r="C1742" s="4">
        <v>189</v>
      </c>
      <c r="D1742" s="101">
        <f t="shared" si="48"/>
        <v>150.16666666666666</v>
      </c>
      <c r="F1742" s="90">
        <f t="shared" si="47"/>
        <v>0.5</v>
      </c>
    </row>
    <row r="1743" spans="1:6">
      <c r="A1743" s="5">
        <v>1864</v>
      </c>
      <c r="B1743" s="5" t="s">
        <v>15</v>
      </c>
      <c r="C1743" s="4">
        <v>219</v>
      </c>
      <c r="D1743" s="101">
        <f t="shared" si="48"/>
        <v>157.83333333333334</v>
      </c>
      <c r="F1743" s="90">
        <f t="shared" si="47"/>
        <v>0.72440944881889768</v>
      </c>
    </row>
    <row r="1744" spans="1:6">
      <c r="A1744" s="5">
        <v>1864</v>
      </c>
      <c r="B1744" s="5" t="s">
        <v>16</v>
      </c>
      <c r="C1744" s="4">
        <v>225</v>
      </c>
      <c r="D1744" s="101">
        <f t="shared" si="48"/>
        <v>166</v>
      </c>
      <c r="F1744" s="90">
        <f t="shared" si="47"/>
        <v>0.77165354330708658</v>
      </c>
    </row>
    <row r="1745" spans="1:6">
      <c r="A1745" s="5">
        <v>1864</v>
      </c>
      <c r="B1745" s="5" t="s">
        <v>17</v>
      </c>
      <c r="C1745" s="4">
        <v>225</v>
      </c>
      <c r="D1745" s="101">
        <f t="shared" si="48"/>
        <v>174.5</v>
      </c>
      <c r="F1745" s="90">
        <f t="shared" si="47"/>
        <v>0.82926829268292679</v>
      </c>
    </row>
    <row r="1746" spans="1:6">
      <c r="A1746" s="5">
        <v>1864</v>
      </c>
      <c r="B1746" s="5" t="s">
        <v>18</v>
      </c>
      <c r="C1746" s="4">
        <v>207</v>
      </c>
      <c r="D1746" s="101">
        <f t="shared" si="48"/>
        <v>180.58333333333334</v>
      </c>
      <c r="F1746" s="90">
        <f t="shared" si="47"/>
        <v>0.54477611940298509</v>
      </c>
    </row>
    <row r="1747" spans="1:6">
      <c r="A1747" s="5">
        <v>1864</v>
      </c>
      <c r="B1747" s="5" t="s">
        <v>19</v>
      </c>
      <c r="C1747" s="4">
        <v>216</v>
      </c>
      <c r="D1747" s="101">
        <f t="shared" si="48"/>
        <v>186.75</v>
      </c>
      <c r="F1747" s="90">
        <f t="shared" si="47"/>
        <v>0.52112676056338025</v>
      </c>
    </row>
    <row r="1748" spans="1:6">
      <c r="A1748" s="5">
        <v>1864</v>
      </c>
      <c r="B1748" s="5" t="s">
        <v>20</v>
      </c>
      <c r="C1748" s="4">
        <v>222</v>
      </c>
      <c r="D1748" s="101">
        <f t="shared" si="48"/>
        <v>192.91666666666666</v>
      </c>
      <c r="E1748" s="4">
        <v>193</v>
      </c>
      <c r="F1748" s="90">
        <f t="shared" si="47"/>
        <v>0.5</v>
      </c>
    </row>
    <row r="1749" spans="1:6">
      <c r="A1749" s="5">
        <v>1865</v>
      </c>
      <c r="B1749" s="5" t="s">
        <v>9</v>
      </c>
      <c r="C1749" s="4">
        <v>223</v>
      </c>
      <c r="D1749" s="101">
        <f t="shared" si="48"/>
        <v>198.75</v>
      </c>
      <c r="F1749" s="90">
        <f t="shared" ref="F1749:F1812" si="49">(C1749-C1737)/C1737</f>
        <v>0.45751633986928103</v>
      </c>
    </row>
    <row r="1750" spans="1:6">
      <c r="A1750" s="5">
        <v>1865</v>
      </c>
      <c r="B1750" s="5" t="s">
        <v>10</v>
      </c>
      <c r="C1750" s="4">
        <v>217</v>
      </c>
      <c r="D1750" s="101">
        <f t="shared" si="48"/>
        <v>203.83333333333334</v>
      </c>
      <c r="F1750" s="90">
        <f t="shared" si="49"/>
        <v>0.39102564102564102</v>
      </c>
    </row>
    <row r="1751" spans="1:6">
      <c r="A1751" s="5">
        <v>1865</v>
      </c>
      <c r="B1751" s="5" t="s">
        <v>11</v>
      </c>
      <c r="C1751" s="4">
        <v>206</v>
      </c>
      <c r="D1751" s="101">
        <f t="shared" si="48"/>
        <v>207.58333333333334</v>
      </c>
      <c r="F1751" s="90">
        <f t="shared" si="49"/>
        <v>0.27950310559006208</v>
      </c>
    </row>
    <row r="1752" spans="1:6">
      <c r="A1752" s="5">
        <v>1865</v>
      </c>
      <c r="B1752" s="5" t="s">
        <v>12</v>
      </c>
      <c r="C1752" s="4">
        <v>179</v>
      </c>
      <c r="D1752" s="101">
        <f t="shared" si="48"/>
        <v>208.5</v>
      </c>
      <c r="F1752" s="90">
        <f t="shared" si="49"/>
        <v>6.5476190476190479E-2</v>
      </c>
    </row>
    <row r="1753" spans="1:6">
      <c r="A1753" s="5">
        <v>1865</v>
      </c>
      <c r="B1753" s="5" t="s">
        <v>13</v>
      </c>
      <c r="C1753" s="4">
        <v>169</v>
      </c>
      <c r="D1753" s="101">
        <f t="shared" si="48"/>
        <v>208.08333333333334</v>
      </c>
      <c r="F1753" s="90">
        <f t="shared" si="49"/>
        <v>-2.8735632183908046E-2</v>
      </c>
    </row>
    <row r="1754" spans="1:6">
      <c r="A1754" s="5">
        <v>1865</v>
      </c>
      <c r="B1754" s="5" t="s">
        <v>14</v>
      </c>
      <c r="C1754" s="4">
        <v>159</v>
      </c>
      <c r="D1754" s="101">
        <f t="shared" si="48"/>
        <v>205.58333333333334</v>
      </c>
      <c r="F1754" s="90">
        <f t="shared" si="49"/>
        <v>-0.15873015873015872</v>
      </c>
    </row>
    <row r="1755" spans="1:6">
      <c r="A1755" s="5">
        <v>1865</v>
      </c>
      <c r="B1755" s="5" t="s">
        <v>15</v>
      </c>
      <c r="C1755" s="4">
        <v>161</v>
      </c>
      <c r="D1755" s="101">
        <f t="shared" si="48"/>
        <v>200.75</v>
      </c>
      <c r="F1755" s="90">
        <f t="shared" si="49"/>
        <v>-0.26484018264840181</v>
      </c>
    </row>
    <row r="1756" spans="1:6">
      <c r="A1756" s="5">
        <v>1865</v>
      </c>
      <c r="B1756" s="5" t="s">
        <v>16</v>
      </c>
      <c r="C1756" s="4">
        <v>168</v>
      </c>
      <c r="D1756" s="101">
        <f t="shared" si="48"/>
        <v>196</v>
      </c>
      <c r="F1756" s="90">
        <f t="shared" si="49"/>
        <v>-0.25333333333333335</v>
      </c>
    </row>
    <row r="1757" spans="1:6">
      <c r="A1757" s="5">
        <v>1865</v>
      </c>
      <c r="B1757" s="5" t="s">
        <v>17</v>
      </c>
      <c r="C1757" s="4">
        <v>179</v>
      </c>
      <c r="D1757" s="101">
        <f t="shared" si="48"/>
        <v>192.16666666666666</v>
      </c>
      <c r="F1757" s="90">
        <f t="shared" si="49"/>
        <v>-0.20444444444444446</v>
      </c>
    </row>
    <row r="1758" spans="1:6">
      <c r="A1758" s="5">
        <v>1865</v>
      </c>
      <c r="B1758" s="5" t="s">
        <v>18</v>
      </c>
      <c r="C1758" s="4">
        <v>190</v>
      </c>
      <c r="D1758" s="101">
        <f t="shared" si="48"/>
        <v>190.75</v>
      </c>
      <c r="F1758" s="90">
        <f t="shared" si="49"/>
        <v>-8.2125603864734303E-2</v>
      </c>
    </row>
    <row r="1759" spans="1:6">
      <c r="A1759" s="5">
        <v>1865</v>
      </c>
      <c r="B1759" s="5" t="s">
        <v>19</v>
      </c>
      <c r="C1759" s="4">
        <v>189</v>
      </c>
      <c r="D1759" s="101">
        <f t="shared" si="48"/>
        <v>188.5</v>
      </c>
      <c r="F1759" s="90">
        <f t="shared" si="49"/>
        <v>-0.125</v>
      </c>
    </row>
    <row r="1760" spans="1:6">
      <c r="A1760" s="5">
        <v>1865</v>
      </c>
      <c r="B1760" s="5" t="s">
        <v>20</v>
      </c>
      <c r="C1760" s="4">
        <v>184</v>
      </c>
      <c r="D1760" s="101">
        <f t="shared" si="48"/>
        <v>185.33333333333334</v>
      </c>
      <c r="E1760" s="4">
        <v>185</v>
      </c>
      <c r="F1760" s="90">
        <f t="shared" si="49"/>
        <v>-0.17117117117117117</v>
      </c>
    </row>
    <row r="1761" spans="1:6">
      <c r="A1761" s="5">
        <v>1866</v>
      </c>
      <c r="B1761" s="5" t="s">
        <v>9</v>
      </c>
      <c r="C1761" s="4">
        <v>181</v>
      </c>
      <c r="D1761" s="101">
        <f t="shared" si="48"/>
        <v>181.83333333333334</v>
      </c>
      <c r="F1761" s="90">
        <f t="shared" si="49"/>
        <v>-0.18834080717488788</v>
      </c>
    </row>
    <row r="1762" spans="1:6">
      <c r="A1762" s="5">
        <v>1866</v>
      </c>
      <c r="B1762" s="5" t="s">
        <v>10</v>
      </c>
      <c r="C1762" s="4">
        <v>176</v>
      </c>
      <c r="D1762" s="101">
        <f t="shared" si="48"/>
        <v>178.41666666666666</v>
      </c>
      <c r="F1762" s="90">
        <f t="shared" si="49"/>
        <v>-0.1889400921658986</v>
      </c>
    </row>
    <row r="1763" spans="1:6">
      <c r="A1763" s="5">
        <v>1866</v>
      </c>
      <c r="B1763" s="5" t="s">
        <v>11</v>
      </c>
      <c r="C1763" s="4">
        <v>173</v>
      </c>
      <c r="D1763" s="101">
        <f t="shared" si="48"/>
        <v>175.66666666666666</v>
      </c>
      <c r="F1763" s="90">
        <f t="shared" si="49"/>
        <v>-0.16019417475728157</v>
      </c>
    </row>
    <row r="1764" spans="1:6">
      <c r="A1764" s="5">
        <v>1866</v>
      </c>
      <c r="B1764" s="5" t="s">
        <v>12</v>
      </c>
      <c r="C1764" s="4">
        <v>166</v>
      </c>
      <c r="D1764" s="101">
        <f t="shared" si="48"/>
        <v>174.58333333333334</v>
      </c>
      <c r="F1764" s="90">
        <f t="shared" si="49"/>
        <v>-7.2625698324022353E-2</v>
      </c>
    </row>
    <row r="1765" spans="1:6">
      <c r="A1765" s="5">
        <v>1866</v>
      </c>
      <c r="B1765" s="5" t="s">
        <v>13</v>
      </c>
      <c r="C1765" s="4">
        <v>171</v>
      </c>
      <c r="D1765" s="101">
        <f t="shared" si="48"/>
        <v>174.75</v>
      </c>
      <c r="F1765" s="90">
        <f t="shared" si="49"/>
        <v>1.1834319526627219E-2</v>
      </c>
    </row>
    <row r="1766" spans="1:6">
      <c r="A1766" s="5">
        <v>1866</v>
      </c>
      <c r="B1766" s="5" t="s">
        <v>14</v>
      </c>
      <c r="C1766" s="4">
        <v>172</v>
      </c>
      <c r="D1766" s="101">
        <f t="shared" si="48"/>
        <v>175.83333333333334</v>
      </c>
      <c r="F1766" s="90">
        <f t="shared" si="49"/>
        <v>8.1761006289308172E-2</v>
      </c>
    </row>
    <row r="1767" spans="1:6">
      <c r="A1767" s="5">
        <v>1866</v>
      </c>
      <c r="B1767" s="5" t="s">
        <v>15</v>
      </c>
      <c r="C1767" s="4">
        <v>174</v>
      </c>
      <c r="D1767" s="101">
        <f t="shared" si="48"/>
        <v>176.91666666666666</v>
      </c>
      <c r="F1767" s="90">
        <f t="shared" si="49"/>
        <v>8.0745341614906832E-2</v>
      </c>
    </row>
    <row r="1768" spans="1:6">
      <c r="A1768" s="5">
        <v>1866</v>
      </c>
      <c r="B1768" s="5" t="s">
        <v>16</v>
      </c>
      <c r="C1768" s="4">
        <v>175</v>
      </c>
      <c r="D1768" s="101">
        <f t="shared" si="48"/>
        <v>177.5</v>
      </c>
      <c r="F1768" s="90">
        <f t="shared" si="49"/>
        <v>4.1666666666666664E-2</v>
      </c>
    </row>
    <row r="1769" spans="1:6">
      <c r="A1769" s="5">
        <v>1866</v>
      </c>
      <c r="B1769" s="5" t="s">
        <v>17</v>
      </c>
      <c r="C1769" s="4">
        <v>174</v>
      </c>
      <c r="D1769" s="101">
        <f t="shared" si="48"/>
        <v>177.08333333333334</v>
      </c>
      <c r="F1769" s="90">
        <f t="shared" si="49"/>
        <v>-2.7932960893854747E-2</v>
      </c>
    </row>
    <row r="1770" spans="1:6">
      <c r="A1770" s="5">
        <v>1866</v>
      </c>
      <c r="B1770" s="5" t="s">
        <v>18</v>
      </c>
      <c r="C1770" s="4">
        <v>179</v>
      </c>
      <c r="D1770" s="101">
        <f t="shared" si="48"/>
        <v>176.16666666666666</v>
      </c>
      <c r="F1770" s="90">
        <f t="shared" si="49"/>
        <v>-5.7894736842105263E-2</v>
      </c>
    </row>
    <row r="1771" spans="1:6">
      <c r="A1771" s="5">
        <v>1866</v>
      </c>
      <c r="B1771" s="5" t="s">
        <v>19</v>
      </c>
      <c r="C1771" s="4">
        <v>175</v>
      </c>
      <c r="D1771" s="101">
        <f t="shared" si="48"/>
        <v>175</v>
      </c>
      <c r="F1771" s="90">
        <f t="shared" si="49"/>
        <v>-7.407407407407407E-2</v>
      </c>
    </row>
    <row r="1772" spans="1:6">
      <c r="A1772" s="5">
        <v>1866</v>
      </c>
      <c r="B1772" s="5" t="s">
        <v>20</v>
      </c>
      <c r="C1772" s="4">
        <v>169</v>
      </c>
      <c r="D1772" s="101">
        <f t="shared" si="48"/>
        <v>173.75</v>
      </c>
      <c r="E1772" s="4">
        <v>174</v>
      </c>
      <c r="F1772" s="90">
        <f t="shared" si="49"/>
        <v>-8.1521739130434784E-2</v>
      </c>
    </row>
    <row r="1773" spans="1:6">
      <c r="A1773" s="5">
        <v>1867</v>
      </c>
      <c r="B1773" s="5" t="s">
        <v>9</v>
      </c>
      <c r="C1773" s="4">
        <v>168</v>
      </c>
      <c r="D1773" s="101">
        <f t="shared" si="48"/>
        <v>172.66666666666666</v>
      </c>
      <c r="F1773" s="90">
        <f t="shared" si="49"/>
        <v>-7.18232044198895E-2</v>
      </c>
    </row>
    <row r="1774" spans="1:6">
      <c r="A1774" s="5">
        <v>1867</v>
      </c>
      <c r="B1774" s="5" t="s">
        <v>10</v>
      </c>
      <c r="C1774" s="4">
        <v>167</v>
      </c>
      <c r="D1774" s="101">
        <f t="shared" si="48"/>
        <v>171.91666666666666</v>
      </c>
      <c r="F1774" s="90">
        <f t="shared" si="49"/>
        <v>-5.113636363636364E-2</v>
      </c>
    </row>
    <row r="1775" spans="1:6">
      <c r="A1775" s="5">
        <v>1867</v>
      </c>
      <c r="B1775" s="5" t="s">
        <v>11</v>
      </c>
      <c r="C1775" s="4">
        <v>166</v>
      </c>
      <c r="D1775" s="101">
        <f t="shared" si="48"/>
        <v>171.33333333333334</v>
      </c>
      <c r="F1775" s="90">
        <f t="shared" si="49"/>
        <v>-4.046242774566474E-2</v>
      </c>
    </row>
    <row r="1776" spans="1:6">
      <c r="A1776" s="5">
        <v>1867</v>
      </c>
      <c r="B1776" s="5" t="s">
        <v>12</v>
      </c>
      <c r="C1776" s="4">
        <v>167</v>
      </c>
      <c r="D1776" s="101">
        <f t="shared" si="48"/>
        <v>171.41666666666666</v>
      </c>
      <c r="F1776" s="90">
        <f t="shared" si="49"/>
        <v>6.024096385542169E-3</v>
      </c>
    </row>
    <row r="1777" spans="1:6">
      <c r="A1777" s="5">
        <v>1867</v>
      </c>
      <c r="B1777" s="5" t="s">
        <v>13</v>
      </c>
      <c r="C1777" s="4">
        <v>168</v>
      </c>
      <c r="D1777" s="101">
        <f t="shared" ref="D1777:D1840" si="50">AVERAGE(C1766:C1777)</f>
        <v>171.16666666666666</v>
      </c>
      <c r="F1777" s="90">
        <f t="shared" si="49"/>
        <v>-1.7543859649122806E-2</v>
      </c>
    </row>
    <row r="1778" spans="1:6">
      <c r="A1778" s="5">
        <v>1867</v>
      </c>
      <c r="B1778" s="5" t="s">
        <v>14</v>
      </c>
      <c r="C1778" s="4">
        <v>159</v>
      </c>
      <c r="D1778" s="101">
        <f t="shared" si="50"/>
        <v>170.08333333333334</v>
      </c>
      <c r="F1778" s="90">
        <f t="shared" si="49"/>
        <v>-7.5581395348837205E-2</v>
      </c>
    </row>
    <row r="1779" spans="1:6">
      <c r="A1779" s="5">
        <v>1867</v>
      </c>
      <c r="B1779" s="5" t="s">
        <v>15</v>
      </c>
      <c r="C1779" s="4">
        <v>158</v>
      </c>
      <c r="D1779" s="101">
        <f t="shared" si="50"/>
        <v>168.75</v>
      </c>
      <c r="F1779" s="90">
        <f t="shared" si="49"/>
        <v>-9.1954022988505746E-2</v>
      </c>
    </row>
    <row r="1780" spans="1:6">
      <c r="A1780" s="5">
        <v>1867</v>
      </c>
      <c r="B1780" s="5" t="s">
        <v>16</v>
      </c>
      <c r="C1780" s="4">
        <v>168</v>
      </c>
      <c r="D1780" s="101">
        <f t="shared" si="50"/>
        <v>168.16666666666666</v>
      </c>
      <c r="F1780" s="90">
        <f t="shared" si="49"/>
        <v>-0.04</v>
      </c>
    </row>
    <row r="1781" spans="1:6">
      <c r="A1781" s="5">
        <v>1867</v>
      </c>
      <c r="B1781" s="5" t="s">
        <v>17</v>
      </c>
      <c r="C1781" s="4">
        <v>158</v>
      </c>
      <c r="D1781" s="101">
        <f t="shared" si="50"/>
        <v>166.83333333333334</v>
      </c>
      <c r="F1781" s="90">
        <f t="shared" si="49"/>
        <v>-9.1954022988505746E-2</v>
      </c>
    </row>
    <row r="1782" spans="1:6">
      <c r="A1782" s="5">
        <v>1867</v>
      </c>
      <c r="B1782" s="5" t="s">
        <v>18</v>
      </c>
      <c r="C1782" s="4">
        <v>159</v>
      </c>
      <c r="D1782" s="101">
        <f t="shared" si="50"/>
        <v>165.16666666666666</v>
      </c>
      <c r="F1782" s="90">
        <f t="shared" si="49"/>
        <v>-0.11173184357541899</v>
      </c>
    </row>
    <row r="1783" spans="1:6">
      <c r="A1783" s="5">
        <v>1867</v>
      </c>
      <c r="B1783" s="5" t="s">
        <v>19</v>
      </c>
      <c r="C1783" s="4">
        <v>156</v>
      </c>
      <c r="D1783" s="101">
        <f t="shared" si="50"/>
        <v>163.58333333333334</v>
      </c>
      <c r="F1783" s="90">
        <f t="shared" si="49"/>
        <v>-0.10857142857142857</v>
      </c>
    </row>
    <row r="1784" spans="1:6">
      <c r="A1784" s="5">
        <v>1867</v>
      </c>
      <c r="B1784" s="5" t="s">
        <v>20</v>
      </c>
      <c r="C1784" s="4">
        <v>155</v>
      </c>
      <c r="D1784" s="101">
        <f t="shared" si="50"/>
        <v>162.41666666666666</v>
      </c>
      <c r="E1784" s="4">
        <v>162</v>
      </c>
      <c r="F1784" s="90">
        <f t="shared" si="49"/>
        <v>-8.2840236686390539E-2</v>
      </c>
    </row>
    <row r="1785" spans="1:6">
      <c r="A1785" s="5">
        <v>1868</v>
      </c>
      <c r="B1785" s="5" t="s">
        <v>9</v>
      </c>
      <c r="C1785" s="4">
        <v>157</v>
      </c>
      <c r="D1785" s="101">
        <f t="shared" si="50"/>
        <v>161.5</v>
      </c>
      <c r="F1785" s="90">
        <f t="shared" si="49"/>
        <v>-6.5476190476190479E-2</v>
      </c>
    </row>
    <row r="1786" spans="1:6">
      <c r="A1786" s="5">
        <v>1868</v>
      </c>
      <c r="B1786" s="5" t="s">
        <v>10</v>
      </c>
      <c r="C1786" s="4">
        <v>158</v>
      </c>
      <c r="D1786" s="101">
        <f t="shared" si="50"/>
        <v>160.75</v>
      </c>
      <c r="F1786" s="90">
        <f t="shared" si="49"/>
        <v>-5.3892215568862277E-2</v>
      </c>
    </row>
    <row r="1787" spans="1:6">
      <c r="A1787" s="5">
        <v>1868</v>
      </c>
      <c r="B1787" s="5" t="s">
        <v>11</v>
      </c>
      <c r="C1787" s="4">
        <v>163</v>
      </c>
      <c r="D1787" s="101">
        <f t="shared" si="50"/>
        <v>160.5</v>
      </c>
      <c r="F1787" s="90">
        <f t="shared" si="49"/>
        <v>-1.8072289156626505E-2</v>
      </c>
    </row>
    <row r="1788" spans="1:6">
      <c r="A1788" s="5">
        <v>1868</v>
      </c>
      <c r="B1788" s="5" t="s">
        <v>12</v>
      </c>
      <c r="C1788" s="4">
        <v>165</v>
      </c>
      <c r="D1788" s="101">
        <f t="shared" si="50"/>
        <v>160.33333333333334</v>
      </c>
      <c r="F1788" s="90">
        <f t="shared" si="49"/>
        <v>-1.1976047904191617E-2</v>
      </c>
    </row>
    <row r="1789" spans="1:6">
      <c r="A1789" s="5">
        <v>1868</v>
      </c>
      <c r="B1789" s="5" t="s">
        <v>13</v>
      </c>
      <c r="C1789" s="4">
        <v>163</v>
      </c>
      <c r="D1789" s="101">
        <f t="shared" si="50"/>
        <v>159.91666666666666</v>
      </c>
      <c r="F1789" s="90">
        <f t="shared" si="49"/>
        <v>-2.976190476190476E-2</v>
      </c>
    </row>
    <row r="1790" spans="1:6">
      <c r="A1790" s="5">
        <v>1868</v>
      </c>
      <c r="B1790" s="5" t="s">
        <v>14</v>
      </c>
      <c r="C1790" s="4">
        <v>158</v>
      </c>
      <c r="D1790" s="101">
        <f t="shared" si="50"/>
        <v>159.83333333333334</v>
      </c>
      <c r="F1790" s="90">
        <f t="shared" si="49"/>
        <v>-6.2893081761006293E-3</v>
      </c>
    </row>
    <row r="1791" spans="1:6">
      <c r="A1791" s="5">
        <v>1868</v>
      </c>
      <c r="B1791" s="5" t="s">
        <v>15</v>
      </c>
      <c r="C1791" s="4">
        <v>157</v>
      </c>
      <c r="D1791" s="101">
        <f t="shared" si="50"/>
        <v>159.75</v>
      </c>
      <c r="F1791" s="90">
        <f t="shared" si="49"/>
        <v>-6.3291139240506328E-3</v>
      </c>
    </row>
    <row r="1792" spans="1:6">
      <c r="A1792" s="5">
        <v>1868</v>
      </c>
      <c r="B1792" s="5" t="s">
        <v>16</v>
      </c>
      <c r="C1792" s="4">
        <v>158</v>
      </c>
      <c r="D1792" s="101">
        <f t="shared" si="50"/>
        <v>158.91666666666666</v>
      </c>
      <c r="F1792" s="90">
        <f t="shared" si="49"/>
        <v>-5.9523809523809521E-2</v>
      </c>
    </row>
    <row r="1793" spans="1:6">
      <c r="A1793" s="5">
        <v>1868</v>
      </c>
      <c r="B1793" s="5" t="s">
        <v>17</v>
      </c>
      <c r="C1793" s="4">
        <v>157</v>
      </c>
      <c r="D1793" s="101">
        <f t="shared" si="50"/>
        <v>158.83333333333334</v>
      </c>
      <c r="F1793" s="90">
        <f t="shared" si="49"/>
        <v>-6.3291139240506328E-3</v>
      </c>
    </row>
    <row r="1794" spans="1:6">
      <c r="A1794" s="5">
        <v>1868</v>
      </c>
      <c r="B1794" s="5" t="s">
        <v>18</v>
      </c>
      <c r="C1794" s="4">
        <v>154</v>
      </c>
      <c r="D1794" s="101">
        <f t="shared" si="50"/>
        <v>158.41666666666666</v>
      </c>
      <c r="F1794" s="90">
        <f t="shared" si="49"/>
        <v>-3.1446540880503145E-2</v>
      </c>
    </row>
    <row r="1795" spans="1:6">
      <c r="A1795" s="5">
        <v>1868</v>
      </c>
      <c r="B1795" s="5" t="s">
        <v>19</v>
      </c>
      <c r="C1795" s="4">
        <v>153</v>
      </c>
      <c r="D1795" s="101">
        <f t="shared" si="50"/>
        <v>158.16666666666666</v>
      </c>
      <c r="F1795" s="90">
        <f t="shared" si="49"/>
        <v>-1.9230769230769232E-2</v>
      </c>
    </row>
    <row r="1796" spans="1:6">
      <c r="A1796" s="5">
        <v>1868</v>
      </c>
      <c r="B1796" s="5" t="s">
        <v>20</v>
      </c>
      <c r="C1796" s="4">
        <v>153</v>
      </c>
      <c r="D1796" s="101">
        <f t="shared" si="50"/>
        <v>158</v>
      </c>
      <c r="E1796" s="4">
        <v>158</v>
      </c>
      <c r="F1796" s="90">
        <f t="shared" si="49"/>
        <v>-1.2903225806451613E-2</v>
      </c>
    </row>
    <row r="1797" spans="1:6">
      <c r="A1797" s="5">
        <v>1869</v>
      </c>
      <c r="B1797" s="5" t="s">
        <v>9</v>
      </c>
      <c r="C1797" s="4">
        <v>155</v>
      </c>
      <c r="D1797" s="101">
        <f t="shared" si="50"/>
        <v>157.83333333333334</v>
      </c>
      <c r="F1797" s="90">
        <f t="shared" si="49"/>
        <v>-1.2738853503184714E-2</v>
      </c>
    </row>
    <row r="1798" spans="1:6">
      <c r="A1798" s="5">
        <v>1869</v>
      </c>
      <c r="B1798" s="5" t="s">
        <v>10</v>
      </c>
      <c r="C1798" s="4">
        <v>157</v>
      </c>
      <c r="D1798" s="101">
        <f t="shared" si="50"/>
        <v>157.75</v>
      </c>
      <c r="F1798" s="90">
        <f t="shared" si="49"/>
        <v>-6.3291139240506328E-3</v>
      </c>
    </row>
    <row r="1799" spans="1:6">
      <c r="A1799" s="5">
        <v>1869</v>
      </c>
      <c r="B1799" s="5" t="s">
        <v>11</v>
      </c>
      <c r="C1799" s="4">
        <v>154</v>
      </c>
      <c r="D1799" s="101">
        <f t="shared" si="50"/>
        <v>157</v>
      </c>
      <c r="F1799" s="90">
        <f t="shared" si="49"/>
        <v>-5.5214723926380369E-2</v>
      </c>
    </row>
    <row r="1800" spans="1:6">
      <c r="A1800" s="5">
        <v>1869</v>
      </c>
      <c r="B1800" s="5" t="s">
        <v>12</v>
      </c>
      <c r="C1800" s="4">
        <v>151</v>
      </c>
      <c r="D1800" s="101">
        <f t="shared" si="50"/>
        <v>155.83333333333334</v>
      </c>
      <c r="F1800" s="90">
        <f t="shared" si="49"/>
        <v>-8.4848484848484854E-2</v>
      </c>
    </row>
    <row r="1801" spans="1:6">
      <c r="A1801" s="5">
        <v>1869</v>
      </c>
      <c r="B1801" s="5" t="s">
        <v>13</v>
      </c>
      <c r="C1801" s="4">
        <v>149</v>
      </c>
      <c r="D1801" s="101">
        <f t="shared" si="50"/>
        <v>154.66666666666666</v>
      </c>
      <c r="F1801" s="90">
        <f t="shared" si="49"/>
        <v>-8.5889570552147243E-2</v>
      </c>
    </row>
    <row r="1802" spans="1:6">
      <c r="A1802" s="5">
        <v>1869</v>
      </c>
      <c r="B1802" s="5" t="s">
        <v>14</v>
      </c>
      <c r="C1802" s="4">
        <v>147</v>
      </c>
      <c r="D1802" s="101">
        <f t="shared" si="50"/>
        <v>153.75</v>
      </c>
      <c r="F1802" s="90">
        <f t="shared" si="49"/>
        <v>-6.9620253164556958E-2</v>
      </c>
    </row>
    <row r="1803" spans="1:6">
      <c r="A1803" s="5">
        <v>1869</v>
      </c>
      <c r="B1803" s="5" t="s">
        <v>15</v>
      </c>
      <c r="C1803" s="4">
        <v>148</v>
      </c>
      <c r="D1803" s="101">
        <f t="shared" si="50"/>
        <v>153</v>
      </c>
      <c r="F1803" s="90">
        <f t="shared" si="49"/>
        <v>-5.7324840764331211E-2</v>
      </c>
    </row>
    <row r="1804" spans="1:6">
      <c r="A1804" s="5">
        <v>1869</v>
      </c>
      <c r="B1804" s="5" t="s">
        <v>16</v>
      </c>
      <c r="C1804" s="4">
        <v>153</v>
      </c>
      <c r="D1804" s="101">
        <f t="shared" si="50"/>
        <v>152.58333333333334</v>
      </c>
      <c r="F1804" s="90">
        <f t="shared" si="49"/>
        <v>-3.1645569620253167E-2</v>
      </c>
    </row>
    <row r="1805" spans="1:6">
      <c r="A1805" s="5">
        <v>1869</v>
      </c>
      <c r="B1805" s="5" t="s">
        <v>17</v>
      </c>
      <c r="C1805" s="4">
        <v>152</v>
      </c>
      <c r="D1805" s="101">
        <f t="shared" si="50"/>
        <v>152.16666666666666</v>
      </c>
      <c r="F1805" s="90">
        <f t="shared" si="49"/>
        <v>-3.1847133757961783E-2</v>
      </c>
    </row>
    <row r="1806" spans="1:6">
      <c r="A1806" s="5">
        <v>1869</v>
      </c>
      <c r="B1806" s="5" t="s">
        <v>18</v>
      </c>
      <c r="C1806" s="4">
        <v>149</v>
      </c>
      <c r="D1806" s="101">
        <f t="shared" si="50"/>
        <v>151.75</v>
      </c>
      <c r="F1806" s="90">
        <f t="shared" si="49"/>
        <v>-3.2467532467532464E-2</v>
      </c>
    </row>
    <row r="1807" spans="1:6">
      <c r="A1807" s="5">
        <v>1869</v>
      </c>
      <c r="B1807" s="5" t="s">
        <v>19</v>
      </c>
      <c r="C1807" s="4">
        <v>149</v>
      </c>
      <c r="D1807" s="101">
        <f t="shared" si="50"/>
        <v>151.41666666666666</v>
      </c>
      <c r="F1807" s="90">
        <f t="shared" si="49"/>
        <v>-2.6143790849673203E-2</v>
      </c>
    </row>
    <row r="1808" spans="1:6">
      <c r="A1808" s="5">
        <v>1869</v>
      </c>
      <c r="B1808" s="5" t="s">
        <v>20</v>
      </c>
      <c r="C1808" s="4">
        <v>147</v>
      </c>
      <c r="D1808" s="101">
        <f t="shared" si="50"/>
        <v>150.91666666666666</v>
      </c>
      <c r="E1808" s="4">
        <v>151</v>
      </c>
      <c r="F1808" s="90">
        <f t="shared" si="49"/>
        <v>-3.9215686274509803E-2</v>
      </c>
    </row>
    <row r="1809" spans="1:6">
      <c r="A1809" s="5">
        <v>1870</v>
      </c>
      <c r="B1809" s="5" t="s">
        <v>9</v>
      </c>
      <c r="C1809" s="4">
        <v>142</v>
      </c>
      <c r="D1809" s="101">
        <f t="shared" si="50"/>
        <v>149.83333333333334</v>
      </c>
      <c r="F1809" s="90">
        <f t="shared" si="49"/>
        <v>-8.387096774193549E-2</v>
      </c>
    </row>
    <row r="1810" spans="1:6">
      <c r="A1810" s="5">
        <v>1870</v>
      </c>
      <c r="B1810" s="5" t="s">
        <v>10</v>
      </c>
      <c r="C1810" s="4">
        <v>138</v>
      </c>
      <c r="D1810" s="101">
        <f t="shared" si="50"/>
        <v>148.25</v>
      </c>
      <c r="F1810" s="90">
        <f t="shared" si="49"/>
        <v>-0.12101910828025478</v>
      </c>
    </row>
    <row r="1811" spans="1:6">
      <c r="A1811" s="5">
        <v>1870</v>
      </c>
      <c r="B1811" s="5" t="s">
        <v>11</v>
      </c>
      <c r="C1811" s="4">
        <v>135</v>
      </c>
      <c r="D1811" s="101">
        <f t="shared" si="50"/>
        <v>146.66666666666666</v>
      </c>
      <c r="F1811" s="90">
        <f t="shared" si="49"/>
        <v>-0.12337662337662338</v>
      </c>
    </row>
    <row r="1812" spans="1:6">
      <c r="A1812" s="5">
        <v>1870</v>
      </c>
      <c r="B1812" s="5" t="s">
        <v>12</v>
      </c>
      <c r="C1812" s="4">
        <v>134</v>
      </c>
      <c r="D1812" s="101">
        <f t="shared" si="50"/>
        <v>145.25</v>
      </c>
      <c r="F1812" s="90">
        <f t="shared" si="49"/>
        <v>-0.11258278145695365</v>
      </c>
    </row>
    <row r="1813" spans="1:6">
      <c r="A1813" s="5">
        <v>1870</v>
      </c>
      <c r="B1813" s="5" t="s">
        <v>13</v>
      </c>
      <c r="C1813" s="4">
        <v>136</v>
      </c>
      <c r="D1813" s="101">
        <f t="shared" si="50"/>
        <v>144.16666666666666</v>
      </c>
      <c r="F1813" s="90">
        <f t="shared" ref="F1813:F1876" si="51">(C1813-C1801)/C1801</f>
        <v>-8.7248322147651006E-2</v>
      </c>
    </row>
    <row r="1814" spans="1:6">
      <c r="A1814" s="5">
        <v>1870</v>
      </c>
      <c r="B1814" s="5" t="s">
        <v>14</v>
      </c>
      <c r="C1814" s="4">
        <v>135</v>
      </c>
      <c r="D1814" s="101">
        <f t="shared" si="50"/>
        <v>143.16666666666666</v>
      </c>
      <c r="F1814" s="90">
        <f t="shared" si="51"/>
        <v>-8.1632653061224483E-2</v>
      </c>
    </row>
    <row r="1815" spans="1:6">
      <c r="A1815" s="5">
        <v>1870</v>
      </c>
      <c r="B1815" s="5" t="s">
        <v>15</v>
      </c>
      <c r="C1815" s="4">
        <v>135</v>
      </c>
      <c r="D1815" s="101">
        <f t="shared" si="50"/>
        <v>142.08333333333334</v>
      </c>
      <c r="F1815" s="90">
        <f t="shared" si="51"/>
        <v>-8.7837837837837843E-2</v>
      </c>
    </row>
    <row r="1816" spans="1:6">
      <c r="A1816" s="5">
        <v>1870</v>
      </c>
      <c r="B1816" s="5" t="s">
        <v>16</v>
      </c>
      <c r="C1816" s="4">
        <v>134</v>
      </c>
      <c r="D1816" s="101">
        <f t="shared" si="50"/>
        <v>140.5</v>
      </c>
      <c r="F1816" s="90">
        <f t="shared" si="51"/>
        <v>-0.12418300653594772</v>
      </c>
    </row>
    <row r="1817" spans="1:6">
      <c r="A1817" s="5">
        <v>1870</v>
      </c>
      <c r="B1817" s="5" t="s">
        <v>17</v>
      </c>
      <c r="C1817" s="4">
        <v>134</v>
      </c>
      <c r="D1817" s="101">
        <f t="shared" si="50"/>
        <v>139</v>
      </c>
      <c r="F1817" s="90">
        <f t="shared" si="51"/>
        <v>-0.11842105263157894</v>
      </c>
    </row>
    <row r="1818" spans="1:6">
      <c r="A1818" s="5">
        <v>1870</v>
      </c>
      <c r="B1818" s="5" t="s">
        <v>18</v>
      </c>
      <c r="C1818" s="4">
        <v>133</v>
      </c>
      <c r="D1818" s="101">
        <f t="shared" si="50"/>
        <v>137.66666666666666</v>
      </c>
      <c r="F1818" s="90">
        <f t="shared" si="51"/>
        <v>-0.10738255033557047</v>
      </c>
    </row>
    <row r="1819" spans="1:6">
      <c r="A1819" s="5">
        <v>1870</v>
      </c>
      <c r="B1819" s="5" t="s">
        <v>19</v>
      </c>
      <c r="C1819" s="4">
        <v>131</v>
      </c>
      <c r="D1819" s="101">
        <f t="shared" si="50"/>
        <v>136.16666666666666</v>
      </c>
      <c r="F1819" s="90">
        <f t="shared" si="51"/>
        <v>-0.12080536912751678</v>
      </c>
    </row>
    <row r="1820" spans="1:6">
      <c r="A1820" s="5">
        <v>1870</v>
      </c>
      <c r="B1820" s="5" t="s">
        <v>20</v>
      </c>
      <c r="C1820" s="4">
        <v>128</v>
      </c>
      <c r="D1820" s="101">
        <f t="shared" si="50"/>
        <v>134.58333333333334</v>
      </c>
      <c r="E1820" s="4">
        <v>135</v>
      </c>
      <c r="F1820" s="90">
        <f t="shared" si="51"/>
        <v>-0.12925170068027211</v>
      </c>
    </row>
    <row r="1821" spans="1:6">
      <c r="A1821" s="5">
        <v>1871</v>
      </c>
      <c r="B1821" s="5" t="s">
        <v>9</v>
      </c>
      <c r="C1821" s="4">
        <v>131</v>
      </c>
      <c r="D1821" s="101">
        <f t="shared" si="50"/>
        <v>133.66666666666666</v>
      </c>
      <c r="F1821" s="90">
        <f t="shared" si="51"/>
        <v>-7.746478873239436E-2</v>
      </c>
    </row>
    <row r="1822" spans="1:6">
      <c r="A1822" s="5">
        <v>1871</v>
      </c>
      <c r="B1822" s="5" t="s">
        <v>10</v>
      </c>
      <c r="C1822" s="4">
        <v>135</v>
      </c>
      <c r="D1822" s="101">
        <f t="shared" si="50"/>
        <v>133.41666666666666</v>
      </c>
      <c r="F1822" s="90">
        <f t="shared" si="51"/>
        <v>-2.1739130434782608E-2</v>
      </c>
    </row>
    <row r="1823" spans="1:6">
      <c r="A1823" s="5">
        <v>1871</v>
      </c>
      <c r="B1823" s="5" t="s">
        <v>11</v>
      </c>
      <c r="C1823" s="4">
        <v>137</v>
      </c>
      <c r="D1823" s="101">
        <f t="shared" si="50"/>
        <v>133.58333333333334</v>
      </c>
      <c r="F1823" s="90">
        <f t="shared" si="51"/>
        <v>1.4814814814814815E-2</v>
      </c>
    </row>
    <row r="1824" spans="1:6">
      <c r="A1824" s="5">
        <v>1871</v>
      </c>
      <c r="B1824" s="5" t="s">
        <v>12</v>
      </c>
      <c r="C1824" s="4">
        <v>132</v>
      </c>
      <c r="D1824" s="101">
        <f t="shared" si="50"/>
        <v>133.41666666666666</v>
      </c>
      <c r="F1824" s="90">
        <f t="shared" si="51"/>
        <v>-1.4925373134328358E-2</v>
      </c>
    </row>
    <row r="1825" spans="1:6">
      <c r="A1825" s="5">
        <v>1871</v>
      </c>
      <c r="B1825" s="5" t="s">
        <v>13</v>
      </c>
      <c r="C1825" s="4">
        <v>129</v>
      </c>
      <c r="D1825" s="101">
        <f t="shared" si="50"/>
        <v>132.83333333333334</v>
      </c>
      <c r="F1825" s="90">
        <f t="shared" si="51"/>
        <v>-5.1470588235294115E-2</v>
      </c>
    </row>
    <row r="1826" spans="1:6">
      <c r="A1826" s="5">
        <v>1871</v>
      </c>
      <c r="B1826" s="5" t="s">
        <v>14</v>
      </c>
      <c r="C1826" s="4">
        <v>127</v>
      </c>
      <c r="D1826" s="101">
        <f t="shared" si="50"/>
        <v>132.16666666666666</v>
      </c>
      <c r="F1826" s="90">
        <f t="shared" si="51"/>
        <v>-5.9259259259259262E-2</v>
      </c>
    </row>
    <row r="1827" spans="1:6">
      <c r="A1827" s="5">
        <v>1871</v>
      </c>
      <c r="B1827" s="5" t="s">
        <v>15</v>
      </c>
      <c r="C1827" s="4">
        <v>127</v>
      </c>
      <c r="D1827" s="101">
        <f t="shared" si="50"/>
        <v>131.5</v>
      </c>
      <c r="F1827" s="90">
        <f t="shared" si="51"/>
        <v>-5.9259259259259262E-2</v>
      </c>
    </row>
    <row r="1828" spans="1:6">
      <c r="A1828" s="5">
        <v>1871</v>
      </c>
      <c r="B1828" s="5" t="s">
        <v>16</v>
      </c>
      <c r="C1828" s="4">
        <v>125</v>
      </c>
      <c r="D1828" s="101">
        <f t="shared" si="50"/>
        <v>130.75</v>
      </c>
      <c r="F1828" s="90">
        <f t="shared" si="51"/>
        <v>-6.7164179104477612E-2</v>
      </c>
    </row>
    <row r="1829" spans="1:6">
      <c r="A1829" s="5">
        <v>1871</v>
      </c>
      <c r="B1829" s="5" t="s">
        <v>17</v>
      </c>
      <c r="C1829" s="4">
        <v>128</v>
      </c>
      <c r="D1829" s="101">
        <f t="shared" si="50"/>
        <v>130.25</v>
      </c>
      <c r="F1829" s="90">
        <f t="shared" si="51"/>
        <v>-4.4776119402985072E-2</v>
      </c>
    </row>
    <row r="1830" spans="1:6">
      <c r="A1830" s="5">
        <v>1871</v>
      </c>
      <c r="B1830" s="5" t="s">
        <v>18</v>
      </c>
      <c r="C1830" s="4">
        <v>130</v>
      </c>
      <c r="D1830" s="101">
        <f t="shared" si="50"/>
        <v>130</v>
      </c>
      <c r="F1830" s="90">
        <f t="shared" si="51"/>
        <v>-2.2556390977443608E-2</v>
      </c>
    </row>
    <row r="1831" spans="1:6">
      <c r="A1831" s="5">
        <v>1871</v>
      </c>
      <c r="B1831" s="5" t="s">
        <v>19</v>
      </c>
      <c r="C1831" s="4">
        <v>130</v>
      </c>
      <c r="D1831" s="101">
        <f t="shared" si="50"/>
        <v>129.91666666666666</v>
      </c>
      <c r="F1831" s="90">
        <f t="shared" si="51"/>
        <v>-7.6335877862595417E-3</v>
      </c>
    </row>
    <row r="1832" spans="1:6">
      <c r="A1832" s="5">
        <v>1871</v>
      </c>
      <c r="B1832" s="5" t="s">
        <v>20</v>
      </c>
      <c r="C1832" s="4">
        <v>133</v>
      </c>
      <c r="D1832" s="101">
        <f t="shared" si="50"/>
        <v>130.33333333333334</v>
      </c>
      <c r="E1832" s="4">
        <v>130</v>
      </c>
      <c r="F1832" s="90">
        <f t="shared" si="51"/>
        <v>3.90625E-2</v>
      </c>
    </row>
    <row r="1833" spans="1:6">
      <c r="A1833" s="5">
        <v>1872</v>
      </c>
      <c r="B1833" s="5" t="s">
        <v>9</v>
      </c>
      <c r="C1833" s="4">
        <v>133</v>
      </c>
      <c r="D1833" s="101">
        <f t="shared" si="50"/>
        <v>130.5</v>
      </c>
      <c r="F1833" s="90">
        <f t="shared" si="51"/>
        <v>1.5267175572519083E-2</v>
      </c>
    </row>
    <row r="1834" spans="1:6">
      <c r="A1834" s="5">
        <v>1872</v>
      </c>
      <c r="B1834" s="5" t="s">
        <v>10</v>
      </c>
      <c r="C1834" s="4">
        <v>133</v>
      </c>
      <c r="D1834" s="101">
        <f t="shared" si="50"/>
        <v>130.33333333333334</v>
      </c>
      <c r="F1834" s="90">
        <f t="shared" si="51"/>
        <v>-1.4814814814814815E-2</v>
      </c>
    </row>
    <row r="1835" spans="1:6">
      <c r="A1835" s="5">
        <v>1872</v>
      </c>
      <c r="B1835" s="5" t="s">
        <v>11</v>
      </c>
      <c r="C1835" s="4">
        <v>135</v>
      </c>
      <c r="D1835" s="101">
        <f t="shared" si="50"/>
        <v>130.16666666666666</v>
      </c>
      <c r="F1835" s="90">
        <f t="shared" si="51"/>
        <v>-1.4598540145985401E-2</v>
      </c>
    </row>
    <row r="1836" spans="1:6">
      <c r="A1836" s="5">
        <v>1872</v>
      </c>
      <c r="B1836" s="5" t="s">
        <v>12</v>
      </c>
      <c r="C1836" s="4">
        <v>138</v>
      </c>
      <c r="D1836" s="101">
        <f t="shared" si="50"/>
        <v>130.66666666666666</v>
      </c>
      <c r="F1836" s="90">
        <f t="shared" si="51"/>
        <v>4.5454545454545456E-2</v>
      </c>
    </row>
    <row r="1837" spans="1:6">
      <c r="A1837" s="5">
        <v>1872</v>
      </c>
      <c r="B1837" s="5" t="s">
        <v>13</v>
      </c>
      <c r="C1837" s="4">
        <v>138</v>
      </c>
      <c r="D1837" s="101">
        <f t="shared" si="50"/>
        <v>131.41666666666666</v>
      </c>
      <c r="F1837" s="90">
        <f t="shared" si="51"/>
        <v>6.9767441860465115E-2</v>
      </c>
    </row>
    <row r="1838" spans="1:6">
      <c r="A1838" s="5">
        <v>1872</v>
      </c>
      <c r="B1838" s="5" t="s">
        <v>14</v>
      </c>
      <c r="C1838" s="4">
        <v>137</v>
      </c>
      <c r="D1838" s="101">
        <f t="shared" si="50"/>
        <v>132.25</v>
      </c>
      <c r="F1838" s="90">
        <f t="shared" si="51"/>
        <v>7.874015748031496E-2</v>
      </c>
    </row>
    <row r="1839" spans="1:6">
      <c r="A1839" s="5">
        <v>1872</v>
      </c>
      <c r="B1839" s="5" t="s">
        <v>15</v>
      </c>
      <c r="C1839" s="4">
        <v>135</v>
      </c>
      <c r="D1839" s="101">
        <f t="shared" si="50"/>
        <v>132.91666666666666</v>
      </c>
      <c r="F1839" s="90">
        <f t="shared" si="51"/>
        <v>6.2992125984251968E-2</v>
      </c>
    </row>
    <row r="1840" spans="1:6">
      <c r="A1840" s="5">
        <v>1872</v>
      </c>
      <c r="B1840" s="5" t="s">
        <v>16</v>
      </c>
      <c r="C1840" s="4">
        <v>136</v>
      </c>
      <c r="D1840" s="101">
        <f t="shared" si="50"/>
        <v>133.83333333333334</v>
      </c>
      <c r="F1840" s="90">
        <f t="shared" si="51"/>
        <v>8.7999999999999995E-2</v>
      </c>
    </row>
    <row r="1841" spans="1:6">
      <c r="A1841" s="5">
        <v>1872</v>
      </c>
      <c r="B1841" s="5" t="s">
        <v>17</v>
      </c>
      <c r="C1841" s="4">
        <v>137</v>
      </c>
      <c r="D1841" s="101">
        <f t="shared" ref="D1841:D1904" si="52">AVERAGE(C1830:C1841)</f>
        <v>134.58333333333334</v>
      </c>
      <c r="F1841" s="90">
        <f t="shared" si="51"/>
        <v>7.03125E-2</v>
      </c>
    </row>
    <row r="1842" spans="1:6">
      <c r="A1842" s="5">
        <v>1872</v>
      </c>
      <c r="B1842" s="5" t="s">
        <v>18</v>
      </c>
      <c r="C1842" s="4">
        <v>134</v>
      </c>
      <c r="D1842" s="101">
        <f t="shared" si="52"/>
        <v>134.91666666666666</v>
      </c>
      <c r="F1842" s="90">
        <f t="shared" si="51"/>
        <v>3.0769230769230771E-2</v>
      </c>
    </row>
    <row r="1843" spans="1:6">
      <c r="A1843" s="5">
        <v>1872</v>
      </c>
      <c r="B1843" s="5" t="s">
        <v>19</v>
      </c>
      <c r="C1843" s="4">
        <v>138</v>
      </c>
      <c r="D1843" s="101">
        <f t="shared" si="52"/>
        <v>135.58333333333334</v>
      </c>
      <c r="F1843" s="90">
        <f t="shared" si="51"/>
        <v>6.1538461538461542E-2</v>
      </c>
    </row>
    <row r="1844" spans="1:6">
      <c r="A1844" s="5">
        <v>1872</v>
      </c>
      <c r="B1844" s="5" t="s">
        <v>20</v>
      </c>
      <c r="C1844" s="4">
        <v>136</v>
      </c>
      <c r="D1844" s="101">
        <f t="shared" si="52"/>
        <v>135.83333333333334</v>
      </c>
      <c r="E1844" s="4">
        <v>136</v>
      </c>
      <c r="F1844" s="90">
        <f t="shared" si="51"/>
        <v>2.2556390977443608E-2</v>
      </c>
    </row>
    <row r="1845" spans="1:6">
      <c r="A1845" s="5">
        <v>1873</v>
      </c>
      <c r="B1845" s="5" t="s">
        <v>9</v>
      </c>
      <c r="C1845" s="4">
        <v>136</v>
      </c>
      <c r="D1845" s="101">
        <f t="shared" si="52"/>
        <v>136.08333333333334</v>
      </c>
      <c r="F1845" s="90">
        <f t="shared" si="51"/>
        <v>2.2556390977443608E-2</v>
      </c>
    </row>
    <row r="1846" spans="1:6">
      <c r="A1846" s="5">
        <v>1873</v>
      </c>
      <c r="B1846" s="5" t="s">
        <v>10</v>
      </c>
      <c r="C1846" s="4">
        <v>139</v>
      </c>
      <c r="D1846" s="101">
        <f t="shared" si="52"/>
        <v>136.58333333333334</v>
      </c>
      <c r="F1846" s="90">
        <f t="shared" si="51"/>
        <v>4.5112781954887216E-2</v>
      </c>
    </row>
    <row r="1847" spans="1:6">
      <c r="A1847" s="5">
        <v>1873</v>
      </c>
      <c r="B1847" s="5" t="s">
        <v>11</v>
      </c>
      <c r="C1847" s="4">
        <v>139</v>
      </c>
      <c r="D1847" s="101">
        <f t="shared" si="52"/>
        <v>136.91666666666666</v>
      </c>
      <c r="F1847" s="90">
        <f t="shared" si="51"/>
        <v>2.9629629629629631E-2</v>
      </c>
    </row>
    <row r="1848" spans="1:6">
      <c r="A1848" s="5">
        <v>1873</v>
      </c>
      <c r="B1848" s="5" t="s">
        <v>12</v>
      </c>
      <c r="C1848" s="4">
        <v>139</v>
      </c>
      <c r="D1848" s="101">
        <f t="shared" si="52"/>
        <v>137</v>
      </c>
      <c r="F1848" s="90">
        <f t="shared" si="51"/>
        <v>7.246376811594203E-3</v>
      </c>
    </row>
    <row r="1849" spans="1:6">
      <c r="A1849" s="5">
        <v>1873</v>
      </c>
      <c r="B1849" s="5" t="s">
        <v>13</v>
      </c>
      <c r="C1849" s="4">
        <v>136</v>
      </c>
      <c r="D1849" s="101">
        <f t="shared" si="52"/>
        <v>136.83333333333334</v>
      </c>
      <c r="F1849" s="90">
        <f t="shared" si="51"/>
        <v>-1.4492753623188406E-2</v>
      </c>
    </row>
    <row r="1850" spans="1:6">
      <c r="A1850" s="5">
        <v>1873</v>
      </c>
      <c r="B1850" s="5" t="s">
        <v>14</v>
      </c>
      <c r="C1850" s="4">
        <v>132</v>
      </c>
      <c r="D1850" s="101">
        <f t="shared" si="52"/>
        <v>136.41666666666666</v>
      </c>
      <c r="F1850" s="90">
        <f t="shared" si="51"/>
        <v>-3.6496350364963501E-2</v>
      </c>
    </row>
    <row r="1851" spans="1:6">
      <c r="A1851" s="5">
        <v>1873</v>
      </c>
      <c r="B1851" s="5" t="s">
        <v>15</v>
      </c>
      <c r="C1851" s="4">
        <v>132</v>
      </c>
      <c r="D1851" s="101">
        <f t="shared" si="52"/>
        <v>136.16666666666666</v>
      </c>
      <c r="F1851" s="90">
        <f t="shared" si="51"/>
        <v>-2.2222222222222223E-2</v>
      </c>
    </row>
    <row r="1852" spans="1:6">
      <c r="A1852" s="5">
        <v>1873</v>
      </c>
      <c r="B1852" s="5" t="s">
        <v>16</v>
      </c>
      <c r="C1852" s="4">
        <v>132</v>
      </c>
      <c r="D1852" s="101">
        <f t="shared" si="52"/>
        <v>135.83333333333334</v>
      </c>
      <c r="F1852" s="90">
        <f t="shared" si="51"/>
        <v>-2.9411764705882353E-2</v>
      </c>
    </row>
    <row r="1853" spans="1:6">
      <c r="A1853" s="5">
        <v>1873</v>
      </c>
      <c r="B1853" s="5" t="s">
        <v>17</v>
      </c>
      <c r="C1853" s="4">
        <v>132</v>
      </c>
      <c r="D1853" s="101">
        <f t="shared" si="52"/>
        <v>135.41666666666666</v>
      </c>
      <c r="F1853" s="90">
        <f t="shared" si="51"/>
        <v>-3.6496350364963501E-2</v>
      </c>
    </row>
    <row r="1854" spans="1:6">
      <c r="A1854" s="5">
        <v>1873</v>
      </c>
      <c r="B1854" s="5" t="s">
        <v>18</v>
      </c>
      <c r="C1854" s="4">
        <v>129</v>
      </c>
      <c r="D1854" s="101">
        <f t="shared" si="52"/>
        <v>135</v>
      </c>
      <c r="F1854" s="90">
        <f t="shared" si="51"/>
        <v>-3.7313432835820892E-2</v>
      </c>
    </row>
    <row r="1855" spans="1:6">
      <c r="A1855" s="5">
        <v>1873</v>
      </c>
      <c r="B1855" s="5" t="s">
        <v>19</v>
      </c>
      <c r="C1855" s="4">
        <v>125</v>
      </c>
      <c r="D1855" s="101">
        <f t="shared" si="52"/>
        <v>133.91666666666666</v>
      </c>
      <c r="F1855" s="90">
        <f t="shared" si="51"/>
        <v>-9.420289855072464E-2</v>
      </c>
    </row>
    <row r="1856" spans="1:6">
      <c r="A1856" s="5">
        <v>1873</v>
      </c>
      <c r="B1856" s="5" t="s">
        <v>20</v>
      </c>
      <c r="C1856" s="4">
        <v>128</v>
      </c>
      <c r="D1856" s="101">
        <f t="shared" si="52"/>
        <v>133.25</v>
      </c>
      <c r="E1856" s="4">
        <v>133</v>
      </c>
      <c r="F1856" s="90">
        <f t="shared" si="51"/>
        <v>-5.8823529411764705E-2</v>
      </c>
    </row>
    <row r="1857" spans="1:6">
      <c r="A1857" s="5">
        <v>1874</v>
      </c>
      <c r="B1857" s="5" t="s">
        <v>9</v>
      </c>
      <c r="C1857" s="4">
        <v>130</v>
      </c>
      <c r="D1857" s="101">
        <f t="shared" si="52"/>
        <v>132.75</v>
      </c>
      <c r="F1857" s="90">
        <f t="shared" si="51"/>
        <v>-4.4117647058823532E-2</v>
      </c>
    </row>
    <row r="1858" spans="1:6">
      <c r="A1858" s="5">
        <v>1874</v>
      </c>
      <c r="B1858" s="5" t="s">
        <v>10</v>
      </c>
      <c r="C1858" s="4">
        <v>130</v>
      </c>
      <c r="D1858" s="101">
        <f t="shared" si="52"/>
        <v>132</v>
      </c>
      <c r="F1858" s="90">
        <f t="shared" si="51"/>
        <v>-6.4748201438848921E-2</v>
      </c>
    </row>
    <row r="1859" spans="1:6">
      <c r="A1859" s="5">
        <v>1874</v>
      </c>
      <c r="B1859" s="5" t="s">
        <v>11</v>
      </c>
      <c r="C1859" s="4">
        <v>130</v>
      </c>
      <c r="D1859" s="101">
        <f t="shared" si="52"/>
        <v>131.25</v>
      </c>
      <c r="F1859" s="90">
        <f t="shared" si="51"/>
        <v>-6.4748201438848921E-2</v>
      </c>
    </row>
    <row r="1860" spans="1:6">
      <c r="A1860" s="5">
        <v>1874</v>
      </c>
      <c r="B1860" s="5" t="s">
        <v>12</v>
      </c>
      <c r="C1860" s="4">
        <v>128</v>
      </c>
      <c r="D1860" s="101">
        <f t="shared" si="52"/>
        <v>130.33333333333334</v>
      </c>
      <c r="F1860" s="90">
        <f t="shared" si="51"/>
        <v>-7.9136690647482008E-2</v>
      </c>
    </row>
    <row r="1861" spans="1:6">
      <c r="A1861" s="5">
        <v>1874</v>
      </c>
      <c r="B1861" s="5" t="s">
        <v>13</v>
      </c>
      <c r="C1861" s="4">
        <v>127</v>
      </c>
      <c r="D1861" s="101">
        <f t="shared" si="52"/>
        <v>129.58333333333334</v>
      </c>
      <c r="F1861" s="90">
        <f t="shared" si="51"/>
        <v>-6.6176470588235295E-2</v>
      </c>
    </row>
    <row r="1862" spans="1:6">
      <c r="A1862" s="5">
        <v>1874</v>
      </c>
      <c r="B1862" s="5" t="s">
        <v>14</v>
      </c>
      <c r="C1862" s="4">
        <v>124</v>
      </c>
      <c r="D1862" s="101">
        <f t="shared" si="52"/>
        <v>128.91666666666666</v>
      </c>
      <c r="F1862" s="90">
        <f t="shared" si="51"/>
        <v>-6.0606060606060608E-2</v>
      </c>
    </row>
    <row r="1863" spans="1:6">
      <c r="A1863" s="5">
        <v>1874</v>
      </c>
      <c r="B1863" s="5" t="s">
        <v>15</v>
      </c>
      <c r="C1863" s="4">
        <v>125</v>
      </c>
      <c r="D1863" s="101">
        <f t="shared" si="52"/>
        <v>128.33333333333334</v>
      </c>
      <c r="F1863" s="90">
        <f t="shared" si="51"/>
        <v>-5.3030303030303032E-2</v>
      </c>
    </row>
    <row r="1864" spans="1:6">
      <c r="A1864" s="5">
        <v>1874</v>
      </c>
      <c r="B1864" s="5" t="s">
        <v>16</v>
      </c>
      <c r="C1864" s="4">
        <v>124</v>
      </c>
      <c r="D1864" s="101">
        <f t="shared" si="52"/>
        <v>127.66666666666667</v>
      </c>
      <c r="F1864" s="90">
        <f t="shared" si="51"/>
        <v>-6.0606060606060608E-2</v>
      </c>
    </row>
    <row r="1865" spans="1:6">
      <c r="A1865" s="5">
        <v>1874</v>
      </c>
      <c r="B1865" s="5" t="s">
        <v>17</v>
      </c>
      <c r="C1865" s="4">
        <v>124</v>
      </c>
      <c r="D1865" s="101">
        <f t="shared" si="52"/>
        <v>127</v>
      </c>
      <c r="F1865" s="90">
        <f t="shared" si="51"/>
        <v>-6.0606060606060608E-2</v>
      </c>
    </row>
    <row r="1866" spans="1:6">
      <c r="A1866" s="5">
        <v>1874</v>
      </c>
      <c r="B1866" s="5" t="s">
        <v>18</v>
      </c>
      <c r="C1866" s="4">
        <v>122</v>
      </c>
      <c r="D1866" s="101">
        <f t="shared" si="52"/>
        <v>126.41666666666667</v>
      </c>
      <c r="F1866" s="90">
        <f t="shared" si="51"/>
        <v>-5.4263565891472867E-2</v>
      </c>
    </row>
    <row r="1867" spans="1:6">
      <c r="A1867" s="5">
        <v>1874</v>
      </c>
      <c r="B1867" s="5" t="s">
        <v>19</v>
      </c>
      <c r="C1867" s="4">
        <v>121</v>
      </c>
      <c r="D1867" s="101">
        <f t="shared" si="52"/>
        <v>126.08333333333333</v>
      </c>
      <c r="F1867" s="90">
        <f t="shared" si="51"/>
        <v>-3.2000000000000001E-2</v>
      </c>
    </row>
    <row r="1868" spans="1:6">
      <c r="A1868" s="5">
        <v>1874</v>
      </c>
      <c r="B1868" s="5" t="s">
        <v>20</v>
      </c>
      <c r="C1868" s="4">
        <v>121</v>
      </c>
      <c r="D1868" s="101">
        <f t="shared" si="52"/>
        <v>125.5</v>
      </c>
      <c r="E1868" s="4">
        <v>126</v>
      </c>
      <c r="F1868" s="90">
        <f t="shared" si="51"/>
        <v>-5.46875E-2</v>
      </c>
    </row>
    <row r="1869" spans="1:6">
      <c r="A1869" s="5">
        <v>1875</v>
      </c>
      <c r="B1869" s="5" t="s">
        <v>9</v>
      </c>
      <c r="C1869" s="4">
        <v>121</v>
      </c>
      <c r="D1869" s="101">
        <f t="shared" si="52"/>
        <v>124.75</v>
      </c>
      <c r="F1869" s="90">
        <f t="shared" si="51"/>
        <v>-6.9230769230769235E-2</v>
      </c>
    </row>
    <row r="1870" spans="1:6">
      <c r="A1870" s="5">
        <v>1875</v>
      </c>
      <c r="B1870" s="5" t="s">
        <v>10</v>
      </c>
      <c r="C1870" s="4">
        <v>121</v>
      </c>
      <c r="D1870" s="101">
        <f t="shared" si="52"/>
        <v>124</v>
      </c>
      <c r="F1870" s="90">
        <f t="shared" si="51"/>
        <v>-6.9230769230769235E-2</v>
      </c>
    </row>
    <row r="1871" spans="1:6">
      <c r="A1871" s="5">
        <v>1875</v>
      </c>
      <c r="B1871" s="5" t="s">
        <v>11</v>
      </c>
      <c r="C1871" s="4">
        <v>121</v>
      </c>
      <c r="D1871" s="101">
        <f t="shared" si="52"/>
        <v>123.25</v>
      </c>
      <c r="F1871" s="90">
        <f t="shared" si="51"/>
        <v>-6.9230769230769235E-2</v>
      </c>
    </row>
    <row r="1872" spans="1:6">
      <c r="A1872" s="5">
        <v>1875</v>
      </c>
      <c r="B1872" s="5" t="s">
        <v>12</v>
      </c>
      <c r="C1872" s="4">
        <v>122</v>
      </c>
      <c r="D1872" s="101">
        <f t="shared" si="52"/>
        <v>122.75</v>
      </c>
      <c r="F1872" s="90">
        <f t="shared" si="51"/>
        <v>-4.6875E-2</v>
      </c>
    </row>
    <row r="1873" spans="1:6">
      <c r="A1873" s="5">
        <v>1875</v>
      </c>
      <c r="B1873" s="5" t="s">
        <v>13</v>
      </c>
      <c r="C1873" s="4">
        <v>119</v>
      </c>
      <c r="D1873" s="101">
        <f t="shared" si="52"/>
        <v>122.08333333333333</v>
      </c>
      <c r="F1873" s="90">
        <f t="shared" si="51"/>
        <v>-6.2992125984251968E-2</v>
      </c>
    </row>
    <row r="1874" spans="1:6">
      <c r="A1874" s="5">
        <v>1875</v>
      </c>
      <c r="B1874" s="5" t="s">
        <v>14</v>
      </c>
      <c r="C1874" s="4">
        <v>117</v>
      </c>
      <c r="D1874" s="101">
        <f t="shared" si="52"/>
        <v>121.5</v>
      </c>
      <c r="F1874" s="90">
        <f t="shared" si="51"/>
        <v>-5.6451612903225805E-2</v>
      </c>
    </row>
    <row r="1875" spans="1:6">
      <c r="A1875" s="5">
        <v>1875</v>
      </c>
      <c r="B1875" s="5" t="s">
        <v>15</v>
      </c>
      <c r="C1875" s="4">
        <v>117</v>
      </c>
      <c r="D1875" s="101">
        <f t="shared" si="52"/>
        <v>120.83333333333333</v>
      </c>
      <c r="F1875" s="90">
        <f t="shared" si="51"/>
        <v>-6.4000000000000001E-2</v>
      </c>
    </row>
    <row r="1876" spans="1:6">
      <c r="A1876" s="5">
        <v>1875</v>
      </c>
      <c r="B1876" s="5" t="s">
        <v>16</v>
      </c>
      <c r="C1876" s="4">
        <v>118</v>
      </c>
      <c r="D1876" s="101">
        <f t="shared" si="52"/>
        <v>120.33333333333333</v>
      </c>
      <c r="F1876" s="90">
        <f t="shared" si="51"/>
        <v>-4.8387096774193547E-2</v>
      </c>
    </row>
    <row r="1877" spans="1:6">
      <c r="A1877" s="5">
        <v>1875</v>
      </c>
      <c r="B1877" s="5" t="s">
        <v>17</v>
      </c>
      <c r="C1877" s="4">
        <v>117</v>
      </c>
      <c r="D1877" s="101">
        <f t="shared" si="52"/>
        <v>119.75</v>
      </c>
      <c r="F1877" s="90">
        <f t="shared" ref="F1877:F1940" si="53">(C1877-C1865)/C1865</f>
        <v>-5.6451612903225805E-2</v>
      </c>
    </row>
    <row r="1878" spans="1:6">
      <c r="A1878" s="5">
        <v>1875</v>
      </c>
      <c r="B1878" s="5" t="s">
        <v>18</v>
      </c>
      <c r="C1878" s="4">
        <v>117</v>
      </c>
      <c r="D1878" s="101">
        <f t="shared" si="52"/>
        <v>119.33333333333333</v>
      </c>
      <c r="F1878" s="90">
        <f t="shared" si="53"/>
        <v>-4.0983606557377046E-2</v>
      </c>
    </row>
    <row r="1879" spans="1:6">
      <c r="A1879" s="5">
        <v>1875</v>
      </c>
      <c r="B1879" s="5" t="s">
        <v>19</v>
      </c>
      <c r="C1879" s="4">
        <v>116</v>
      </c>
      <c r="D1879" s="101">
        <f t="shared" si="52"/>
        <v>118.91666666666667</v>
      </c>
      <c r="F1879" s="90">
        <f t="shared" si="53"/>
        <v>-4.1322314049586778E-2</v>
      </c>
    </row>
    <row r="1880" spans="1:6">
      <c r="A1880" s="5">
        <v>1875</v>
      </c>
      <c r="B1880" s="5" t="s">
        <v>20</v>
      </c>
      <c r="C1880" s="4">
        <v>115</v>
      </c>
      <c r="D1880" s="101">
        <f t="shared" si="52"/>
        <v>118.41666666666667</v>
      </c>
      <c r="E1880" s="4">
        <v>118</v>
      </c>
      <c r="F1880" s="90">
        <f t="shared" si="53"/>
        <v>-4.9586776859504134E-2</v>
      </c>
    </row>
    <row r="1881" spans="1:6">
      <c r="A1881" s="5">
        <v>1876</v>
      </c>
      <c r="B1881" s="5" t="s">
        <v>9</v>
      </c>
      <c r="C1881" s="4">
        <v>114</v>
      </c>
      <c r="D1881" s="101">
        <f t="shared" si="52"/>
        <v>117.83333333333333</v>
      </c>
      <c r="F1881" s="90">
        <f t="shared" si="53"/>
        <v>-5.7851239669421489E-2</v>
      </c>
    </row>
    <row r="1882" spans="1:6">
      <c r="A1882" s="5">
        <v>1876</v>
      </c>
      <c r="B1882" s="5" t="s">
        <v>10</v>
      </c>
      <c r="C1882" s="4">
        <v>114</v>
      </c>
      <c r="D1882" s="101">
        <f t="shared" si="52"/>
        <v>117.25</v>
      </c>
      <c r="F1882" s="90">
        <f t="shared" si="53"/>
        <v>-5.7851239669421489E-2</v>
      </c>
    </row>
    <row r="1883" spans="1:6">
      <c r="A1883" s="5">
        <v>1876</v>
      </c>
      <c r="B1883" s="5" t="s">
        <v>11</v>
      </c>
      <c r="C1883" s="4">
        <v>114</v>
      </c>
      <c r="D1883" s="101">
        <f t="shared" si="52"/>
        <v>116.66666666666667</v>
      </c>
      <c r="F1883" s="90">
        <f t="shared" si="53"/>
        <v>-5.7851239669421489E-2</v>
      </c>
    </row>
    <row r="1884" spans="1:6">
      <c r="A1884" s="5">
        <v>1876</v>
      </c>
      <c r="B1884" s="5" t="s">
        <v>12</v>
      </c>
      <c r="C1884" s="4">
        <v>113</v>
      </c>
      <c r="D1884" s="101">
        <f t="shared" si="52"/>
        <v>115.91666666666667</v>
      </c>
      <c r="F1884" s="90">
        <f t="shared" si="53"/>
        <v>-7.3770491803278687E-2</v>
      </c>
    </row>
    <row r="1885" spans="1:6">
      <c r="A1885" s="5">
        <v>1876</v>
      </c>
      <c r="B1885" s="5" t="s">
        <v>13</v>
      </c>
      <c r="C1885" s="4">
        <v>109</v>
      </c>
      <c r="D1885" s="101">
        <f t="shared" si="52"/>
        <v>115.08333333333333</v>
      </c>
      <c r="F1885" s="90">
        <f t="shared" si="53"/>
        <v>-8.4033613445378158E-2</v>
      </c>
    </row>
    <row r="1886" spans="1:6">
      <c r="A1886" s="5">
        <v>1876</v>
      </c>
      <c r="B1886" s="5" t="s">
        <v>14</v>
      </c>
      <c r="C1886" s="4">
        <v>106</v>
      </c>
      <c r="D1886" s="101">
        <f t="shared" si="52"/>
        <v>114.16666666666667</v>
      </c>
      <c r="F1886" s="90">
        <f t="shared" si="53"/>
        <v>-9.4017094017094016E-2</v>
      </c>
    </row>
    <row r="1887" spans="1:6">
      <c r="A1887" s="5">
        <v>1876</v>
      </c>
      <c r="B1887" s="5" t="s">
        <v>15</v>
      </c>
      <c r="C1887" s="4">
        <v>106</v>
      </c>
      <c r="D1887" s="101">
        <f t="shared" si="52"/>
        <v>113.25</v>
      </c>
      <c r="F1887" s="90">
        <f t="shared" si="53"/>
        <v>-9.4017094017094016E-2</v>
      </c>
    </row>
    <row r="1888" spans="1:6">
      <c r="A1888" s="5">
        <v>1876</v>
      </c>
      <c r="B1888" s="5" t="s">
        <v>16</v>
      </c>
      <c r="C1888" s="4">
        <v>107</v>
      </c>
      <c r="D1888" s="101">
        <f t="shared" si="52"/>
        <v>112.33333333333333</v>
      </c>
      <c r="F1888" s="90">
        <f t="shared" si="53"/>
        <v>-9.3220338983050849E-2</v>
      </c>
    </row>
    <row r="1889" spans="1:6">
      <c r="A1889" s="5">
        <v>1876</v>
      </c>
      <c r="B1889" s="5" t="s">
        <v>17</v>
      </c>
      <c r="C1889" s="4">
        <v>108</v>
      </c>
      <c r="D1889" s="101">
        <f t="shared" si="52"/>
        <v>111.58333333333333</v>
      </c>
      <c r="F1889" s="90">
        <f t="shared" si="53"/>
        <v>-7.6923076923076927E-2</v>
      </c>
    </row>
    <row r="1890" spans="1:6">
      <c r="A1890" s="5">
        <v>1876</v>
      </c>
      <c r="B1890" s="5" t="s">
        <v>18</v>
      </c>
      <c r="C1890" s="4">
        <v>110</v>
      </c>
      <c r="D1890" s="101">
        <f t="shared" si="52"/>
        <v>111</v>
      </c>
      <c r="F1890" s="90">
        <f t="shared" si="53"/>
        <v>-5.9829059829059832E-2</v>
      </c>
    </row>
    <row r="1891" spans="1:6">
      <c r="A1891" s="5">
        <v>1876</v>
      </c>
      <c r="B1891" s="5" t="s">
        <v>19</v>
      </c>
      <c r="C1891" s="4">
        <v>111</v>
      </c>
      <c r="D1891" s="101">
        <f t="shared" si="52"/>
        <v>110.58333333333333</v>
      </c>
      <c r="F1891" s="90">
        <f t="shared" si="53"/>
        <v>-4.3103448275862072E-2</v>
      </c>
    </row>
    <row r="1892" spans="1:6">
      <c r="A1892" s="5">
        <v>1876</v>
      </c>
      <c r="B1892" s="5" t="s">
        <v>20</v>
      </c>
      <c r="C1892" s="4">
        <v>113</v>
      </c>
      <c r="D1892" s="101">
        <f t="shared" si="52"/>
        <v>110.41666666666667</v>
      </c>
      <c r="E1892" s="4">
        <v>110</v>
      </c>
      <c r="F1892" s="90">
        <f t="shared" si="53"/>
        <v>-1.7391304347826087E-2</v>
      </c>
    </row>
    <row r="1893" spans="1:6">
      <c r="A1893" s="5">
        <v>1877</v>
      </c>
      <c r="B1893" s="5" t="s">
        <v>9</v>
      </c>
      <c r="C1893" s="4">
        <v>115</v>
      </c>
      <c r="D1893" s="101">
        <f t="shared" si="52"/>
        <v>110.5</v>
      </c>
      <c r="F1893" s="90">
        <f t="shared" si="53"/>
        <v>8.771929824561403E-3</v>
      </c>
    </row>
    <row r="1894" spans="1:6">
      <c r="A1894" s="5">
        <v>1877</v>
      </c>
      <c r="B1894" s="5" t="s">
        <v>10</v>
      </c>
      <c r="C1894" s="4">
        <v>112</v>
      </c>
      <c r="D1894" s="101">
        <f t="shared" si="52"/>
        <v>110.33333333333333</v>
      </c>
      <c r="F1894" s="90">
        <f t="shared" si="53"/>
        <v>-1.7543859649122806E-2</v>
      </c>
    </row>
    <row r="1895" spans="1:6">
      <c r="A1895" s="5">
        <v>1877</v>
      </c>
      <c r="B1895" s="5" t="s">
        <v>11</v>
      </c>
      <c r="C1895" s="4">
        <v>107</v>
      </c>
      <c r="D1895" s="101">
        <f t="shared" si="52"/>
        <v>109.75</v>
      </c>
      <c r="F1895" s="90">
        <f t="shared" si="53"/>
        <v>-6.1403508771929821E-2</v>
      </c>
    </row>
    <row r="1896" spans="1:6">
      <c r="A1896" s="5">
        <v>1877</v>
      </c>
      <c r="B1896" s="5" t="s">
        <v>12</v>
      </c>
      <c r="C1896" s="4">
        <v>110</v>
      </c>
      <c r="D1896" s="101">
        <f t="shared" si="52"/>
        <v>109.5</v>
      </c>
      <c r="F1896" s="90">
        <f t="shared" si="53"/>
        <v>-2.6548672566371681E-2</v>
      </c>
    </row>
    <row r="1897" spans="1:6">
      <c r="A1897" s="5">
        <v>1877</v>
      </c>
      <c r="B1897" s="5" t="s">
        <v>13</v>
      </c>
      <c r="C1897" s="4">
        <v>112</v>
      </c>
      <c r="D1897" s="101">
        <f t="shared" si="52"/>
        <v>109.75</v>
      </c>
      <c r="F1897" s="90">
        <f t="shared" si="53"/>
        <v>2.7522935779816515E-2</v>
      </c>
    </row>
    <row r="1898" spans="1:6">
      <c r="A1898" s="5">
        <v>1877</v>
      </c>
      <c r="B1898" s="5" t="s">
        <v>14</v>
      </c>
      <c r="C1898" s="4">
        <v>106</v>
      </c>
      <c r="D1898" s="101">
        <f t="shared" si="52"/>
        <v>109.75</v>
      </c>
      <c r="F1898" s="90">
        <f t="shared" si="53"/>
        <v>0</v>
      </c>
    </row>
    <row r="1899" spans="1:6">
      <c r="A1899" s="5">
        <v>1877</v>
      </c>
      <c r="B1899" s="5" t="s">
        <v>15</v>
      </c>
      <c r="C1899" s="4">
        <v>107</v>
      </c>
      <c r="D1899" s="101">
        <f t="shared" si="52"/>
        <v>109.83333333333333</v>
      </c>
      <c r="F1899" s="90">
        <f t="shared" si="53"/>
        <v>9.433962264150943E-3</v>
      </c>
    </row>
    <row r="1900" spans="1:6">
      <c r="A1900" s="5">
        <v>1877</v>
      </c>
      <c r="B1900" s="5" t="s">
        <v>16</v>
      </c>
      <c r="C1900" s="4">
        <v>103</v>
      </c>
      <c r="D1900" s="101">
        <f t="shared" si="52"/>
        <v>109.5</v>
      </c>
      <c r="F1900" s="90">
        <f t="shared" si="53"/>
        <v>-3.7383177570093455E-2</v>
      </c>
    </row>
    <row r="1901" spans="1:6">
      <c r="A1901" s="5">
        <v>1877</v>
      </c>
      <c r="B1901" s="5" t="s">
        <v>17</v>
      </c>
      <c r="C1901" s="4">
        <v>102</v>
      </c>
      <c r="D1901" s="101">
        <f t="shared" si="52"/>
        <v>109</v>
      </c>
      <c r="F1901" s="90">
        <f t="shared" si="53"/>
        <v>-5.5555555555555552E-2</v>
      </c>
    </row>
    <row r="1902" spans="1:6">
      <c r="A1902" s="5">
        <v>1877</v>
      </c>
      <c r="B1902" s="5" t="s">
        <v>18</v>
      </c>
      <c r="C1902" s="4">
        <v>102</v>
      </c>
      <c r="D1902" s="101">
        <f t="shared" si="52"/>
        <v>108.33333333333333</v>
      </c>
      <c r="F1902" s="90">
        <f t="shared" si="53"/>
        <v>-7.2727272727272724E-2</v>
      </c>
    </row>
    <row r="1903" spans="1:6">
      <c r="A1903" s="5">
        <v>1877</v>
      </c>
      <c r="B1903" s="5" t="s">
        <v>19</v>
      </c>
      <c r="C1903" s="4">
        <v>100</v>
      </c>
      <c r="D1903" s="101">
        <f t="shared" si="52"/>
        <v>107.41666666666667</v>
      </c>
      <c r="F1903" s="90">
        <f t="shared" si="53"/>
        <v>-9.90990990990991E-2</v>
      </c>
    </row>
    <row r="1904" spans="1:6">
      <c r="A1904" s="5">
        <v>1877</v>
      </c>
      <c r="B1904" s="5" t="s">
        <v>20</v>
      </c>
      <c r="C1904" s="4">
        <v>100</v>
      </c>
      <c r="D1904" s="101">
        <f t="shared" si="52"/>
        <v>106.33333333333333</v>
      </c>
      <c r="E1904" s="4">
        <v>106</v>
      </c>
      <c r="F1904" s="90">
        <f t="shared" si="53"/>
        <v>-0.11504424778761062</v>
      </c>
    </row>
    <row r="1905" spans="1:6">
      <c r="A1905" s="5">
        <v>1878</v>
      </c>
      <c r="B1905" s="5" t="s">
        <v>9</v>
      </c>
      <c r="C1905" s="4">
        <v>97</v>
      </c>
      <c r="D1905" s="101">
        <f t="shared" ref="D1905:D1968" si="54">AVERAGE(C1894:C1905)</f>
        <v>104.83333333333333</v>
      </c>
      <c r="F1905" s="90">
        <f t="shared" si="53"/>
        <v>-0.15652173913043479</v>
      </c>
    </row>
    <row r="1906" spans="1:6">
      <c r="A1906" s="5">
        <v>1878</v>
      </c>
      <c r="B1906" s="5" t="s">
        <v>10</v>
      </c>
      <c r="C1906" s="4">
        <v>96</v>
      </c>
      <c r="D1906" s="101">
        <f t="shared" si="54"/>
        <v>103.5</v>
      </c>
      <c r="F1906" s="90">
        <f t="shared" si="53"/>
        <v>-0.14285714285714285</v>
      </c>
    </row>
    <row r="1907" spans="1:6">
      <c r="A1907" s="5">
        <v>1878</v>
      </c>
      <c r="B1907" s="5" t="s">
        <v>11</v>
      </c>
      <c r="C1907" s="4">
        <v>94</v>
      </c>
      <c r="D1907" s="101">
        <f t="shared" si="54"/>
        <v>102.41666666666667</v>
      </c>
      <c r="F1907" s="90">
        <f t="shared" si="53"/>
        <v>-0.12149532710280374</v>
      </c>
    </row>
    <row r="1908" spans="1:6">
      <c r="A1908" s="5">
        <v>1878</v>
      </c>
      <c r="B1908" s="5" t="s">
        <v>12</v>
      </c>
      <c r="C1908" s="4">
        <v>93</v>
      </c>
      <c r="D1908" s="101">
        <f t="shared" si="54"/>
        <v>101</v>
      </c>
      <c r="F1908" s="90">
        <f t="shared" si="53"/>
        <v>-0.15454545454545454</v>
      </c>
    </row>
    <row r="1909" spans="1:6">
      <c r="A1909" s="5">
        <v>1878</v>
      </c>
      <c r="B1909" s="5" t="s">
        <v>13</v>
      </c>
      <c r="C1909" s="4">
        <v>90</v>
      </c>
      <c r="D1909" s="101">
        <f t="shared" si="54"/>
        <v>99.166666666666671</v>
      </c>
      <c r="F1909" s="90">
        <f t="shared" si="53"/>
        <v>-0.19642857142857142</v>
      </c>
    </row>
    <row r="1910" spans="1:6">
      <c r="A1910" s="5">
        <v>1878</v>
      </c>
      <c r="B1910" s="5" t="s">
        <v>14</v>
      </c>
      <c r="C1910" s="4">
        <v>88</v>
      </c>
      <c r="D1910" s="101">
        <f t="shared" si="54"/>
        <v>97.666666666666671</v>
      </c>
      <c r="F1910" s="90">
        <f t="shared" si="53"/>
        <v>-0.16981132075471697</v>
      </c>
    </row>
    <row r="1911" spans="1:6">
      <c r="A1911" s="5">
        <v>1878</v>
      </c>
      <c r="B1911" s="5" t="s">
        <v>15</v>
      </c>
      <c r="C1911" s="4">
        <v>89</v>
      </c>
      <c r="D1911" s="101">
        <f t="shared" si="54"/>
        <v>96.166666666666671</v>
      </c>
      <c r="F1911" s="90">
        <f t="shared" si="53"/>
        <v>-0.16822429906542055</v>
      </c>
    </row>
    <row r="1912" spans="1:6">
      <c r="A1912" s="5">
        <v>1878</v>
      </c>
      <c r="B1912" s="5" t="s">
        <v>16</v>
      </c>
      <c r="C1912" s="4">
        <v>90</v>
      </c>
      <c r="D1912" s="101">
        <f t="shared" si="54"/>
        <v>95.083333333333329</v>
      </c>
      <c r="F1912" s="90">
        <f t="shared" si="53"/>
        <v>-0.12621359223300971</v>
      </c>
    </row>
    <row r="1913" spans="1:6">
      <c r="A1913" s="5">
        <v>1878</v>
      </c>
      <c r="B1913" s="5" t="s">
        <v>17</v>
      </c>
      <c r="C1913" s="4">
        <v>90</v>
      </c>
      <c r="D1913" s="101">
        <f t="shared" si="54"/>
        <v>94.083333333333329</v>
      </c>
      <c r="F1913" s="90">
        <f t="shared" si="53"/>
        <v>-0.11764705882352941</v>
      </c>
    </row>
    <row r="1914" spans="1:6">
      <c r="A1914" s="5">
        <v>1878</v>
      </c>
      <c r="B1914" s="5" t="s">
        <v>18</v>
      </c>
      <c r="C1914" s="4">
        <v>89</v>
      </c>
      <c r="D1914" s="101">
        <f t="shared" si="54"/>
        <v>93</v>
      </c>
      <c r="F1914" s="90">
        <f t="shared" si="53"/>
        <v>-0.12745098039215685</v>
      </c>
    </row>
    <row r="1915" spans="1:6">
      <c r="A1915" s="5">
        <v>1878</v>
      </c>
      <c r="B1915" s="5" t="s">
        <v>19</v>
      </c>
      <c r="C1915" s="4">
        <v>88</v>
      </c>
      <c r="D1915" s="101">
        <f t="shared" si="54"/>
        <v>92</v>
      </c>
      <c r="F1915" s="90">
        <f t="shared" si="53"/>
        <v>-0.12</v>
      </c>
    </row>
    <row r="1916" spans="1:6">
      <c r="A1916" s="5">
        <v>1878</v>
      </c>
      <c r="B1916" s="5" t="s">
        <v>20</v>
      </c>
      <c r="C1916" s="4">
        <v>86</v>
      </c>
      <c r="D1916" s="101">
        <f t="shared" si="54"/>
        <v>90.833333333333329</v>
      </c>
      <c r="E1916" s="4">
        <v>91</v>
      </c>
      <c r="F1916" s="90">
        <f t="shared" si="53"/>
        <v>-0.14000000000000001</v>
      </c>
    </row>
    <row r="1917" spans="1:6">
      <c r="A1917" s="5">
        <v>1879</v>
      </c>
      <c r="B1917" s="5" t="s">
        <v>9</v>
      </c>
      <c r="C1917" s="4">
        <v>87</v>
      </c>
      <c r="D1917" s="101">
        <f t="shared" si="54"/>
        <v>90</v>
      </c>
      <c r="F1917" s="90">
        <f t="shared" si="53"/>
        <v>-0.10309278350515463</v>
      </c>
    </row>
    <row r="1918" spans="1:6">
      <c r="A1918" s="5">
        <v>1879</v>
      </c>
      <c r="B1918" s="5" t="s">
        <v>10</v>
      </c>
      <c r="C1918" s="4">
        <v>88</v>
      </c>
      <c r="D1918" s="101">
        <f t="shared" si="54"/>
        <v>89.333333333333329</v>
      </c>
      <c r="F1918" s="90">
        <f t="shared" si="53"/>
        <v>-8.3333333333333329E-2</v>
      </c>
    </row>
    <row r="1919" spans="1:6">
      <c r="A1919" s="5">
        <v>1879</v>
      </c>
      <c r="B1919" s="5" t="s">
        <v>11</v>
      </c>
      <c r="C1919" s="4">
        <v>87</v>
      </c>
      <c r="D1919" s="101">
        <f t="shared" si="54"/>
        <v>88.75</v>
      </c>
      <c r="F1919" s="90">
        <f t="shared" si="53"/>
        <v>-7.4468085106382975E-2</v>
      </c>
    </row>
    <row r="1920" spans="1:6">
      <c r="A1920" s="5">
        <v>1879</v>
      </c>
      <c r="B1920" s="5" t="s">
        <v>12</v>
      </c>
      <c r="C1920" s="4">
        <v>86</v>
      </c>
      <c r="D1920" s="101">
        <f t="shared" si="54"/>
        <v>88.166666666666671</v>
      </c>
      <c r="F1920" s="90">
        <f t="shared" si="53"/>
        <v>-7.5268817204301078E-2</v>
      </c>
    </row>
    <row r="1921" spans="1:6">
      <c r="A1921" s="5">
        <v>1879</v>
      </c>
      <c r="B1921" s="5" t="s">
        <v>13</v>
      </c>
      <c r="C1921" s="4">
        <v>86</v>
      </c>
      <c r="D1921" s="101">
        <f t="shared" si="54"/>
        <v>87.833333333333329</v>
      </c>
      <c r="F1921" s="90">
        <f t="shared" si="53"/>
        <v>-4.4444444444444446E-2</v>
      </c>
    </row>
    <row r="1922" spans="1:6">
      <c r="A1922" s="5">
        <v>1879</v>
      </c>
      <c r="B1922" s="5" t="s">
        <v>14</v>
      </c>
      <c r="C1922" s="4">
        <v>85</v>
      </c>
      <c r="D1922" s="101">
        <f t="shared" si="54"/>
        <v>87.583333333333329</v>
      </c>
      <c r="F1922" s="90">
        <f t="shared" si="53"/>
        <v>-3.4090909090909088E-2</v>
      </c>
    </row>
    <row r="1923" spans="1:6">
      <c r="A1923" s="5">
        <v>1879</v>
      </c>
      <c r="B1923" s="5" t="s">
        <v>15</v>
      </c>
      <c r="C1923" s="4">
        <v>86</v>
      </c>
      <c r="D1923" s="101">
        <f t="shared" si="54"/>
        <v>87.333333333333329</v>
      </c>
      <c r="F1923" s="90">
        <f t="shared" si="53"/>
        <v>-3.3707865168539325E-2</v>
      </c>
    </row>
    <row r="1924" spans="1:6">
      <c r="A1924" s="5">
        <v>1879</v>
      </c>
      <c r="B1924" s="5" t="s">
        <v>16</v>
      </c>
      <c r="C1924" s="4">
        <v>86</v>
      </c>
      <c r="D1924" s="101">
        <f t="shared" si="54"/>
        <v>87</v>
      </c>
      <c r="F1924" s="90">
        <f t="shared" si="53"/>
        <v>-4.4444444444444446E-2</v>
      </c>
    </row>
    <row r="1925" spans="1:6">
      <c r="A1925" s="5">
        <v>1879</v>
      </c>
      <c r="B1925" s="5" t="s">
        <v>17</v>
      </c>
      <c r="C1925" s="4">
        <v>89</v>
      </c>
      <c r="D1925" s="101">
        <f t="shared" si="54"/>
        <v>86.916666666666671</v>
      </c>
      <c r="F1925" s="90">
        <f t="shared" si="53"/>
        <v>-1.1111111111111112E-2</v>
      </c>
    </row>
    <row r="1926" spans="1:6">
      <c r="A1926" s="5">
        <v>1879</v>
      </c>
      <c r="B1926" s="5" t="s">
        <v>18</v>
      </c>
      <c r="C1926" s="4">
        <v>94</v>
      </c>
      <c r="D1926" s="101">
        <f t="shared" si="54"/>
        <v>87.333333333333329</v>
      </c>
      <c r="F1926" s="90">
        <f t="shared" si="53"/>
        <v>5.6179775280898875E-2</v>
      </c>
    </row>
    <row r="1927" spans="1:6">
      <c r="A1927" s="5">
        <v>1879</v>
      </c>
      <c r="B1927" s="5" t="s">
        <v>19</v>
      </c>
      <c r="C1927" s="4">
        <v>99</v>
      </c>
      <c r="D1927" s="101">
        <f t="shared" si="54"/>
        <v>88.25</v>
      </c>
      <c r="F1927" s="90">
        <f t="shared" si="53"/>
        <v>0.125</v>
      </c>
    </row>
    <row r="1928" spans="1:6">
      <c r="A1928" s="5">
        <v>1879</v>
      </c>
      <c r="B1928" s="5" t="s">
        <v>20</v>
      </c>
      <c r="C1928" s="4">
        <v>102</v>
      </c>
      <c r="D1928" s="101">
        <f t="shared" si="54"/>
        <v>89.583333333333329</v>
      </c>
      <c r="E1928" s="4">
        <v>90</v>
      </c>
      <c r="F1928" s="90">
        <f t="shared" si="53"/>
        <v>0.18604651162790697</v>
      </c>
    </row>
    <row r="1929" spans="1:6">
      <c r="A1929" s="5">
        <v>1880</v>
      </c>
      <c r="B1929" s="5" t="s">
        <v>9</v>
      </c>
      <c r="C1929" s="4">
        <v>105</v>
      </c>
      <c r="D1929" s="101">
        <f t="shared" si="54"/>
        <v>91.083333333333329</v>
      </c>
      <c r="F1929" s="90">
        <f t="shared" si="53"/>
        <v>0.20689655172413793</v>
      </c>
    </row>
    <row r="1930" spans="1:6">
      <c r="A1930" s="5">
        <v>1880</v>
      </c>
      <c r="B1930" s="5" t="s">
        <v>10</v>
      </c>
      <c r="C1930" s="4">
        <v>105</v>
      </c>
      <c r="D1930" s="101">
        <f t="shared" si="54"/>
        <v>92.5</v>
      </c>
      <c r="F1930" s="90">
        <f t="shared" si="53"/>
        <v>0.19318181818181818</v>
      </c>
    </row>
    <row r="1931" spans="1:6">
      <c r="A1931" s="5">
        <v>1880</v>
      </c>
      <c r="B1931" s="5" t="s">
        <v>11</v>
      </c>
      <c r="C1931" s="4">
        <v>106</v>
      </c>
      <c r="D1931" s="101">
        <f t="shared" si="54"/>
        <v>94.083333333333329</v>
      </c>
      <c r="F1931" s="90">
        <f t="shared" si="53"/>
        <v>0.21839080459770116</v>
      </c>
    </row>
    <row r="1932" spans="1:6">
      <c r="A1932" s="5">
        <v>1880</v>
      </c>
      <c r="B1932" s="5" t="s">
        <v>12</v>
      </c>
      <c r="C1932" s="4">
        <v>102</v>
      </c>
      <c r="D1932" s="101">
        <f t="shared" si="54"/>
        <v>95.416666666666671</v>
      </c>
      <c r="F1932" s="90">
        <f t="shared" si="53"/>
        <v>0.18604651162790697</v>
      </c>
    </row>
    <row r="1933" spans="1:6">
      <c r="A1933" s="5">
        <v>1880</v>
      </c>
      <c r="B1933" s="5" t="s">
        <v>13</v>
      </c>
      <c r="C1933" s="4">
        <v>99</v>
      </c>
      <c r="D1933" s="101">
        <f t="shared" si="54"/>
        <v>96.5</v>
      </c>
      <c r="F1933" s="90">
        <f t="shared" si="53"/>
        <v>0.15116279069767441</v>
      </c>
    </row>
    <row r="1934" spans="1:6">
      <c r="A1934" s="5">
        <v>1880</v>
      </c>
      <c r="B1934" s="5" t="s">
        <v>14</v>
      </c>
      <c r="C1934" s="4">
        <v>97</v>
      </c>
      <c r="D1934" s="101">
        <f t="shared" si="54"/>
        <v>97.5</v>
      </c>
      <c r="F1934" s="90">
        <f t="shared" si="53"/>
        <v>0.14117647058823529</v>
      </c>
    </row>
    <row r="1935" spans="1:6">
      <c r="A1935" s="5">
        <v>1880</v>
      </c>
      <c r="B1935" s="5" t="s">
        <v>15</v>
      </c>
      <c r="C1935" s="4">
        <v>97</v>
      </c>
      <c r="D1935" s="101">
        <f t="shared" si="54"/>
        <v>98.416666666666671</v>
      </c>
      <c r="F1935" s="90">
        <f t="shared" si="53"/>
        <v>0.12790697674418605</v>
      </c>
    </row>
    <row r="1936" spans="1:6">
      <c r="A1936" s="5">
        <v>1880</v>
      </c>
      <c r="B1936" s="5" t="s">
        <v>16</v>
      </c>
      <c r="C1936" s="4">
        <v>97</v>
      </c>
      <c r="D1936" s="101">
        <f t="shared" si="54"/>
        <v>99.333333333333329</v>
      </c>
      <c r="F1936" s="90">
        <f t="shared" si="53"/>
        <v>0.12790697674418605</v>
      </c>
    </row>
    <row r="1937" spans="1:6">
      <c r="A1937" s="5">
        <v>1880</v>
      </c>
      <c r="B1937" s="5" t="s">
        <v>17</v>
      </c>
      <c r="C1937" s="4">
        <v>98</v>
      </c>
      <c r="D1937" s="101">
        <f t="shared" si="54"/>
        <v>100.08333333333333</v>
      </c>
      <c r="F1937" s="90">
        <f t="shared" si="53"/>
        <v>0.10112359550561797</v>
      </c>
    </row>
    <row r="1938" spans="1:6">
      <c r="A1938" s="5">
        <v>1880</v>
      </c>
      <c r="B1938" s="5" t="s">
        <v>18</v>
      </c>
      <c r="C1938" s="4">
        <v>98</v>
      </c>
      <c r="D1938" s="101">
        <f t="shared" si="54"/>
        <v>100.41666666666667</v>
      </c>
      <c r="F1938" s="90">
        <f t="shared" si="53"/>
        <v>4.2553191489361701E-2</v>
      </c>
    </row>
    <row r="1939" spans="1:6">
      <c r="A1939" s="5">
        <v>1880</v>
      </c>
      <c r="B1939" s="5" t="s">
        <v>19</v>
      </c>
      <c r="C1939" s="4">
        <v>99</v>
      </c>
      <c r="D1939" s="101">
        <f t="shared" si="54"/>
        <v>100.41666666666667</v>
      </c>
      <c r="F1939" s="90">
        <f t="shared" si="53"/>
        <v>0</v>
      </c>
    </row>
    <row r="1940" spans="1:6">
      <c r="A1940" s="5">
        <v>1880</v>
      </c>
      <c r="B1940" s="5" t="s">
        <v>20</v>
      </c>
      <c r="C1940" s="4">
        <v>100</v>
      </c>
      <c r="D1940" s="101">
        <f t="shared" si="54"/>
        <v>100.25</v>
      </c>
      <c r="E1940" s="4">
        <v>100</v>
      </c>
      <c r="F1940" s="90">
        <f t="shared" si="53"/>
        <v>-1.9607843137254902E-2</v>
      </c>
    </row>
    <row r="1941" spans="1:6">
      <c r="A1941" s="5">
        <v>1881</v>
      </c>
      <c r="B1941" s="5" t="s">
        <v>9</v>
      </c>
      <c r="C1941" s="4">
        <v>99</v>
      </c>
      <c r="D1941" s="101">
        <f t="shared" si="54"/>
        <v>99.75</v>
      </c>
      <c r="F1941" s="90">
        <f t="shared" ref="F1941:F2004" si="55">(C1941-C1929)/C1929</f>
        <v>-5.7142857142857141E-2</v>
      </c>
    </row>
    <row r="1942" spans="1:6">
      <c r="A1942" s="5">
        <v>1881</v>
      </c>
      <c r="B1942" s="5" t="s">
        <v>10</v>
      </c>
      <c r="C1942" s="4">
        <v>100</v>
      </c>
      <c r="D1942" s="101">
        <f t="shared" si="54"/>
        <v>99.333333333333329</v>
      </c>
      <c r="F1942" s="90">
        <f t="shared" si="55"/>
        <v>-4.7619047619047616E-2</v>
      </c>
    </row>
    <row r="1943" spans="1:6">
      <c r="A1943" s="5">
        <v>1881</v>
      </c>
      <c r="B1943" s="5" t="s">
        <v>11</v>
      </c>
      <c r="C1943" s="4">
        <v>100</v>
      </c>
      <c r="D1943" s="101">
        <f t="shared" si="54"/>
        <v>98.833333333333329</v>
      </c>
      <c r="F1943" s="90">
        <f t="shared" si="55"/>
        <v>-5.6603773584905662E-2</v>
      </c>
    </row>
    <row r="1944" spans="1:6">
      <c r="A1944" s="5">
        <v>1881</v>
      </c>
      <c r="B1944" s="5" t="s">
        <v>12</v>
      </c>
      <c r="C1944" s="4">
        <v>101</v>
      </c>
      <c r="D1944" s="101">
        <f t="shared" si="54"/>
        <v>98.75</v>
      </c>
      <c r="F1944" s="90">
        <f t="shared" si="55"/>
        <v>-9.8039215686274508E-3</v>
      </c>
    </row>
    <row r="1945" spans="1:6">
      <c r="A1945" s="5">
        <v>1881</v>
      </c>
      <c r="B1945" s="5" t="s">
        <v>13</v>
      </c>
      <c r="C1945" s="4">
        <v>100</v>
      </c>
      <c r="D1945" s="101">
        <f t="shared" si="54"/>
        <v>98.833333333333329</v>
      </c>
      <c r="F1945" s="90">
        <f t="shared" si="55"/>
        <v>1.0101010101010102E-2</v>
      </c>
    </row>
    <row r="1946" spans="1:6">
      <c r="A1946" s="5">
        <v>1881</v>
      </c>
      <c r="B1946" s="5" t="s">
        <v>14</v>
      </c>
      <c r="C1946" s="4">
        <v>100</v>
      </c>
      <c r="D1946" s="101">
        <f t="shared" si="54"/>
        <v>99.083333333333329</v>
      </c>
      <c r="F1946" s="90">
        <f t="shared" si="55"/>
        <v>3.0927835051546393E-2</v>
      </c>
    </row>
    <row r="1947" spans="1:6">
      <c r="A1947" s="5">
        <v>1881</v>
      </c>
      <c r="B1947" s="5" t="s">
        <v>15</v>
      </c>
      <c r="C1947" s="4">
        <v>101</v>
      </c>
      <c r="D1947" s="101">
        <f t="shared" si="54"/>
        <v>99.416666666666671</v>
      </c>
      <c r="F1947" s="90">
        <f t="shared" si="55"/>
        <v>4.1237113402061855E-2</v>
      </c>
    </row>
    <row r="1948" spans="1:6">
      <c r="A1948" s="5">
        <v>1881</v>
      </c>
      <c r="B1948" s="5" t="s">
        <v>16</v>
      </c>
      <c r="C1948" s="4">
        <v>103</v>
      </c>
      <c r="D1948" s="101">
        <f t="shared" si="54"/>
        <v>99.916666666666671</v>
      </c>
      <c r="F1948" s="90">
        <f t="shared" si="55"/>
        <v>6.1855670103092786E-2</v>
      </c>
    </row>
    <row r="1949" spans="1:6">
      <c r="A1949" s="5">
        <v>1881</v>
      </c>
      <c r="B1949" s="5" t="s">
        <v>17</v>
      </c>
      <c r="C1949" s="4">
        <v>107</v>
      </c>
      <c r="D1949" s="101">
        <f t="shared" si="54"/>
        <v>100.66666666666667</v>
      </c>
      <c r="F1949" s="90">
        <f t="shared" si="55"/>
        <v>9.1836734693877556E-2</v>
      </c>
    </row>
    <row r="1950" spans="1:6">
      <c r="A1950" s="5">
        <v>1881</v>
      </c>
      <c r="B1950" s="5" t="s">
        <v>18</v>
      </c>
      <c r="C1950" s="4">
        <v>108</v>
      </c>
      <c r="D1950" s="101">
        <f t="shared" si="54"/>
        <v>101.5</v>
      </c>
      <c r="F1950" s="90">
        <f t="shared" si="55"/>
        <v>0.10204081632653061</v>
      </c>
    </row>
    <row r="1951" spans="1:6">
      <c r="A1951" s="5">
        <v>1881</v>
      </c>
      <c r="B1951" s="5" t="s">
        <v>19</v>
      </c>
      <c r="C1951" s="4">
        <v>107</v>
      </c>
      <c r="D1951" s="101">
        <f t="shared" si="54"/>
        <v>102.16666666666667</v>
      </c>
      <c r="F1951" s="90">
        <f t="shared" si="55"/>
        <v>8.0808080808080815E-2</v>
      </c>
    </row>
    <row r="1952" spans="1:6">
      <c r="A1952" s="5">
        <v>1881</v>
      </c>
      <c r="B1952" s="5" t="s">
        <v>20</v>
      </c>
      <c r="C1952" s="4">
        <v>107</v>
      </c>
      <c r="D1952" s="101">
        <f t="shared" si="54"/>
        <v>102.75</v>
      </c>
      <c r="E1952" s="4">
        <v>103</v>
      </c>
      <c r="F1952" s="90">
        <f t="shared" si="55"/>
        <v>7.0000000000000007E-2</v>
      </c>
    </row>
    <row r="1953" spans="1:6">
      <c r="A1953" s="5">
        <v>1882</v>
      </c>
      <c r="B1953" s="5" t="s">
        <v>9</v>
      </c>
      <c r="C1953" s="4">
        <v>107</v>
      </c>
      <c r="D1953" s="101">
        <f t="shared" si="54"/>
        <v>103.41666666666667</v>
      </c>
      <c r="F1953" s="90">
        <f t="shared" si="55"/>
        <v>8.0808080808080815E-2</v>
      </c>
    </row>
    <row r="1954" spans="1:6">
      <c r="A1954" s="5">
        <v>1882</v>
      </c>
      <c r="B1954" s="5" t="s">
        <v>10</v>
      </c>
      <c r="C1954" s="4">
        <v>108</v>
      </c>
      <c r="D1954" s="101">
        <f t="shared" si="54"/>
        <v>104.08333333333333</v>
      </c>
      <c r="F1954" s="90">
        <f t="shared" si="55"/>
        <v>0.08</v>
      </c>
    </row>
    <row r="1955" spans="1:6">
      <c r="A1955" s="5">
        <v>1882</v>
      </c>
      <c r="B1955" s="5" t="s">
        <v>11</v>
      </c>
      <c r="C1955" s="4">
        <v>108</v>
      </c>
      <c r="D1955" s="101">
        <f t="shared" si="54"/>
        <v>104.75</v>
      </c>
      <c r="F1955" s="90">
        <f t="shared" si="55"/>
        <v>0.08</v>
      </c>
    </row>
    <row r="1956" spans="1:6">
      <c r="A1956" s="5">
        <v>1882</v>
      </c>
      <c r="B1956" s="5" t="s">
        <v>12</v>
      </c>
      <c r="C1956" s="4">
        <v>109</v>
      </c>
      <c r="D1956" s="101">
        <f t="shared" si="54"/>
        <v>105.41666666666667</v>
      </c>
      <c r="F1956" s="90">
        <f t="shared" si="55"/>
        <v>7.9207920792079209E-2</v>
      </c>
    </row>
    <row r="1957" spans="1:6">
      <c r="A1957" s="5">
        <v>1882</v>
      </c>
      <c r="B1957" s="5" t="s">
        <v>13</v>
      </c>
      <c r="C1957" s="4">
        <v>110</v>
      </c>
      <c r="D1957" s="101">
        <f t="shared" si="54"/>
        <v>106.25</v>
      </c>
      <c r="F1957" s="90">
        <f t="shared" si="55"/>
        <v>0.1</v>
      </c>
    </row>
    <row r="1958" spans="1:6">
      <c r="A1958" s="5">
        <v>1882</v>
      </c>
      <c r="B1958" s="5" t="s">
        <v>14</v>
      </c>
      <c r="C1958" s="4">
        <v>111</v>
      </c>
      <c r="D1958" s="101">
        <f t="shared" si="54"/>
        <v>107.16666666666667</v>
      </c>
      <c r="F1958" s="90">
        <f t="shared" si="55"/>
        <v>0.11</v>
      </c>
    </row>
    <row r="1959" spans="1:6">
      <c r="A1959" s="5">
        <v>1882</v>
      </c>
      <c r="B1959" s="5" t="s">
        <v>15</v>
      </c>
      <c r="C1959" s="4">
        <v>110</v>
      </c>
      <c r="D1959" s="101">
        <f t="shared" si="54"/>
        <v>107.91666666666667</v>
      </c>
      <c r="F1959" s="90">
        <f t="shared" si="55"/>
        <v>8.9108910891089105E-2</v>
      </c>
    </row>
    <row r="1960" spans="1:6">
      <c r="A1960" s="5">
        <v>1882</v>
      </c>
      <c r="B1960" s="5" t="s">
        <v>16</v>
      </c>
      <c r="C1960" s="4">
        <v>111</v>
      </c>
      <c r="D1960" s="101">
        <f t="shared" si="54"/>
        <v>108.58333333333333</v>
      </c>
      <c r="F1960" s="90">
        <f t="shared" si="55"/>
        <v>7.7669902912621352E-2</v>
      </c>
    </row>
    <row r="1961" spans="1:6">
      <c r="A1961" s="5">
        <v>1882</v>
      </c>
      <c r="B1961" s="5" t="s">
        <v>17</v>
      </c>
      <c r="C1961" s="4">
        <v>108</v>
      </c>
      <c r="D1961" s="101">
        <f t="shared" si="54"/>
        <v>108.66666666666667</v>
      </c>
      <c r="F1961" s="90">
        <f t="shared" si="55"/>
        <v>9.3457943925233638E-3</v>
      </c>
    </row>
    <row r="1962" spans="1:6">
      <c r="A1962" s="5">
        <v>1882</v>
      </c>
      <c r="B1962" s="5" t="s">
        <v>18</v>
      </c>
      <c r="C1962" s="4">
        <v>107</v>
      </c>
      <c r="D1962" s="101">
        <f t="shared" si="54"/>
        <v>108.58333333333333</v>
      </c>
      <c r="F1962" s="90">
        <f t="shared" si="55"/>
        <v>-9.2592592592592587E-3</v>
      </c>
    </row>
    <row r="1963" spans="1:6">
      <c r="A1963" s="5">
        <v>1882</v>
      </c>
      <c r="B1963" s="5" t="s">
        <v>19</v>
      </c>
      <c r="C1963" s="4">
        <v>106</v>
      </c>
      <c r="D1963" s="101">
        <f t="shared" si="54"/>
        <v>108.5</v>
      </c>
      <c r="F1963" s="90">
        <f t="shared" si="55"/>
        <v>-9.3457943925233638E-3</v>
      </c>
    </row>
    <row r="1964" spans="1:6">
      <c r="A1964" s="5">
        <v>1882</v>
      </c>
      <c r="B1964" s="5" t="s">
        <v>20</v>
      </c>
      <c r="C1964" s="4">
        <v>105</v>
      </c>
      <c r="D1964" s="101">
        <f t="shared" si="54"/>
        <v>108.33333333333333</v>
      </c>
      <c r="E1964" s="4">
        <v>108</v>
      </c>
      <c r="F1964" s="90">
        <f t="shared" si="55"/>
        <v>-1.8691588785046728E-2</v>
      </c>
    </row>
    <row r="1965" spans="1:6">
      <c r="A1965" s="5">
        <v>1883</v>
      </c>
      <c r="B1965" s="5" t="s">
        <v>9</v>
      </c>
      <c r="C1965" s="4">
        <v>105</v>
      </c>
      <c r="D1965" s="101">
        <f t="shared" si="54"/>
        <v>108.16666666666667</v>
      </c>
      <c r="F1965" s="90">
        <f t="shared" si="55"/>
        <v>-1.8691588785046728E-2</v>
      </c>
    </row>
    <row r="1966" spans="1:6">
      <c r="A1966" s="5">
        <v>1883</v>
      </c>
      <c r="B1966" s="5" t="s">
        <v>10</v>
      </c>
      <c r="C1966" s="4">
        <v>106</v>
      </c>
      <c r="D1966" s="101">
        <f t="shared" si="54"/>
        <v>108</v>
      </c>
      <c r="F1966" s="90">
        <f t="shared" si="55"/>
        <v>-1.8518518518518517E-2</v>
      </c>
    </row>
    <row r="1967" spans="1:6">
      <c r="A1967" s="5">
        <v>1883</v>
      </c>
      <c r="B1967" s="5" t="s">
        <v>11</v>
      </c>
      <c r="C1967" s="4">
        <v>105</v>
      </c>
      <c r="D1967" s="101">
        <f t="shared" si="54"/>
        <v>107.75</v>
      </c>
      <c r="F1967" s="90">
        <f t="shared" si="55"/>
        <v>-2.7777777777777776E-2</v>
      </c>
    </row>
    <row r="1968" spans="1:6">
      <c r="A1968" s="5">
        <v>1883</v>
      </c>
      <c r="B1968" s="5" t="s">
        <v>12</v>
      </c>
      <c r="C1968" s="4">
        <v>104</v>
      </c>
      <c r="D1968" s="101">
        <f t="shared" si="54"/>
        <v>107.33333333333333</v>
      </c>
      <c r="F1968" s="90">
        <f t="shared" si="55"/>
        <v>-4.5871559633027525E-2</v>
      </c>
    </row>
    <row r="1969" spans="1:6">
      <c r="A1969" s="5">
        <v>1883</v>
      </c>
      <c r="B1969" s="5" t="s">
        <v>13</v>
      </c>
      <c r="C1969" s="4">
        <v>103</v>
      </c>
      <c r="D1969" s="101">
        <f t="shared" ref="D1969:D2032" si="56">AVERAGE(C1958:C1969)</f>
        <v>106.75</v>
      </c>
      <c r="F1969" s="90">
        <f t="shared" si="55"/>
        <v>-6.363636363636363E-2</v>
      </c>
    </row>
    <row r="1970" spans="1:6">
      <c r="A1970" s="5">
        <v>1883</v>
      </c>
      <c r="B1970" s="5" t="s">
        <v>14</v>
      </c>
      <c r="C1970" s="4">
        <v>100</v>
      </c>
      <c r="D1970" s="101">
        <f t="shared" si="56"/>
        <v>105.83333333333333</v>
      </c>
      <c r="F1970" s="90">
        <f t="shared" si="55"/>
        <v>-9.90990990990991E-2</v>
      </c>
    </row>
    <row r="1971" spans="1:6">
      <c r="A1971" s="5">
        <v>1883</v>
      </c>
      <c r="B1971" s="5" t="s">
        <v>15</v>
      </c>
      <c r="C1971" s="4">
        <v>98</v>
      </c>
      <c r="D1971" s="101">
        <f t="shared" si="56"/>
        <v>104.83333333333333</v>
      </c>
      <c r="F1971" s="90">
        <f t="shared" si="55"/>
        <v>-0.10909090909090909</v>
      </c>
    </row>
    <row r="1972" spans="1:6">
      <c r="A1972" s="5">
        <v>1883</v>
      </c>
      <c r="B1972" s="5" t="s">
        <v>16</v>
      </c>
      <c r="C1972" s="4">
        <v>98</v>
      </c>
      <c r="D1972" s="101">
        <f t="shared" si="56"/>
        <v>103.75</v>
      </c>
      <c r="F1972" s="90">
        <f t="shared" si="55"/>
        <v>-0.11711711711711711</v>
      </c>
    </row>
    <row r="1973" spans="1:6">
      <c r="A1973" s="5">
        <v>1883</v>
      </c>
      <c r="B1973" s="5" t="s">
        <v>17</v>
      </c>
      <c r="C1973" s="4">
        <v>97</v>
      </c>
      <c r="D1973" s="101">
        <f t="shared" si="56"/>
        <v>102.83333333333333</v>
      </c>
      <c r="F1973" s="90">
        <f t="shared" si="55"/>
        <v>-0.10185185185185185</v>
      </c>
    </row>
    <row r="1974" spans="1:6">
      <c r="A1974" s="5">
        <v>1883</v>
      </c>
      <c r="B1974" s="5" t="s">
        <v>18</v>
      </c>
      <c r="C1974" s="4">
        <v>97</v>
      </c>
      <c r="D1974" s="101">
        <f t="shared" si="56"/>
        <v>102</v>
      </c>
      <c r="F1974" s="90">
        <f t="shared" si="55"/>
        <v>-9.3457943925233641E-2</v>
      </c>
    </row>
    <row r="1975" spans="1:6">
      <c r="A1975" s="5">
        <v>1883</v>
      </c>
      <c r="B1975" s="5" t="s">
        <v>19</v>
      </c>
      <c r="C1975" s="4">
        <v>96</v>
      </c>
      <c r="D1975" s="101">
        <f t="shared" si="56"/>
        <v>101.16666666666667</v>
      </c>
      <c r="F1975" s="90">
        <f t="shared" si="55"/>
        <v>-9.4339622641509441E-2</v>
      </c>
    </row>
    <row r="1976" spans="1:6">
      <c r="A1976" s="5">
        <v>1883</v>
      </c>
      <c r="B1976" s="5" t="s">
        <v>20</v>
      </c>
      <c r="C1976" s="4">
        <v>97</v>
      </c>
      <c r="D1976" s="101">
        <f t="shared" si="56"/>
        <v>100.5</v>
      </c>
      <c r="E1976" s="4">
        <v>101</v>
      </c>
      <c r="F1976" s="90">
        <f t="shared" si="55"/>
        <v>-7.6190476190476197E-2</v>
      </c>
    </row>
    <row r="1977" spans="1:6">
      <c r="A1977" s="5">
        <v>1884</v>
      </c>
      <c r="B1977" s="5" t="s">
        <v>9</v>
      </c>
      <c r="C1977" s="4">
        <v>97</v>
      </c>
      <c r="D1977" s="101">
        <f t="shared" si="56"/>
        <v>99.833333333333329</v>
      </c>
      <c r="F1977" s="90">
        <f t="shared" si="55"/>
        <v>-7.6190476190476197E-2</v>
      </c>
    </row>
    <row r="1978" spans="1:6">
      <c r="A1978" s="5">
        <v>1884</v>
      </c>
      <c r="B1978" s="5" t="s">
        <v>10</v>
      </c>
      <c r="C1978" s="4">
        <v>97</v>
      </c>
      <c r="D1978" s="101">
        <f t="shared" si="56"/>
        <v>99.083333333333329</v>
      </c>
      <c r="F1978" s="90">
        <f t="shared" si="55"/>
        <v>-8.4905660377358486E-2</v>
      </c>
    </row>
    <row r="1979" spans="1:6">
      <c r="A1979" s="5">
        <v>1884</v>
      </c>
      <c r="B1979" s="5" t="s">
        <v>11</v>
      </c>
      <c r="C1979" s="4">
        <v>97</v>
      </c>
      <c r="D1979" s="101">
        <f t="shared" si="56"/>
        <v>98.416666666666671</v>
      </c>
      <c r="F1979" s="90">
        <f t="shared" si="55"/>
        <v>-7.6190476190476197E-2</v>
      </c>
    </row>
    <row r="1980" spans="1:6">
      <c r="A1980" s="5">
        <v>1884</v>
      </c>
      <c r="B1980" s="5" t="s">
        <v>12</v>
      </c>
      <c r="C1980" s="4">
        <v>95</v>
      </c>
      <c r="D1980" s="101">
        <f t="shared" si="56"/>
        <v>97.666666666666671</v>
      </c>
      <c r="F1980" s="90">
        <f t="shared" si="55"/>
        <v>-8.6538461538461536E-2</v>
      </c>
    </row>
    <row r="1981" spans="1:6">
      <c r="A1981" s="5">
        <v>1884</v>
      </c>
      <c r="B1981" s="5" t="s">
        <v>13</v>
      </c>
      <c r="C1981" s="4">
        <v>93</v>
      </c>
      <c r="D1981" s="101">
        <f t="shared" si="56"/>
        <v>96.833333333333329</v>
      </c>
      <c r="F1981" s="90">
        <f t="shared" si="55"/>
        <v>-9.7087378640776698E-2</v>
      </c>
    </row>
    <row r="1982" spans="1:6">
      <c r="A1982" s="5">
        <v>1884</v>
      </c>
      <c r="B1982" s="5" t="s">
        <v>14</v>
      </c>
      <c r="C1982" s="4">
        <v>93</v>
      </c>
      <c r="D1982" s="101">
        <f t="shared" si="56"/>
        <v>96.25</v>
      </c>
      <c r="F1982" s="90">
        <f t="shared" si="55"/>
        <v>-7.0000000000000007E-2</v>
      </c>
    </row>
    <row r="1983" spans="1:6">
      <c r="A1983" s="5">
        <v>1884</v>
      </c>
      <c r="B1983" s="5" t="s">
        <v>15</v>
      </c>
      <c r="C1983" s="4">
        <v>92</v>
      </c>
      <c r="D1983" s="101">
        <f t="shared" si="56"/>
        <v>95.75</v>
      </c>
      <c r="F1983" s="90">
        <f t="shared" si="55"/>
        <v>-6.1224489795918366E-2</v>
      </c>
    </row>
    <row r="1984" spans="1:6">
      <c r="A1984" s="5">
        <v>1884</v>
      </c>
      <c r="B1984" s="5" t="s">
        <v>16</v>
      </c>
      <c r="C1984" s="4">
        <v>92</v>
      </c>
      <c r="D1984" s="101">
        <f t="shared" si="56"/>
        <v>95.25</v>
      </c>
      <c r="F1984" s="90">
        <f t="shared" si="55"/>
        <v>-6.1224489795918366E-2</v>
      </c>
    </row>
    <row r="1985" spans="1:6">
      <c r="A1985" s="5">
        <v>1884</v>
      </c>
      <c r="B1985" s="5" t="s">
        <v>17</v>
      </c>
      <c r="C1985" s="4">
        <v>91</v>
      </c>
      <c r="D1985" s="101">
        <f t="shared" si="56"/>
        <v>94.75</v>
      </c>
      <c r="F1985" s="90">
        <f t="shared" si="55"/>
        <v>-6.1855670103092786E-2</v>
      </c>
    </row>
    <row r="1986" spans="1:6">
      <c r="A1986" s="5">
        <v>1884</v>
      </c>
      <c r="B1986" s="5" t="s">
        <v>18</v>
      </c>
      <c r="C1986" s="4">
        <v>90</v>
      </c>
      <c r="D1986" s="101">
        <f t="shared" si="56"/>
        <v>94.166666666666671</v>
      </c>
      <c r="F1986" s="90">
        <f t="shared" si="55"/>
        <v>-7.2164948453608241E-2</v>
      </c>
    </row>
    <row r="1987" spans="1:6">
      <c r="A1987" s="5">
        <v>1884</v>
      </c>
      <c r="B1987" s="5" t="s">
        <v>19</v>
      </c>
      <c r="C1987" s="4">
        <v>88</v>
      </c>
      <c r="D1987" s="101">
        <f t="shared" si="56"/>
        <v>93.5</v>
      </c>
      <c r="F1987" s="90">
        <f t="shared" si="55"/>
        <v>-8.3333333333333329E-2</v>
      </c>
    </row>
    <row r="1988" spans="1:6">
      <c r="A1988" s="5">
        <v>1884</v>
      </c>
      <c r="B1988" s="5" t="s">
        <v>20</v>
      </c>
      <c r="C1988" s="4">
        <v>87</v>
      </c>
      <c r="D1988" s="101">
        <f t="shared" si="56"/>
        <v>92.666666666666671</v>
      </c>
      <c r="E1988" s="4">
        <v>93</v>
      </c>
      <c r="F1988" s="90">
        <f t="shared" si="55"/>
        <v>-0.10309278350515463</v>
      </c>
    </row>
    <row r="1989" spans="1:6">
      <c r="A1989" s="5">
        <v>1885</v>
      </c>
      <c r="B1989" s="5" t="s">
        <v>9</v>
      </c>
      <c r="C1989" s="4">
        <v>87</v>
      </c>
      <c r="D1989" s="101">
        <f t="shared" si="56"/>
        <v>91.833333333333329</v>
      </c>
      <c r="F1989" s="90">
        <f t="shared" si="55"/>
        <v>-0.10309278350515463</v>
      </c>
    </row>
    <row r="1990" spans="1:6">
      <c r="A1990" s="5">
        <v>1885</v>
      </c>
      <c r="B1990" s="5" t="s">
        <v>10</v>
      </c>
      <c r="C1990" s="4">
        <v>88</v>
      </c>
      <c r="D1990" s="101">
        <f t="shared" si="56"/>
        <v>91.083333333333329</v>
      </c>
      <c r="F1990" s="90">
        <f t="shared" si="55"/>
        <v>-9.2783505154639179E-2</v>
      </c>
    </row>
    <row r="1991" spans="1:6">
      <c r="A1991" s="5">
        <v>1885</v>
      </c>
      <c r="B1991" s="5" t="s">
        <v>11</v>
      </c>
      <c r="C1991" s="4">
        <v>86</v>
      </c>
      <c r="D1991" s="101">
        <f t="shared" si="56"/>
        <v>90.166666666666671</v>
      </c>
      <c r="F1991" s="90">
        <f t="shared" si="55"/>
        <v>-0.1134020618556701</v>
      </c>
    </row>
    <row r="1992" spans="1:6">
      <c r="A1992" s="5">
        <v>1885</v>
      </c>
      <c r="B1992" s="5" t="s">
        <v>12</v>
      </c>
      <c r="C1992" s="4">
        <v>87</v>
      </c>
      <c r="D1992" s="101">
        <f t="shared" si="56"/>
        <v>89.5</v>
      </c>
      <c r="F1992" s="90">
        <f t="shared" si="55"/>
        <v>-8.4210526315789472E-2</v>
      </c>
    </row>
    <row r="1993" spans="1:6">
      <c r="A1993" s="5">
        <v>1885</v>
      </c>
      <c r="B1993" s="5" t="s">
        <v>13</v>
      </c>
      <c r="C1993" s="4">
        <v>85</v>
      </c>
      <c r="D1993" s="101">
        <f t="shared" si="56"/>
        <v>88.833333333333329</v>
      </c>
      <c r="F1993" s="90">
        <f t="shared" si="55"/>
        <v>-8.6021505376344093E-2</v>
      </c>
    </row>
    <row r="1994" spans="1:6">
      <c r="A1994" s="5">
        <v>1885</v>
      </c>
      <c r="B1994" s="5" t="s">
        <v>14</v>
      </c>
      <c r="C1994" s="4">
        <v>83</v>
      </c>
      <c r="D1994" s="101">
        <f t="shared" si="56"/>
        <v>88</v>
      </c>
      <c r="F1994" s="90">
        <f t="shared" si="55"/>
        <v>-0.10752688172043011</v>
      </c>
    </row>
    <row r="1995" spans="1:6">
      <c r="A1995" s="5">
        <v>1885</v>
      </c>
      <c r="B1995" s="5" t="s">
        <v>15</v>
      </c>
      <c r="C1995" s="4">
        <v>84</v>
      </c>
      <c r="D1995" s="101">
        <f t="shared" si="56"/>
        <v>87.333333333333329</v>
      </c>
      <c r="F1995" s="90">
        <f t="shared" si="55"/>
        <v>-8.6956521739130432E-2</v>
      </c>
    </row>
    <row r="1996" spans="1:6">
      <c r="A1996" s="5">
        <v>1885</v>
      </c>
      <c r="B1996" s="5" t="s">
        <v>16</v>
      </c>
      <c r="C1996" s="4">
        <v>84</v>
      </c>
      <c r="D1996" s="101">
        <f t="shared" si="56"/>
        <v>86.666666666666671</v>
      </c>
      <c r="F1996" s="90">
        <f t="shared" si="55"/>
        <v>-8.6956521739130432E-2</v>
      </c>
    </row>
    <row r="1997" spans="1:6">
      <c r="A1997" s="5">
        <v>1885</v>
      </c>
      <c r="B1997" s="5" t="s">
        <v>17</v>
      </c>
      <c r="C1997" s="4">
        <v>83</v>
      </c>
      <c r="D1997" s="101">
        <f t="shared" si="56"/>
        <v>86</v>
      </c>
      <c r="F1997" s="90">
        <f t="shared" si="55"/>
        <v>-8.7912087912087919E-2</v>
      </c>
    </row>
    <row r="1998" spans="1:6">
      <c r="A1998" s="5">
        <v>1885</v>
      </c>
      <c r="B1998" s="5" t="s">
        <v>18</v>
      </c>
      <c r="C1998" s="4">
        <v>83</v>
      </c>
      <c r="D1998" s="101">
        <f t="shared" si="56"/>
        <v>85.416666666666671</v>
      </c>
      <c r="F1998" s="90">
        <f t="shared" si="55"/>
        <v>-7.7777777777777779E-2</v>
      </c>
    </row>
    <row r="1999" spans="1:6">
      <c r="A1999" s="5">
        <v>1885</v>
      </c>
      <c r="B1999" s="5" t="s">
        <v>19</v>
      </c>
      <c r="C1999" s="4">
        <v>84</v>
      </c>
      <c r="D1999" s="101">
        <f t="shared" si="56"/>
        <v>85.083333333333329</v>
      </c>
      <c r="F1999" s="90">
        <f t="shared" si="55"/>
        <v>-4.5454545454545456E-2</v>
      </c>
    </row>
    <row r="2000" spans="1:6">
      <c r="A2000" s="5">
        <v>1885</v>
      </c>
      <c r="B2000" s="5" t="s">
        <v>20</v>
      </c>
      <c r="C2000" s="4">
        <v>86</v>
      </c>
      <c r="D2000" s="101">
        <f t="shared" si="56"/>
        <v>85</v>
      </c>
      <c r="E2000" s="4">
        <v>85</v>
      </c>
      <c r="F2000" s="90">
        <f t="shared" si="55"/>
        <v>-1.1494252873563218E-2</v>
      </c>
    </row>
    <row r="2001" spans="1:6">
      <c r="A2001" s="5">
        <v>1886</v>
      </c>
      <c r="B2001" s="5" t="s">
        <v>9</v>
      </c>
      <c r="C2001" s="4">
        <v>84</v>
      </c>
      <c r="D2001" s="101">
        <f t="shared" si="56"/>
        <v>84.75</v>
      </c>
      <c r="F2001" s="90">
        <f t="shared" si="55"/>
        <v>-3.4482758620689655E-2</v>
      </c>
    </row>
    <row r="2002" spans="1:6">
      <c r="A2002" s="5">
        <v>1886</v>
      </c>
      <c r="B2002" s="5" t="s">
        <v>10</v>
      </c>
      <c r="C2002" s="4">
        <v>84</v>
      </c>
      <c r="D2002" s="101">
        <f t="shared" si="56"/>
        <v>84.416666666666671</v>
      </c>
      <c r="F2002" s="90">
        <f t="shared" si="55"/>
        <v>-4.5454545454545456E-2</v>
      </c>
    </row>
    <row r="2003" spans="1:6">
      <c r="A2003" s="5">
        <v>1886</v>
      </c>
      <c r="B2003" s="5" t="s">
        <v>11</v>
      </c>
      <c r="C2003" s="4">
        <v>83</v>
      </c>
      <c r="D2003" s="101">
        <f t="shared" si="56"/>
        <v>84.166666666666671</v>
      </c>
      <c r="F2003" s="90">
        <f t="shared" si="55"/>
        <v>-3.4883720930232558E-2</v>
      </c>
    </row>
    <row r="2004" spans="1:6">
      <c r="A2004" s="5">
        <v>1886</v>
      </c>
      <c r="B2004" s="5" t="s">
        <v>12</v>
      </c>
      <c r="C2004" s="4">
        <v>82</v>
      </c>
      <c r="D2004" s="101">
        <f t="shared" si="56"/>
        <v>83.75</v>
      </c>
      <c r="F2004" s="90">
        <f t="shared" si="55"/>
        <v>-5.7471264367816091E-2</v>
      </c>
    </row>
    <row r="2005" spans="1:6">
      <c r="A2005" s="5">
        <v>1886</v>
      </c>
      <c r="B2005" s="5" t="s">
        <v>13</v>
      </c>
      <c r="C2005" s="4">
        <v>80</v>
      </c>
      <c r="D2005" s="101">
        <f t="shared" si="56"/>
        <v>83.333333333333329</v>
      </c>
      <c r="F2005" s="90">
        <f t="shared" ref="F2005:F2068" si="57">(C2005-C1993)/C1993</f>
        <v>-5.8823529411764705E-2</v>
      </c>
    </row>
    <row r="2006" spans="1:6">
      <c r="A2006" s="5">
        <v>1886</v>
      </c>
      <c r="B2006" s="5" t="s">
        <v>14</v>
      </c>
      <c r="C2006" s="4">
        <v>79</v>
      </c>
      <c r="D2006" s="101">
        <f t="shared" si="56"/>
        <v>83</v>
      </c>
      <c r="F2006" s="90">
        <f t="shared" si="57"/>
        <v>-4.8192771084337352E-2</v>
      </c>
    </row>
    <row r="2007" spans="1:6">
      <c r="A2007" s="5">
        <v>1886</v>
      </c>
      <c r="B2007" s="5" t="s">
        <v>15</v>
      </c>
      <c r="C2007" s="4">
        <v>80</v>
      </c>
      <c r="D2007" s="101">
        <f t="shared" si="56"/>
        <v>82.666666666666671</v>
      </c>
      <c r="F2007" s="90">
        <f t="shared" si="57"/>
        <v>-4.7619047619047616E-2</v>
      </c>
    </row>
    <row r="2008" spans="1:6">
      <c r="A2008" s="5">
        <v>1886</v>
      </c>
      <c r="B2008" s="5" t="s">
        <v>16</v>
      </c>
      <c r="C2008" s="4">
        <v>81</v>
      </c>
      <c r="D2008" s="101">
        <f t="shared" si="56"/>
        <v>82.416666666666671</v>
      </c>
      <c r="F2008" s="90">
        <f t="shared" si="57"/>
        <v>-3.5714285714285712E-2</v>
      </c>
    </row>
    <row r="2009" spans="1:6">
      <c r="A2009" s="5">
        <v>1886</v>
      </c>
      <c r="B2009" s="5" t="s">
        <v>17</v>
      </c>
      <c r="C2009" s="4">
        <v>81</v>
      </c>
      <c r="D2009" s="101">
        <f t="shared" si="56"/>
        <v>82.25</v>
      </c>
      <c r="F2009" s="90">
        <f t="shared" si="57"/>
        <v>-2.4096385542168676E-2</v>
      </c>
    </row>
    <row r="2010" spans="1:6">
      <c r="A2010" s="5">
        <v>1886</v>
      </c>
      <c r="B2010" s="5" t="s">
        <v>18</v>
      </c>
      <c r="C2010" s="4">
        <v>81</v>
      </c>
      <c r="D2010" s="101">
        <f t="shared" si="56"/>
        <v>82.083333333333329</v>
      </c>
      <c r="F2010" s="90">
        <f t="shared" si="57"/>
        <v>-2.4096385542168676E-2</v>
      </c>
    </row>
    <row r="2011" spans="1:6">
      <c r="A2011" s="5">
        <v>1886</v>
      </c>
      <c r="B2011" s="5" t="s">
        <v>19</v>
      </c>
      <c r="C2011" s="4">
        <v>81</v>
      </c>
      <c r="D2011" s="101">
        <f t="shared" si="56"/>
        <v>81.833333333333329</v>
      </c>
      <c r="F2011" s="90">
        <f t="shared" si="57"/>
        <v>-3.5714285714285712E-2</v>
      </c>
    </row>
    <row r="2012" spans="1:6">
      <c r="A2012" s="5">
        <v>1886</v>
      </c>
      <c r="B2012" s="5" t="s">
        <v>20</v>
      </c>
      <c r="C2012" s="4">
        <v>82</v>
      </c>
      <c r="D2012" s="101">
        <f t="shared" si="56"/>
        <v>81.5</v>
      </c>
      <c r="E2012" s="4">
        <v>82</v>
      </c>
      <c r="F2012" s="90">
        <f t="shared" si="57"/>
        <v>-4.6511627906976744E-2</v>
      </c>
    </row>
    <row r="2013" spans="1:6">
      <c r="A2013" s="5">
        <v>1887</v>
      </c>
      <c r="B2013" s="5" t="s">
        <v>9</v>
      </c>
      <c r="C2013" s="4">
        <v>84</v>
      </c>
      <c r="D2013" s="101">
        <f t="shared" si="56"/>
        <v>81.5</v>
      </c>
      <c r="F2013" s="90">
        <f t="shared" si="57"/>
        <v>0</v>
      </c>
    </row>
    <row r="2014" spans="1:6">
      <c r="A2014" s="5">
        <v>1887</v>
      </c>
      <c r="B2014" s="5" t="s">
        <v>10</v>
      </c>
      <c r="C2014" s="4">
        <v>85</v>
      </c>
      <c r="D2014" s="101">
        <f t="shared" si="56"/>
        <v>81.583333333333329</v>
      </c>
      <c r="F2014" s="90">
        <f t="shared" si="57"/>
        <v>1.1904761904761904E-2</v>
      </c>
    </row>
    <row r="2015" spans="1:6">
      <c r="A2015" s="5">
        <v>1887</v>
      </c>
      <c r="B2015" s="5" t="s">
        <v>11</v>
      </c>
      <c r="C2015" s="4">
        <v>85</v>
      </c>
      <c r="D2015" s="101">
        <f t="shared" si="56"/>
        <v>81.75</v>
      </c>
      <c r="F2015" s="90">
        <f t="shared" si="57"/>
        <v>2.4096385542168676E-2</v>
      </c>
    </row>
    <row r="2016" spans="1:6">
      <c r="A2016" s="5">
        <v>1887</v>
      </c>
      <c r="B2016" s="5" t="s">
        <v>12</v>
      </c>
      <c r="C2016" s="4">
        <v>85</v>
      </c>
      <c r="D2016" s="101">
        <f t="shared" si="56"/>
        <v>82</v>
      </c>
      <c r="F2016" s="90">
        <f t="shared" si="57"/>
        <v>3.6585365853658534E-2</v>
      </c>
    </row>
    <row r="2017" spans="1:6">
      <c r="A2017" s="5">
        <v>1887</v>
      </c>
      <c r="B2017" s="5" t="s">
        <v>13</v>
      </c>
      <c r="C2017" s="4">
        <v>85</v>
      </c>
      <c r="D2017" s="101">
        <f t="shared" si="56"/>
        <v>82.416666666666671</v>
      </c>
      <c r="F2017" s="90">
        <f t="shared" si="57"/>
        <v>6.25E-2</v>
      </c>
    </row>
    <row r="2018" spans="1:6">
      <c r="A2018" s="5">
        <v>1887</v>
      </c>
      <c r="B2018" s="5" t="s">
        <v>14</v>
      </c>
      <c r="C2018" s="4">
        <v>84</v>
      </c>
      <c r="D2018" s="101">
        <f t="shared" si="56"/>
        <v>82.833333333333329</v>
      </c>
      <c r="F2018" s="90">
        <f t="shared" si="57"/>
        <v>6.3291139240506333E-2</v>
      </c>
    </row>
    <row r="2019" spans="1:6">
      <c r="A2019" s="5">
        <v>1887</v>
      </c>
      <c r="B2019" s="5" t="s">
        <v>15</v>
      </c>
      <c r="C2019" s="4">
        <v>83</v>
      </c>
      <c r="D2019" s="101">
        <f t="shared" si="56"/>
        <v>83.083333333333329</v>
      </c>
      <c r="F2019" s="90">
        <f t="shared" si="57"/>
        <v>3.7499999999999999E-2</v>
      </c>
    </row>
    <row r="2020" spans="1:6">
      <c r="A2020" s="5">
        <v>1887</v>
      </c>
      <c r="B2020" s="5" t="s">
        <v>16</v>
      </c>
      <c r="C2020" s="4">
        <v>84</v>
      </c>
      <c r="D2020" s="101">
        <f t="shared" si="56"/>
        <v>83.333333333333329</v>
      </c>
      <c r="F2020" s="90">
        <f t="shared" si="57"/>
        <v>3.7037037037037035E-2</v>
      </c>
    </row>
    <row r="2021" spans="1:6">
      <c r="A2021" s="5">
        <v>1887</v>
      </c>
      <c r="B2021" s="5" t="s">
        <v>17</v>
      </c>
      <c r="C2021" s="4">
        <v>83</v>
      </c>
      <c r="D2021" s="101">
        <f t="shared" si="56"/>
        <v>83.5</v>
      </c>
      <c r="F2021" s="90">
        <f t="shared" si="57"/>
        <v>2.4691358024691357E-2</v>
      </c>
    </row>
    <row r="2022" spans="1:6">
      <c r="A2022" s="5">
        <v>1887</v>
      </c>
      <c r="B2022" s="5" t="s">
        <v>18</v>
      </c>
      <c r="C2022" s="4">
        <v>84</v>
      </c>
      <c r="D2022" s="101">
        <f t="shared" si="56"/>
        <v>83.75</v>
      </c>
      <c r="F2022" s="90">
        <f t="shared" si="57"/>
        <v>3.7037037037037035E-2</v>
      </c>
    </row>
    <row r="2023" spans="1:6">
      <c r="A2023" s="5">
        <v>1887</v>
      </c>
      <c r="B2023" s="5" t="s">
        <v>19</v>
      </c>
      <c r="C2023" s="4">
        <v>85</v>
      </c>
      <c r="D2023" s="101">
        <f t="shared" si="56"/>
        <v>84.083333333333329</v>
      </c>
      <c r="F2023" s="90">
        <f t="shared" si="57"/>
        <v>4.9382716049382713E-2</v>
      </c>
    </row>
    <row r="2024" spans="1:6">
      <c r="A2024" s="5">
        <v>1887</v>
      </c>
      <c r="B2024" s="5" t="s">
        <v>20</v>
      </c>
      <c r="C2024" s="4">
        <v>87</v>
      </c>
      <c r="D2024" s="101">
        <f t="shared" si="56"/>
        <v>84.5</v>
      </c>
      <c r="E2024" s="4">
        <v>85</v>
      </c>
      <c r="F2024" s="90">
        <f t="shared" si="57"/>
        <v>6.097560975609756E-2</v>
      </c>
    </row>
    <row r="2025" spans="1:6">
      <c r="A2025" s="5">
        <v>1888</v>
      </c>
      <c r="B2025" s="5" t="s">
        <v>9</v>
      </c>
      <c r="C2025" s="4">
        <v>88</v>
      </c>
      <c r="D2025" s="101">
        <f t="shared" si="56"/>
        <v>84.833333333333329</v>
      </c>
      <c r="F2025" s="90">
        <f t="shared" si="57"/>
        <v>4.7619047619047616E-2</v>
      </c>
    </row>
    <row r="2026" spans="1:6">
      <c r="A2026" s="5">
        <v>1888</v>
      </c>
      <c r="B2026" s="5" t="s">
        <v>10</v>
      </c>
      <c r="C2026" s="4">
        <v>87</v>
      </c>
      <c r="D2026" s="101">
        <f t="shared" si="56"/>
        <v>85</v>
      </c>
      <c r="F2026" s="90">
        <f t="shared" si="57"/>
        <v>2.3529411764705882E-2</v>
      </c>
    </row>
    <row r="2027" spans="1:6">
      <c r="A2027" s="5">
        <v>1888</v>
      </c>
      <c r="B2027" s="5" t="s">
        <v>11</v>
      </c>
      <c r="C2027" s="4">
        <v>87</v>
      </c>
      <c r="D2027" s="101">
        <f t="shared" si="56"/>
        <v>85.166666666666671</v>
      </c>
      <c r="F2027" s="90">
        <f t="shared" si="57"/>
        <v>2.3529411764705882E-2</v>
      </c>
    </row>
    <row r="2028" spans="1:6">
      <c r="A2028" s="5">
        <v>1888</v>
      </c>
      <c r="B2028" s="5" t="s">
        <v>12</v>
      </c>
      <c r="C2028" s="4">
        <v>86</v>
      </c>
      <c r="D2028" s="101">
        <f t="shared" si="56"/>
        <v>85.25</v>
      </c>
      <c r="F2028" s="90">
        <f t="shared" si="57"/>
        <v>1.1764705882352941E-2</v>
      </c>
    </row>
    <row r="2029" spans="1:6">
      <c r="A2029" s="5">
        <v>1888</v>
      </c>
      <c r="B2029" s="5" t="s">
        <v>13</v>
      </c>
      <c r="C2029" s="4">
        <v>85</v>
      </c>
      <c r="D2029" s="101">
        <f t="shared" si="56"/>
        <v>85.25</v>
      </c>
      <c r="F2029" s="90">
        <f t="shared" si="57"/>
        <v>0</v>
      </c>
    </row>
    <row r="2030" spans="1:6">
      <c r="A2030" s="5">
        <v>1888</v>
      </c>
      <c r="B2030" s="5" t="s">
        <v>14</v>
      </c>
      <c r="C2030" s="4">
        <v>84</v>
      </c>
      <c r="D2030" s="101">
        <f t="shared" si="56"/>
        <v>85.25</v>
      </c>
      <c r="F2030" s="90">
        <f t="shared" si="57"/>
        <v>0</v>
      </c>
    </row>
    <row r="2031" spans="1:6">
      <c r="A2031" s="5">
        <v>1888</v>
      </c>
      <c r="B2031" s="5" t="s">
        <v>15</v>
      </c>
      <c r="C2031" s="4">
        <v>85</v>
      </c>
      <c r="D2031" s="101">
        <f t="shared" si="56"/>
        <v>85.416666666666671</v>
      </c>
      <c r="F2031" s="90">
        <f t="shared" si="57"/>
        <v>2.4096385542168676E-2</v>
      </c>
    </row>
    <row r="2032" spans="1:6">
      <c r="A2032" s="5">
        <v>1888</v>
      </c>
      <c r="B2032" s="5" t="s">
        <v>16</v>
      </c>
      <c r="C2032" s="4">
        <v>85</v>
      </c>
      <c r="D2032" s="101">
        <f t="shared" si="56"/>
        <v>85.5</v>
      </c>
      <c r="F2032" s="90">
        <f t="shared" si="57"/>
        <v>1.1904761904761904E-2</v>
      </c>
    </row>
    <row r="2033" spans="1:6">
      <c r="A2033" s="5">
        <v>1888</v>
      </c>
      <c r="B2033" s="5" t="s">
        <v>17</v>
      </c>
      <c r="C2033" s="4">
        <v>85</v>
      </c>
      <c r="D2033" s="101">
        <f t="shared" ref="D2033:D2096" si="58">AVERAGE(C2022:C2033)</f>
        <v>85.666666666666671</v>
      </c>
      <c r="F2033" s="90">
        <f t="shared" si="57"/>
        <v>2.4096385542168676E-2</v>
      </c>
    </row>
    <row r="2034" spans="1:6">
      <c r="A2034" s="5">
        <v>1888</v>
      </c>
      <c r="B2034" s="5" t="s">
        <v>18</v>
      </c>
      <c r="C2034" s="4">
        <v>86</v>
      </c>
      <c r="D2034" s="101">
        <f t="shared" si="58"/>
        <v>85.833333333333329</v>
      </c>
      <c r="F2034" s="90">
        <f t="shared" si="57"/>
        <v>2.3809523809523808E-2</v>
      </c>
    </row>
    <row r="2035" spans="1:6">
      <c r="A2035" s="5">
        <v>1888</v>
      </c>
      <c r="B2035" s="5" t="s">
        <v>19</v>
      </c>
      <c r="C2035" s="4">
        <v>87</v>
      </c>
      <c r="D2035" s="101">
        <f t="shared" si="58"/>
        <v>86</v>
      </c>
      <c r="F2035" s="90">
        <f t="shared" si="57"/>
        <v>2.3529411764705882E-2</v>
      </c>
    </row>
    <row r="2036" spans="1:6">
      <c r="A2036" s="5">
        <v>1888</v>
      </c>
      <c r="B2036" s="5" t="s">
        <v>20</v>
      </c>
      <c r="C2036" s="4">
        <v>87</v>
      </c>
      <c r="D2036" s="101">
        <f t="shared" si="58"/>
        <v>86</v>
      </c>
      <c r="E2036" s="4">
        <v>86</v>
      </c>
      <c r="F2036" s="90">
        <f t="shared" si="57"/>
        <v>0</v>
      </c>
    </row>
    <row r="2037" spans="1:6">
      <c r="A2037" s="5">
        <v>1889</v>
      </c>
      <c r="B2037" s="5" t="s">
        <v>9</v>
      </c>
      <c r="C2037" s="4">
        <v>84</v>
      </c>
      <c r="D2037" s="101">
        <f t="shared" si="58"/>
        <v>85.666666666666671</v>
      </c>
      <c r="F2037" s="90">
        <f t="shared" si="57"/>
        <v>-4.5454545454545456E-2</v>
      </c>
    </row>
    <row r="2038" spans="1:6">
      <c r="A2038" s="5">
        <v>1889</v>
      </c>
      <c r="B2038" s="5" t="s">
        <v>10</v>
      </c>
      <c r="C2038" s="4">
        <v>83</v>
      </c>
      <c r="D2038" s="101">
        <f t="shared" si="58"/>
        <v>85.333333333333329</v>
      </c>
      <c r="F2038" s="90">
        <f t="shared" si="57"/>
        <v>-4.5977011494252873E-2</v>
      </c>
    </row>
    <row r="2039" spans="1:6">
      <c r="A2039" s="5">
        <v>1889</v>
      </c>
      <c r="B2039" s="5" t="s">
        <v>11</v>
      </c>
      <c r="C2039" s="4">
        <v>82</v>
      </c>
      <c r="D2039" s="101">
        <f t="shared" si="58"/>
        <v>84.916666666666671</v>
      </c>
      <c r="F2039" s="90">
        <f t="shared" si="57"/>
        <v>-5.7471264367816091E-2</v>
      </c>
    </row>
    <row r="2040" spans="1:6">
      <c r="A2040" s="5">
        <v>1889</v>
      </c>
      <c r="B2040" s="5" t="s">
        <v>12</v>
      </c>
      <c r="C2040" s="4">
        <v>82</v>
      </c>
      <c r="D2040" s="101">
        <f t="shared" si="58"/>
        <v>84.583333333333329</v>
      </c>
      <c r="F2040" s="90">
        <f t="shared" si="57"/>
        <v>-4.6511627906976744E-2</v>
      </c>
    </row>
    <row r="2041" spans="1:6">
      <c r="A2041" s="5">
        <v>1889</v>
      </c>
      <c r="B2041" s="5" t="s">
        <v>13</v>
      </c>
      <c r="C2041" s="4">
        <v>80</v>
      </c>
      <c r="D2041" s="101">
        <f t="shared" si="58"/>
        <v>84.166666666666671</v>
      </c>
      <c r="F2041" s="90">
        <f t="shared" si="57"/>
        <v>-5.8823529411764705E-2</v>
      </c>
    </row>
    <row r="2042" spans="1:6">
      <c r="A2042" s="5">
        <v>1889</v>
      </c>
      <c r="B2042" s="5" t="s">
        <v>14</v>
      </c>
      <c r="C2042" s="4">
        <v>80</v>
      </c>
      <c r="D2042" s="101">
        <f t="shared" si="58"/>
        <v>83.833333333333329</v>
      </c>
      <c r="F2042" s="90">
        <f t="shared" si="57"/>
        <v>-4.7619047619047616E-2</v>
      </c>
    </row>
    <row r="2043" spans="1:6">
      <c r="A2043" s="5">
        <v>1889</v>
      </c>
      <c r="B2043" s="5" t="s">
        <v>15</v>
      </c>
      <c r="C2043" s="4">
        <v>80</v>
      </c>
      <c r="D2043" s="101">
        <f t="shared" si="58"/>
        <v>83.416666666666671</v>
      </c>
      <c r="F2043" s="90">
        <f t="shared" si="57"/>
        <v>-5.8823529411764705E-2</v>
      </c>
    </row>
    <row r="2044" spans="1:6">
      <c r="A2044" s="5">
        <v>1889</v>
      </c>
      <c r="B2044" s="5" t="s">
        <v>16</v>
      </c>
      <c r="C2044" s="4">
        <v>80</v>
      </c>
      <c r="D2044" s="101">
        <f t="shared" si="58"/>
        <v>83</v>
      </c>
      <c r="F2044" s="90">
        <f t="shared" si="57"/>
        <v>-5.8823529411764705E-2</v>
      </c>
    </row>
    <row r="2045" spans="1:6">
      <c r="A2045" s="5">
        <v>1889</v>
      </c>
      <c r="B2045" s="5" t="s">
        <v>17</v>
      </c>
      <c r="C2045" s="4">
        <v>81</v>
      </c>
      <c r="D2045" s="101">
        <f t="shared" si="58"/>
        <v>82.666666666666671</v>
      </c>
      <c r="F2045" s="90">
        <f t="shared" si="57"/>
        <v>-4.7058823529411764E-2</v>
      </c>
    </row>
    <row r="2046" spans="1:6">
      <c r="A2046" s="5">
        <v>1889</v>
      </c>
      <c r="B2046" s="5" t="s">
        <v>18</v>
      </c>
      <c r="C2046" s="4">
        <v>81</v>
      </c>
      <c r="D2046" s="101">
        <f t="shared" si="58"/>
        <v>82.25</v>
      </c>
      <c r="F2046" s="90">
        <f t="shared" si="57"/>
        <v>-5.8139534883720929E-2</v>
      </c>
    </row>
    <row r="2047" spans="1:6">
      <c r="A2047" s="5">
        <v>1889</v>
      </c>
      <c r="B2047" s="5" t="s">
        <v>19</v>
      </c>
      <c r="C2047" s="4">
        <v>81</v>
      </c>
      <c r="D2047" s="101">
        <f t="shared" si="58"/>
        <v>81.75</v>
      </c>
      <c r="F2047" s="90">
        <f t="shared" si="57"/>
        <v>-6.8965517241379309E-2</v>
      </c>
    </row>
    <row r="2048" spans="1:6">
      <c r="A2048" s="5">
        <v>1889</v>
      </c>
      <c r="B2048" s="5" t="s">
        <v>20</v>
      </c>
      <c r="C2048" s="4">
        <v>82</v>
      </c>
      <c r="D2048" s="101">
        <f t="shared" si="58"/>
        <v>81.333333333333329</v>
      </c>
      <c r="E2048" s="4">
        <v>81</v>
      </c>
      <c r="F2048" s="90">
        <f t="shared" si="57"/>
        <v>-5.7471264367816091E-2</v>
      </c>
    </row>
    <row r="2049" spans="1:6">
      <c r="A2049" s="5">
        <v>1890</v>
      </c>
      <c r="B2049" s="5" t="s">
        <v>9</v>
      </c>
      <c r="C2049" s="4">
        <v>80</v>
      </c>
      <c r="D2049" s="101">
        <f t="shared" si="58"/>
        <v>81</v>
      </c>
      <c r="F2049" s="90">
        <f t="shared" si="57"/>
        <v>-4.7619047619047616E-2</v>
      </c>
    </row>
    <row r="2050" spans="1:6">
      <c r="A2050" s="5">
        <v>1890</v>
      </c>
      <c r="B2050" s="5" t="s">
        <v>10</v>
      </c>
      <c r="C2050" s="4">
        <v>80</v>
      </c>
      <c r="D2050" s="101">
        <f t="shared" si="58"/>
        <v>80.75</v>
      </c>
      <c r="F2050" s="90">
        <f t="shared" si="57"/>
        <v>-3.614457831325301E-2</v>
      </c>
    </row>
    <row r="2051" spans="1:6">
      <c r="A2051" s="5">
        <v>1890</v>
      </c>
      <c r="B2051" s="5" t="s">
        <v>11</v>
      </c>
      <c r="C2051" s="4">
        <v>80</v>
      </c>
      <c r="D2051" s="101">
        <f t="shared" si="58"/>
        <v>80.583333333333329</v>
      </c>
      <c r="F2051" s="90">
        <f t="shared" si="57"/>
        <v>-2.4390243902439025E-2</v>
      </c>
    </row>
    <row r="2052" spans="1:6">
      <c r="A2052" s="5">
        <v>1890</v>
      </c>
      <c r="B2052" s="5" t="s">
        <v>12</v>
      </c>
      <c r="C2052" s="4">
        <v>80</v>
      </c>
      <c r="D2052" s="101">
        <f t="shared" si="58"/>
        <v>80.416666666666671</v>
      </c>
      <c r="F2052" s="90">
        <f t="shared" si="57"/>
        <v>-2.4390243902439025E-2</v>
      </c>
    </row>
    <row r="2053" spans="1:6">
      <c r="A2053" s="5">
        <v>1890</v>
      </c>
      <c r="B2053" s="5" t="s">
        <v>13</v>
      </c>
      <c r="C2053" s="4">
        <v>81</v>
      </c>
      <c r="D2053" s="101">
        <f t="shared" si="58"/>
        <v>80.5</v>
      </c>
      <c r="F2053" s="90">
        <f t="shared" si="57"/>
        <v>1.2500000000000001E-2</v>
      </c>
    </row>
    <row r="2054" spans="1:6">
      <c r="A2054" s="5">
        <v>1890</v>
      </c>
      <c r="B2054" s="5" t="s">
        <v>14</v>
      </c>
      <c r="C2054" s="4">
        <v>81</v>
      </c>
      <c r="D2054" s="101">
        <f t="shared" si="58"/>
        <v>80.583333333333329</v>
      </c>
      <c r="F2054" s="90">
        <f t="shared" si="57"/>
        <v>1.2500000000000001E-2</v>
      </c>
    </row>
    <row r="2055" spans="1:6">
      <c r="A2055" s="5">
        <v>1890</v>
      </c>
      <c r="B2055" s="5" t="s">
        <v>15</v>
      </c>
      <c r="C2055" s="4">
        <v>81</v>
      </c>
      <c r="D2055" s="101">
        <f t="shared" si="58"/>
        <v>80.666666666666671</v>
      </c>
      <c r="F2055" s="90">
        <f t="shared" si="57"/>
        <v>1.2500000000000001E-2</v>
      </c>
    </row>
    <row r="2056" spans="1:6">
      <c r="A2056" s="5">
        <v>1890</v>
      </c>
      <c r="B2056" s="5" t="s">
        <v>16</v>
      </c>
      <c r="C2056" s="4">
        <v>84</v>
      </c>
      <c r="D2056" s="101">
        <f t="shared" si="58"/>
        <v>81</v>
      </c>
      <c r="F2056" s="90">
        <f t="shared" si="57"/>
        <v>0.05</v>
      </c>
    </row>
    <row r="2057" spans="1:6">
      <c r="A2057" s="5">
        <v>1890</v>
      </c>
      <c r="B2057" s="5" t="s">
        <v>17</v>
      </c>
      <c r="C2057" s="4">
        <v>85</v>
      </c>
      <c r="D2057" s="101">
        <f t="shared" si="58"/>
        <v>81.333333333333329</v>
      </c>
      <c r="F2057" s="90">
        <f t="shared" si="57"/>
        <v>4.9382716049382713E-2</v>
      </c>
    </row>
    <row r="2058" spans="1:6">
      <c r="A2058" s="5">
        <v>1890</v>
      </c>
      <c r="B2058" s="5" t="s">
        <v>18</v>
      </c>
      <c r="C2058" s="4">
        <v>85</v>
      </c>
      <c r="D2058" s="101">
        <f t="shared" si="58"/>
        <v>81.666666666666671</v>
      </c>
      <c r="F2058" s="90">
        <f t="shared" si="57"/>
        <v>4.9382716049382713E-2</v>
      </c>
    </row>
    <row r="2059" spans="1:6">
      <c r="A2059" s="5">
        <v>1890</v>
      </c>
      <c r="B2059" s="5" t="s">
        <v>19</v>
      </c>
      <c r="C2059" s="4">
        <v>83</v>
      </c>
      <c r="D2059" s="101">
        <f t="shared" si="58"/>
        <v>81.833333333333329</v>
      </c>
      <c r="F2059" s="90">
        <f t="shared" si="57"/>
        <v>2.4691358024691357E-2</v>
      </c>
    </row>
    <row r="2060" spans="1:6">
      <c r="A2060" s="5">
        <v>1890</v>
      </c>
      <c r="B2060" s="5" t="s">
        <v>20</v>
      </c>
      <c r="C2060" s="4">
        <v>83</v>
      </c>
      <c r="D2060" s="101">
        <f t="shared" si="58"/>
        <v>81.916666666666671</v>
      </c>
      <c r="E2060" s="4">
        <v>82</v>
      </c>
      <c r="F2060" s="90">
        <f t="shared" si="57"/>
        <v>1.2195121951219513E-2</v>
      </c>
    </row>
    <row r="2061" spans="1:6">
      <c r="A2061" s="5">
        <v>1891</v>
      </c>
      <c r="B2061" s="5" t="s">
        <v>9</v>
      </c>
      <c r="C2061" s="4">
        <v>82</v>
      </c>
      <c r="D2061" s="101">
        <f t="shared" si="58"/>
        <v>82.083333333333329</v>
      </c>
      <c r="F2061" s="90">
        <f t="shared" si="57"/>
        <v>2.5000000000000001E-2</v>
      </c>
    </row>
    <row r="2062" spans="1:6">
      <c r="A2062" s="5">
        <v>1891</v>
      </c>
      <c r="B2062" s="5" t="s">
        <v>10</v>
      </c>
      <c r="C2062" s="4">
        <v>83</v>
      </c>
      <c r="D2062" s="101">
        <f t="shared" si="58"/>
        <v>82.333333333333329</v>
      </c>
      <c r="F2062" s="90">
        <f t="shared" si="57"/>
        <v>3.7499999999999999E-2</v>
      </c>
    </row>
    <row r="2063" spans="1:6">
      <c r="A2063" s="5">
        <v>1891</v>
      </c>
      <c r="B2063" s="5" t="s">
        <v>11</v>
      </c>
      <c r="C2063" s="4">
        <v>84</v>
      </c>
      <c r="D2063" s="101">
        <f t="shared" si="58"/>
        <v>82.666666666666671</v>
      </c>
      <c r="F2063" s="90">
        <f t="shared" si="57"/>
        <v>0.05</v>
      </c>
    </row>
    <row r="2064" spans="1:6">
      <c r="A2064" s="5">
        <v>1891</v>
      </c>
      <c r="B2064" s="5" t="s">
        <v>12</v>
      </c>
      <c r="C2064" s="4">
        <v>85</v>
      </c>
      <c r="D2064" s="101">
        <f t="shared" si="58"/>
        <v>83.083333333333329</v>
      </c>
      <c r="F2064" s="90">
        <f t="shared" si="57"/>
        <v>6.25E-2</v>
      </c>
    </row>
    <row r="2065" spans="1:6">
      <c r="A2065" s="5">
        <v>1891</v>
      </c>
      <c r="B2065" s="5" t="s">
        <v>13</v>
      </c>
      <c r="C2065" s="4">
        <v>84</v>
      </c>
      <c r="D2065" s="101">
        <f t="shared" si="58"/>
        <v>83.333333333333329</v>
      </c>
      <c r="F2065" s="90">
        <f t="shared" si="57"/>
        <v>3.7037037037037035E-2</v>
      </c>
    </row>
    <row r="2066" spans="1:6">
      <c r="A2066" s="5">
        <v>1891</v>
      </c>
      <c r="B2066" s="5" t="s">
        <v>14</v>
      </c>
      <c r="C2066" s="4">
        <v>82</v>
      </c>
      <c r="D2066" s="101">
        <f t="shared" si="58"/>
        <v>83.416666666666671</v>
      </c>
      <c r="F2066" s="90">
        <f t="shared" si="57"/>
        <v>1.2345679012345678E-2</v>
      </c>
    </row>
    <row r="2067" spans="1:6">
      <c r="A2067" s="5">
        <v>1891</v>
      </c>
      <c r="B2067" s="5" t="s">
        <v>15</v>
      </c>
      <c r="C2067" s="4">
        <v>81</v>
      </c>
      <c r="D2067" s="101">
        <f t="shared" si="58"/>
        <v>83.416666666666671</v>
      </c>
      <c r="F2067" s="90">
        <f t="shared" si="57"/>
        <v>0</v>
      </c>
    </row>
    <row r="2068" spans="1:6">
      <c r="A2068" s="5">
        <v>1891</v>
      </c>
      <c r="B2068" s="5" t="s">
        <v>16</v>
      </c>
      <c r="C2068" s="4">
        <v>81</v>
      </c>
      <c r="D2068" s="101">
        <f t="shared" si="58"/>
        <v>83.166666666666671</v>
      </c>
      <c r="F2068" s="90">
        <f t="shared" si="57"/>
        <v>-3.5714285714285712E-2</v>
      </c>
    </row>
    <row r="2069" spans="1:6">
      <c r="A2069" s="5">
        <v>1891</v>
      </c>
      <c r="B2069" s="5" t="s">
        <v>17</v>
      </c>
      <c r="C2069" s="4">
        <v>80</v>
      </c>
      <c r="D2069" s="101">
        <f t="shared" si="58"/>
        <v>82.75</v>
      </c>
      <c r="F2069" s="90">
        <f t="shared" ref="F2069:F2132" si="59">(C2069-C2057)/C2057</f>
        <v>-5.8823529411764705E-2</v>
      </c>
    </row>
    <row r="2070" spans="1:6">
      <c r="A2070" s="5">
        <v>1891</v>
      </c>
      <c r="B2070" s="5" t="s">
        <v>18</v>
      </c>
      <c r="C2070" s="4">
        <v>80</v>
      </c>
      <c r="D2070" s="101">
        <f t="shared" si="58"/>
        <v>82.333333333333329</v>
      </c>
      <c r="F2070" s="90">
        <f t="shared" si="59"/>
        <v>-5.8823529411764705E-2</v>
      </c>
    </row>
    <row r="2071" spans="1:6">
      <c r="A2071" s="5">
        <v>1891</v>
      </c>
      <c r="B2071" s="5" t="s">
        <v>19</v>
      </c>
      <c r="C2071" s="4">
        <v>79</v>
      </c>
      <c r="D2071" s="101">
        <f t="shared" si="58"/>
        <v>82</v>
      </c>
      <c r="F2071" s="90">
        <f t="shared" si="59"/>
        <v>-4.8192771084337352E-2</v>
      </c>
    </row>
    <row r="2072" spans="1:6">
      <c r="A2072" s="5">
        <v>1891</v>
      </c>
      <c r="B2072" s="5" t="s">
        <v>20</v>
      </c>
      <c r="C2072" s="4">
        <v>79</v>
      </c>
      <c r="D2072" s="101">
        <f t="shared" si="58"/>
        <v>81.666666666666671</v>
      </c>
      <c r="E2072" s="4">
        <v>82</v>
      </c>
      <c r="F2072" s="90">
        <f t="shared" si="59"/>
        <v>-4.8192771084337352E-2</v>
      </c>
    </row>
    <row r="2073" spans="1:6">
      <c r="A2073" s="5">
        <v>1892</v>
      </c>
      <c r="B2073" s="5" t="s">
        <v>9</v>
      </c>
      <c r="C2073" s="4">
        <v>77</v>
      </c>
      <c r="D2073" s="101">
        <f t="shared" si="58"/>
        <v>81.25</v>
      </c>
      <c r="F2073" s="90">
        <f t="shared" si="59"/>
        <v>-6.097560975609756E-2</v>
      </c>
    </row>
    <row r="2074" spans="1:6">
      <c r="A2074" s="5">
        <v>1892</v>
      </c>
      <c r="B2074" s="5" t="s">
        <v>10</v>
      </c>
      <c r="C2074" s="4">
        <v>77</v>
      </c>
      <c r="D2074" s="101">
        <f t="shared" si="58"/>
        <v>80.75</v>
      </c>
      <c r="F2074" s="90">
        <f t="shared" si="59"/>
        <v>-7.2289156626506021E-2</v>
      </c>
    </row>
    <row r="2075" spans="1:6">
      <c r="A2075" s="5">
        <v>1892</v>
      </c>
      <c r="B2075" s="5" t="s">
        <v>11</v>
      </c>
      <c r="C2075" s="4">
        <v>75</v>
      </c>
      <c r="D2075" s="101">
        <f t="shared" si="58"/>
        <v>80</v>
      </c>
      <c r="F2075" s="90">
        <f t="shared" si="59"/>
        <v>-0.10714285714285714</v>
      </c>
    </row>
    <row r="2076" spans="1:6">
      <c r="A2076" s="5">
        <v>1892</v>
      </c>
      <c r="B2076" s="5" t="s">
        <v>12</v>
      </c>
      <c r="C2076" s="4">
        <v>74</v>
      </c>
      <c r="D2076" s="101">
        <f t="shared" si="58"/>
        <v>79.083333333333329</v>
      </c>
      <c r="F2076" s="90">
        <f t="shared" si="59"/>
        <v>-0.12941176470588237</v>
      </c>
    </row>
    <row r="2077" spans="1:6">
      <c r="A2077" s="5">
        <v>1892</v>
      </c>
      <c r="B2077" s="5" t="s">
        <v>13</v>
      </c>
      <c r="C2077" s="4">
        <v>74</v>
      </c>
      <c r="D2077" s="101">
        <f t="shared" si="58"/>
        <v>78.25</v>
      </c>
      <c r="F2077" s="90">
        <f t="shared" si="59"/>
        <v>-0.11904761904761904</v>
      </c>
    </row>
    <row r="2078" spans="1:6">
      <c r="A2078" s="5">
        <v>1892</v>
      </c>
      <c r="B2078" s="5" t="s">
        <v>14</v>
      </c>
      <c r="C2078" s="4">
        <v>74</v>
      </c>
      <c r="D2078" s="101">
        <f t="shared" si="58"/>
        <v>77.583333333333329</v>
      </c>
      <c r="F2078" s="90">
        <f t="shared" si="59"/>
        <v>-9.7560975609756101E-2</v>
      </c>
    </row>
    <row r="2079" spans="1:6">
      <c r="A2079" s="5">
        <v>1892</v>
      </c>
      <c r="B2079" s="5" t="s">
        <v>15</v>
      </c>
      <c r="C2079" s="4">
        <v>76</v>
      </c>
      <c r="D2079" s="101">
        <f t="shared" si="58"/>
        <v>77.166666666666671</v>
      </c>
      <c r="F2079" s="90">
        <f t="shared" si="59"/>
        <v>-6.1728395061728392E-2</v>
      </c>
    </row>
    <row r="2080" spans="1:6">
      <c r="A2080" s="5">
        <v>1892</v>
      </c>
      <c r="B2080" s="5" t="s">
        <v>16</v>
      </c>
      <c r="C2080" s="4">
        <v>77</v>
      </c>
      <c r="D2080" s="101">
        <f t="shared" si="58"/>
        <v>76.833333333333329</v>
      </c>
      <c r="F2080" s="90">
        <f t="shared" si="59"/>
        <v>-4.9382716049382713E-2</v>
      </c>
    </row>
    <row r="2081" spans="1:6">
      <c r="A2081" s="5">
        <v>1892</v>
      </c>
      <c r="B2081" s="5" t="s">
        <v>17</v>
      </c>
      <c r="C2081" s="4">
        <v>77</v>
      </c>
      <c r="D2081" s="101">
        <f t="shared" si="58"/>
        <v>76.583333333333329</v>
      </c>
      <c r="F2081" s="90">
        <f t="shared" si="59"/>
        <v>-3.7499999999999999E-2</v>
      </c>
    </row>
    <row r="2082" spans="1:6">
      <c r="A2082" s="5">
        <v>1892</v>
      </c>
      <c r="B2082" s="5" t="s">
        <v>18</v>
      </c>
      <c r="C2082" s="4">
        <v>77</v>
      </c>
      <c r="D2082" s="101">
        <f t="shared" si="58"/>
        <v>76.333333333333329</v>
      </c>
      <c r="F2082" s="90">
        <f t="shared" si="59"/>
        <v>-3.7499999999999999E-2</v>
      </c>
    </row>
    <row r="2083" spans="1:6">
      <c r="A2083" s="5">
        <v>1892</v>
      </c>
      <c r="B2083" s="5" t="s">
        <v>19</v>
      </c>
      <c r="C2083" s="4">
        <v>79</v>
      </c>
      <c r="D2083" s="101">
        <f t="shared" si="58"/>
        <v>76.333333333333329</v>
      </c>
      <c r="F2083" s="90">
        <f t="shared" si="59"/>
        <v>0</v>
      </c>
    </row>
    <row r="2084" spans="1:6">
      <c r="A2084" s="5">
        <v>1892</v>
      </c>
      <c r="B2084" s="5" t="s">
        <v>20</v>
      </c>
      <c r="C2084" s="4">
        <v>80</v>
      </c>
      <c r="D2084" s="101">
        <f t="shared" si="58"/>
        <v>76.416666666666671</v>
      </c>
      <c r="E2084" s="4">
        <v>76</v>
      </c>
      <c r="F2084" s="90">
        <f t="shared" si="59"/>
        <v>1.2658227848101266E-2</v>
      </c>
    </row>
    <row r="2085" spans="1:6">
      <c r="A2085" s="5">
        <v>1893</v>
      </c>
      <c r="B2085" s="5" t="s">
        <v>9</v>
      </c>
      <c r="C2085" s="4">
        <v>83</v>
      </c>
      <c r="D2085" s="101">
        <f t="shared" si="58"/>
        <v>76.916666666666671</v>
      </c>
      <c r="F2085" s="90">
        <f t="shared" si="59"/>
        <v>7.792207792207792E-2</v>
      </c>
    </row>
    <row r="2086" spans="1:6">
      <c r="A2086" s="5">
        <v>1893</v>
      </c>
      <c r="B2086" s="5" t="s">
        <v>10</v>
      </c>
      <c r="C2086" s="4">
        <v>84</v>
      </c>
      <c r="D2086" s="101">
        <f t="shared" si="58"/>
        <v>77.5</v>
      </c>
      <c r="F2086" s="90">
        <f t="shared" si="59"/>
        <v>9.0909090909090912E-2</v>
      </c>
    </row>
    <row r="2087" spans="1:6">
      <c r="A2087" s="5">
        <v>1893</v>
      </c>
      <c r="B2087" s="5" t="s">
        <v>11</v>
      </c>
      <c r="C2087" s="4">
        <v>82</v>
      </c>
      <c r="D2087" s="101">
        <f t="shared" si="58"/>
        <v>78.083333333333329</v>
      </c>
      <c r="F2087" s="90">
        <f t="shared" si="59"/>
        <v>9.3333333333333338E-2</v>
      </c>
    </row>
    <row r="2088" spans="1:6">
      <c r="A2088" s="5">
        <v>1893</v>
      </c>
      <c r="B2088" s="5" t="s">
        <v>12</v>
      </c>
      <c r="C2088" s="4">
        <v>81</v>
      </c>
      <c r="D2088" s="101">
        <f t="shared" si="58"/>
        <v>78.666666666666671</v>
      </c>
      <c r="F2088" s="90">
        <f t="shared" si="59"/>
        <v>9.45945945945946E-2</v>
      </c>
    </row>
    <row r="2089" spans="1:6">
      <c r="A2089" s="5">
        <v>1893</v>
      </c>
      <c r="B2089" s="5" t="s">
        <v>13</v>
      </c>
      <c r="C2089" s="4">
        <v>80</v>
      </c>
      <c r="D2089" s="101">
        <f t="shared" si="58"/>
        <v>79.166666666666671</v>
      </c>
      <c r="F2089" s="90">
        <f t="shared" si="59"/>
        <v>8.1081081081081086E-2</v>
      </c>
    </row>
    <row r="2090" spans="1:6">
      <c r="A2090" s="5">
        <v>1893</v>
      </c>
      <c r="B2090" s="5" t="s">
        <v>14</v>
      </c>
      <c r="C2090" s="4">
        <v>78</v>
      </c>
      <c r="D2090" s="101">
        <f t="shared" si="58"/>
        <v>79.5</v>
      </c>
      <c r="F2090" s="90">
        <f t="shared" si="59"/>
        <v>5.4054054054054057E-2</v>
      </c>
    </row>
    <row r="2091" spans="1:6">
      <c r="A2091" s="5">
        <v>1893</v>
      </c>
      <c r="B2091" s="5" t="s">
        <v>15</v>
      </c>
      <c r="C2091" s="4">
        <v>76</v>
      </c>
      <c r="D2091" s="101">
        <f t="shared" si="58"/>
        <v>79.5</v>
      </c>
      <c r="F2091" s="90">
        <f t="shared" si="59"/>
        <v>0</v>
      </c>
    </row>
    <row r="2092" spans="1:6">
      <c r="A2092" s="5">
        <v>1893</v>
      </c>
      <c r="B2092" s="5" t="s">
        <v>16</v>
      </c>
      <c r="C2092" s="4">
        <v>73</v>
      </c>
      <c r="D2092" s="101">
        <f t="shared" si="58"/>
        <v>79.166666666666671</v>
      </c>
      <c r="F2092" s="90">
        <f t="shared" si="59"/>
        <v>-5.1948051948051951E-2</v>
      </c>
    </row>
    <row r="2093" spans="1:6">
      <c r="A2093" s="5">
        <v>1893</v>
      </c>
      <c r="B2093" s="5" t="s">
        <v>17</v>
      </c>
      <c r="C2093" s="4">
        <v>76</v>
      </c>
      <c r="D2093" s="101">
        <f t="shared" si="58"/>
        <v>79.083333333333329</v>
      </c>
      <c r="F2093" s="90">
        <f t="shared" si="59"/>
        <v>-1.2987012987012988E-2</v>
      </c>
    </row>
    <row r="2094" spans="1:6">
      <c r="A2094" s="5">
        <v>1893</v>
      </c>
      <c r="B2094" s="5" t="s">
        <v>18</v>
      </c>
      <c r="C2094" s="4">
        <v>77</v>
      </c>
      <c r="D2094" s="101">
        <f t="shared" si="58"/>
        <v>79.083333333333329</v>
      </c>
      <c r="F2094" s="90">
        <f t="shared" si="59"/>
        <v>0</v>
      </c>
    </row>
    <row r="2095" spans="1:6">
      <c r="A2095" s="5">
        <v>1893</v>
      </c>
      <c r="B2095" s="5" t="s">
        <v>19</v>
      </c>
      <c r="C2095" s="4">
        <v>75</v>
      </c>
      <c r="D2095" s="101">
        <f t="shared" si="58"/>
        <v>78.75</v>
      </c>
      <c r="F2095" s="90">
        <f t="shared" si="59"/>
        <v>-5.0632911392405063E-2</v>
      </c>
    </row>
    <row r="2096" spans="1:6">
      <c r="A2096" s="5">
        <v>1893</v>
      </c>
      <c r="B2096" s="5" t="s">
        <v>20</v>
      </c>
      <c r="C2096" s="4">
        <v>74</v>
      </c>
      <c r="D2096" s="101">
        <f t="shared" si="58"/>
        <v>78.25</v>
      </c>
      <c r="E2096" s="4">
        <v>78</v>
      </c>
      <c r="F2096" s="90">
        <f t="shared" si="59"/>
        <v>-7.4999999999999997E-2</v>
      </c>
    </row>
    <row r="2097" spans="1:6">
      <c r="A2097" s="5">
        <v>1894</v>
      </c>
      <c r="B2097" s="5" t="s">
        <v>9</v>
      </c>
      <c r="C2097" s="4">
        <v>72</v>
      </c>
      <c r="D2097" s="101">
        <f t="shared" ref="D2097:D2160" si="60">AVERAGE(C2086:C2097)</f>
        <v>77.333333333333329</v>
      </c>
      <c r="F2097" s="90">
        <f t="shared" si="59"/>
        <v>-0.13253012048192772</v>
      </c>
    </row>
    <row r="2098" spans="1:6">
      <c r="A2098" s="5">
        <v>1894</v>
      </c>
      <c r="B2098" s="5" t="s">
        <v>10</v>
      </c>
      <c r="C2098" s="4">
        <v>71</v>
      </c>
      <c r="D2098" s="101">
        <f t="shared" si="60"/>
        <v>76.25</v>
      </c>
      <c r="F2098" s="90">
        <f t="shared" si="59"/>
        <v>-0.15476190476190477</v>
      </c>
    </row>
    <row r="2099" spans="1:6">
      <c r="A2099" s="5">
        <v>1894</v>
      </c>
      <c r="B2099" s="5" t="s">
        <v>11</v>
      </c>
      <c r="C2099" s="4">
        <v>69</v>
      </c>
      <c r="D2099" s="101">
        <f t="shared" si="60"/>
        <v>75.166666666666671</v>
      </c>
      <c r="F2099" s="90">
        <f t="shared" si="59"/>
        <v>-0.15853658536585366</v>
      </c>
    </row>
    <row r="2100" spans="1:6">
      <c r="A2100" s="5">
        <v>1894</v>
      </c>
      <c r="B2100" s="5" t="s">
        <v>12</v>
      </c>
      <c r="C2100" s="4">
        <v>69</v>
      </c>
      <c r="D2100" s="101">
        <f t="shared" si="60"/>
        <v>74.166666666666671</v>
      </c>
      <c r="F2100" s="90">
        <f t="shared" si="59"/>
        <v>-0.14814814814814814</v>
      </c>
    </row>
    <row r="2101" spans="1:6">
      <c r="A2101" s="5">
        <v>1894</v>
      </c>
      <c r="B2101" s="5" t="s">
        <v>13</v>
      </c>
      <c r="C2101" s="4">
        <v>69</v>
      </c>
      <c r="D2101" s="101">
        <f t="shared" si="60"/>
        <v>73.25</v>
      </c>
      <c r="F2101" s="90">
        <f t="shared" si="59"/>
        <v>-0.13750000000000001</v>
      </c>
    </row>
    <row r="2102" spans="1:6">
      <c r="A2102" s="5">
        <v>1894</v>
      </c>
      <c r="B2102" s="5" t="s">
        <v>14</v>
      </c>
      <c r="C2102" s="4">
        <v>69</v>
      </c>
      <c r="D2102" s="101">
        <f t="shared" si="60"/>
        <v>72.5</v>
      </c>
      <c r="F2102" s="90">
        <f t="shared" si="59"/>
        <v>-0.11538461538461539</v>
      </c>
    </row>
    <row r="2103" spans="1:6">
      <c r="A2103" s="5">
        <v>1894</v>
      </c>
      <c r="B2103" s="5" t="s">
        <v>15</v>
      </c>
      <c r="C2103" s="4">
        <v>69</v>
      </c>
      <c r="D2103" s="101">
        <f t="shared" si="60"/>
        <v>71.916666666666671</v>
      </c>
      <c r="F2103" s="90">
        <f t="shared" si="59"/>
        <v>-9.2105263157894732E-2</v>
      </c>
    </row>
    <row r="2104" spans="1:6">
      <c r="A2104" s="5">
        <v>1894</v>
      </c>
      <c r="B2104" s="5" t="s">
        <v>16</v>
      </c>
      <c r="C2104" s="4">
        <v>71</v>
      </c>
      <c r="D2104" s="101">
        <f t="shared" si="60"/>
        <v>71.75</v>
      </c>
      <c r="F2104" s="90">
        <f t="shared" si="59"/>
        <v>-2.7397260273972601E-2</v>
      </c>
    </row>
    <row r="2105" spans="1:6">
      <c r="A2105" s="5">
        <v>1894</v>
      </c>
      <c r="B2105" s="5" t="s">
        <v>17</v>
      </c>
      <c r="C2105" s="4">
        <v>72</v>
      </c>
      <c r="D2105" s="101">
        <f t="shared" si="60"/>
        <v>71.416666666666671</v>
      </c>
      <c r="F2105" s="90">
        <f t="shared" si="59"/>
        <v>-5.2631578947368418E-2</v>
      </c>
    </row>
    <row r="2106" spans="1:6">
      <c r="A2106" s="5">
        <v>1894</v>
      </c>
      <c r="B2106" s="5" t="s">
        <v>18</v>
      </c>
      <c r="C2106" s="4">
        <v>70</v>
      </c>
      <c r="D2106" s="101">
        <f t="shared" si="60"/>
        <v>70.833333333333329</v>
      </c>
      <c r="F2106" s="90">
        <f t="shared" si="59"/>
        <v>-9.0909090909090912E-2</v>
      </c>
    </row>
    <row r="2107" spans="1:6">
      <c r="A2107" s="5">
        <v>1894</v>
      </c>
      <c r="B2107" s="5" t="s">
        <v>19</v>
      </c>
      <c r="C2107" s="4">
        <v>70</v>
      </c>
      <c r="D2107" s="101">
        <f t="shared" si="60"/>
        <v>70.416666666666671</v>
      </c>
      <c r="F2107" s="90">
        <f t="shared" si="59"/>
        <v>-6.6666666666666666E-2</v>
      </c>
    </row>
    <row r="2108" spans="1:6">
      <c r="A2108" s="5">
        <v>1894</v>
      </c>
      <c r="B2108" s="5" t="s">
        <v>20</v>
      </c>
      <c r="C2108" s="4">
        <v>69</v>
      </c>
      <c r="D2108" s="101">
        <f t="shared" si="60"/>
        <v>70</v>
      </c>
      <c r="E2108" s="4">
        <v>70</v>
      </c>
      <c r="F2108" s="90">
        <f t="shared" si="59"/>
        <v>-6.7567567567567571E-2</v>
      </c>
    </row>
    <row r="2109" spans="1:6">
      <c r="A2109" s="5">
        <v>1895</v>
      </c>
      <c r="B2109" s="5" t="s">
        <v>9</v>
      </c>
      <c r="C2109" s="4">
        <v>69</v>
      </c>
      <c r="D2109" s="101">
        <f t="shared" si="60"/>
        <v>69.75</v>
      </c>
      <c r="F2109" s="90">
        <f t="shared" si="59"/>
        <v>-4.1666666666666664E-2</v>
      </c>
    </row>
    <row r="2110" spans="1:6">
      <c r="A2110" s="5">
        <v>1895</v>
      </c>
      <c r="B2110" s="5" t="s">
        <v>10</v>
      </c>
      <c r="C2110" s="4">
        <v>69</v>
      </c>
      <c r="D2110" s="101">
        <f t="shared" si="60"/>
        <v>69.583333333333329</v>
      </c>
      <c r="F2110" s="90">
        <f t="shared" si="59"/>
        <v>-2.8169014084507043E-2</v>
      </c>
    </row>
    <row r="2111" spans="1:6">
      <c r="A2111" s="5">
        <v>1895</v>
      </c>
      <c r="B2111" s="5" t="s">
        <v>11</v>
      </c>
      <c r="C2111" s="4">
        <v>69</v>
      </c>
      <c r="D2111" s="101">
        <f t="shared" si="60"/>
        <v>69.583333333333329</v>
      </c>
      <c r="F2111" s="90">
        <f t="shared" si="59"/>
        <v>0</v>
      </c>
    </row>
    <row r="2112" spans="1:6">
      <c r="A2112" s="5">
        <v>1895</v>
      </c>
      <c r="B2112" s="5" t="s">
        <v>12</v>
      </c>
      <c r="C2112" s="4">
        <v>72</v>
      </c>
      <c r="D2112" s="101">
        <f t="shared" si="60"/>
        <v>69.833333333333329</v>
      </c>
      <c r="F2112" s="90">
        <f t="shared" si="59"/>
        <v>4.3478260869565216E-2</v>
      </c>
    </row>
    <row r="2113" spans="1:6">
      <c r="A2113" s="5">
        <v>1895</v>
      </c>
      <c r="B2113" s="5" t="s">
        <v>13</v>
      </c>
      <c r="C2113" s="4">
        <v>73</v>
      </c>
      <c r="D2113" s="101">
        <f t="shared" si="60"/>
        <v>70.166666666666671</v>
      </c>
      <c r="F2113" s="90">
        <f t="shared" si="59"/>
        <v>5.7971014492753624E-2</v>
      </c>
    </row>
    <row r="2114" spans="1:6">
      <c r="A2114" s="5">
        <v>1895</v>
      </c>
      <c r="B2114" s="5" t="s">
        <v>14</v>
      </c>
      <c r="C2114" s="4">
        <v>74</v>
      </c>
      <c r="D2114" s="101">
        <f t="shared" si="60"/>
        <v>70.583333333333329</v>
      </c>
      <c r="F2114" s="90">
        <f t="shared" si="59"/>
        <v>7.2463768115942032E-2</v>
      </c>
    </row>
    <row r="2115" spans="1:6">
      <c r="A2115" s="5">
        <v>1895</v>
      </c>
      <c r="B2115" s="5" t="s">
        <v>15</v>
      </c>
      <c r="C2115" s="4">
        <v>73</v>
      </c>
      <c r="D2115" s="101">
        <f t="shared" si="60"/>
        <v>70.916666666666671</v>
      </c>
      <c r="F2115" s="90">
        <f t="shared" si="59"/>
        <v>5.7971014492753624E-2</v>
      </c>
    </row>
    <row r="2116" spans="1:6">
      <c r="A2116" s="5">
        <v>1895</v>
      </c>
      <c r="B2116" s="5" t="s">
        <v>16</v>
      </c>
      <c r="C2116" s="4">
        <v>72</v>
      </c>
      <c r="D2116" s="101">
        <f t="shared" si="60"/>
        <v>71</v>
      </c>
      <c r="F2116" s="90">
        <f t="shared" si="59"/>
        <v>1.4084507042253521E-2</v>
      </c>
    </row>
    <row r="2117" spans="1:6">
      <c r="A2117" s="5">
        <v>1895</v>
      </c>
      <c r="B2117" s="5" t="s">
        <v>17</v>
      </c>
      <c r="C2117" s="4">
        <v>72</v>
      </c>
      <c r="D2117" s="101">
        <f t="shared" si="60"/>
        <v>71</v>
      </c>
      <c r="F2117" s="90">
        <f t="shared" si="59"/>
        <v>0</v>
      </c>
    </row>
    <row r="2118" spans="1:6">
      <c r="A2118" s="5">
        <v>1895</v>
      </c>
      <c r="B2118" s="5" t="s">
        <v>18</v>
      </c>
      <c r="C2118" s="4">
        <v>72</v>
      </c>
      <c r="D2118" s="101">
        <f t="shared" si="60"/>
        <v>71.166666666666671</v>
      </c>
      <c r="F2118" s="90">
        <f t="shared" si="59"/>
        <v>2.8571428571428571E-2</v>
      </c>
    </row>
    <row r="2119" spans="1:6">
      <c r="A2119" s="5">
        <v>1895</v>
      </c>
      <c r="B2119" s="5" t="s">
        <v>19</v>
      </c>
      <c r="C2119" s="4">
        <v>72</v>
      </c>
      <c r="D2119" s="101">
        <f t="shared" si="60"/>
        <v>71.333333333333329</v>
      </c>
      <c r="F2119" s="90">
        <f t="shared" si="59"/>
        <v>2.8571428571428571E-2</v>
      </c>
    </row>
    <row r="2120" spans="1:6">
      <c r="A2120" s="5">
        <v>1895</v>
      </c>
      <c r="B2120" s="5" t="s">
        <v>20</v>
      </c>
      <c r="C2120" s="4">
        <v>71</v>
      </c>
      <c r="D2120" s="101">
        <f t="shared" si="60"/>
        <v>71.5</v>
      </c>
      <c r="E2120" s="4">
        <v>71</v>
      </c>
      <c r="F2120" s="90">
        <f t="shared" si="59"/>
        <v>2.8985507246376812E-2</v>
      </c>
    </row>
    <row r="2121" spans="1:6">
      <c r="A2121" s="5">
        <v>1896</v>
      </c>
      <c r="B2121" s="5" t="s">
        <v>9</v>
      </c>
      <c r="C2121" s="4">
        <v>70</v>
      </c>
      <c r="D2121" s="101">
        <f t="shared" si="60"/>
        <v>71.583333333333329</v>
      </c>
      <c r="F2121" s="90">
        <f t="shared" si="59"/>
        <v>1.4492753623188406E-2</v>
      </c>
    </row>
    <row r="2122" spans="1:6">
      <c r="A2122" s="5">
        <v>1896</v>
      </c>
      <c r="B2122" s="5" t="s">
        <v>10</v>
      </c>
      <c r="C2122" s="4">
        <v>69</v>
      </c>
      <c r="D2122" s="101">
        <f t="shared" si="60"/>
        <v>71.583333333333329</v>
      </c>
      <c r="F2122" s="90">
        <f t="shared" si="59"/>
        <v>0</v>
      </c>
    </row>
    <row r="2123" spans="1:6">
      <c r="A2123" s="5">
        <v>1896</v>
      </c>
      <c r="B2123" s="5" t="s">
        <v>11</v>
      </c>
      <c r="C2123" s="4">
        <v>69</v>
      </c>
      <c r="D2123" s="101">
        <f t="shared" si="60"/>
        <v>71.583333333333329</v>
      </c>
      <c r="F2123" s="90">
        <f t="shared" si="59"/>
        <v>0</v>
      </c>
    </row>
    <row r="2124" spans="1:6">
      <c r="A2124" s="5">
        <v>1896</v>
      </c>
      <c r="B2124" s="5" t="s">
        <v>12</v>
      </c>
      <c r="C2124" s="4">
        <v>68</v>
      </c>
      <c r="D2124" s="101">
        <f t="shared" si="60"/>
        <v>71.25</v>
      </c>
      <c r="F2124" s="90">
        <f t="shared" si="59"/>
        <v>-5.5555555555555552E-2</v>
      </c>
    </row>
    <row r="2125" spans="1:6">
      <c r="A2125" s="5">
        <v>1896</v>
      </c>
      <c r="B2125" s="5" t="s">
        <v>13</v>
      </c>
      <c r="C2125" s="4">
        <v>67</v>
      </c>
      <c r="D2125" s="101">
        <f t="shared" si="60"/>
        <v>70.75</v>
      </c>
      <c r="F2125" s="90">
        <f t="shared" si="59"/>
        <v>-8.2191780821917804E-2</v>
      </c>
    </row>
    <row r="2126" spans="1:6">
      <c r="A2126" s="5">
        <v>1896</v>
      </c>
      <c r="B2126" s="5" t="s">
        <v>14</v>
      </c>
      <c r="C2126" s="4">
        <v>66</v>
      </c>
      <c r="D2126" s="101">
        <f t="shared" si="60"/>
        <v>70.083333333333329</v>
      </c>
      <c r="F2126" s="90">
        <f t="shared" si="59"/>
        <v>-0.10810810810810811</v>
      </c>
    </row>
    <row r="2127" spans="1:6">
      <c r="A2127" s="5">
        <v>1896</v>
      </c>
      <c r="B2127" s="5" t="s">
        <v>15</v>
      </c>
      <c r="C2127" s="4">
        <v>66</v>
      </c>
      <c r="D2127" s="101">
        <f t="shared" si="60"/>
        <v>69.5</v>
      </c>
      <c r="F2127" s="90">
        <f t="shared" si="59"/>
        <v>-9.5890410958904104E-2</v>
      </c>
    </row>
    <row r="2128" spans="1:6">
      <c r="A2128" s="5">
        <v>1896</v>
      </c>
      <c r="B2128" s="5" t="s">
        <v>16</v>
      </c>
      <c r="C2128" s="4">
        <v>66</v>
      </c>
      <c r="D2128" s="101">
        <f t="shared" si="60"/>
        <v>69</v>
      </c>
      <c r="F2128" s="90">
        <f t="shared" si="59"/>
        <v>-8.3333333333333329E-2</v>
      </c>
    </row>
    <row r="2129" spans="1:6">
      <c r="A2129" s="5">
        <v>1896</v>
      </c>
      <c r="B2129" s="5" t="s">
        <v>17</v>
      </c>
      <c r="C2129" s="4">
        <v>66</v>
      </c>
      <c r="D2129" s="101">
        <f t="shared" si="60"/>
        <v>68.5</v>
      </c>
      <c r="F2129" s="90">
        <f t="shared" si="59"/>
        <v>-8.3333333333333329E-2</v>
      </c>
    </row>
    <row r="2130" spans="1:6">
      <c r="A2130" s="5">
        <v>1896</v>
      </c>
      <c r="B2130" s="5" t="s">
        <v>18</v>
      </c>
      <c r="C2130" s="4">
        <v>68</v>
      </c>
      <c r="D2130" s="101">
        <f t="shared" si="60"/>
        <v>68.166666666666671</v>
      </c>
      <c r="F2130" s="90">
        <f t="shared" si="59"/>
        <v>-5.5555555555555552E-2</v>
      </c>
    </row>
    <row r="2131" spans="1:6">
      <c r="A2131" s="5">
        <v>1896</v>
      </c>
      <c r="B2131" s="5" t="s">
        <v>19</v>
      </c>
      <c r="C2131" s="4">
        <v>70</v>
      </c>
      <c r="D2131" s="101">
        <f t="shared" si="60"/>
        <v>68</v>
      </c>
      <c r="F2131" s="90">
        <f t="shared" si="59"/>
        <v>-2.7777777777777776E-2</v>
      </c>
    </row>
    <row r="2132" spans="1:6">
      <c r="A2132" s="5">
        <v>1896</v>
      </c>
      <c r="B2132" s="5" t="s">
        <v>20</v>
      </c>
      <c r="C2132" s="4">
        <v>70</v>
      </c>
      <c r="D2132" s="101">
        <f t="shared" si="60"/>
        <v>67.916666666666671</v>
      </c>
      <c r="E2132" s="4">
        <v>68</v>
      </c>
      <c r="F2132" s="90">
        <f t="shared" si="59"/>
        <v>-1.4084507042253521E-2</v>
      </c>
    </row>
    <row r="2133" spans="1:6">
      <c r="A2133" s="5">
        <v>1897</v>
      </c>
      <c r="B2133" s="5" t="s">
        <v>9</v>
      </c>
      <c r="C2133" s="4">
        <v>68</v>
      </c>
      <c r="D2133" s="101">
        <f t="shared" si="60"/>
        <v>67.75</v>
      </c>
      <c r="F2133" s="90">
        <f t="shared" ref="F2133:F2196" si="61">(C2133-C2121)/C2121</f>
        <v>-2.8571428571428571E-2</v>
      </c>
    </row>
    <row r="2134" spans="1:6">
      <c r="A2134" s="5">
        <v>1897</v>
      </c>
      <c r="B2134" s="5" t="s">
        <v>10</v>
      </c>
      <c r="C2134" s="4">
        <v>68</v>
      </c>
      <c r="D2134" s="101">
        <f t="shared" si="60"/>
        <v>67.666666666666671</v>
      </c>
      <c r="F2134" s="90">
        <f t="shared" si="61"/>
        <v>-1.4492753623188406E-2</v>
      </c>
    </row>
    <row r="2135" spans="1:6">
      <c r="A2135" s="5">
        <v>1897</v>
      </c>
      <c r="B2135" s="5" t="s">
        <v>11</v>
      </c>
      <c r="C2135" s="4">
        <v>68</v>
      </c>
      <c r="D2135" s="101">
        <f t="shared" si="60"/>
        <v>67.583333333333329</v>
      </c>
      <c r="F2135" s="90">
        <f t="shared" si="61"/>
        <v>-1.4492753623188406E-2</v>
      </c>
    </row>
    <row r="2136" spans="1:6">
      <c r="A2136" s="5">
        <v>1897</v>
      </c>
      <c r="B2136" s="5" t="s">
        <v>12</v>
      </c>
      <c r="C2136" s="4">
        <v>67</v>
      </c>
      <c r="D2136" s="101">
        <f t="shared" si="60"/>
        <v>67.5</v>
      </c>
      <c r="F2136" s="90">
        <f t="shared" si="61"/>
        <v>-1.4705882352941176E-2</v>
      </c>
    </row>
    <row r="2137" spans="1:6">
      <c r="A2137" s="5">
        <v>1897</v>
      </c>
      <c r="B2137" s="5" t="s">
        <v>13</v>
      </c>
      <c r="C2137" s="4">
        <v>66</v>
      </c>
      <c r="D2137" s="101">
        <f t="shared" si="60"/>
        <v>67.416666666666671</v>
      </c>
      <c r="F2137" s="90">
        <f t="shared" si="61"/>
        <v>-1.4925373134328358E-2</v>
      </c>
    </row>
    <row r="2138" spans="1:6">
      <c r="A2138" s="5">
        <v>1897</v>
      </c>
      <c r="B2138" s="5" t="s">
        <v>14</v>
      </c>
      <c r="C2138" s="4">
        <v>66</v>
      </c>
      <c r="D2138" s="101">
        <f t="shared" si="60"/>
        <v>67.416666666666671</v>
      </c>
      <c r="F2138" s="90">
        <f t="shared" si="61"/>
        <v>0</v>
      </c>
    </row>
    <row r="2139" spans="1:6">
      <c r="A2139" s="5">
        <v>1897</v>
      </c>
      <c r="B2139" s="5" t="s">
        <v>15</v>
      </c>
      <c r="C2139" s="4">
        <v>66</v>
      </c>
      <c r="D2139" s="101">
        <f t="shared" si="60"/>
        <v>67.416666666666671</v>
      </c>
      <c r="F2139" s="90">
        <f t="shared" si="61"/>
        <v>0</v>
      </c>
    </row>
    <row r="2140" spans="1:6">
      <c r="A2140" s="5">
        <v>1897</v>
      </c>
      <c r="B2140" s="5" t="s">
        <v>16</v>
      </c>
      <c r="C2140" s="4">
        <v>69</v>
      </c>
      <c r="D2140" s="101">
        <f t="shared" si="60"/>
        <v>67.666666666666671</v>
      </c>
      <c r="F2140" s="90">
        <f t="shared" si="61"/>
        <v>4.5454545454545456E-2</v>
      </c>
    </row>
    <row r="2141" spans="1:6">
      <c r="A2141" s="5">
        <v>1897</v>
      </c>
      <c r="B2141" s="5" t="s">
        <v>17</v>
      </c>
      <c r="C2141" s="4">
        <v>71</v>
      </c>
      <c r="D2141" s="101">
        <f t="shared" si="60"/>
        <v>68.083333333333329</v>
      </c>
      <c r="F2141" s="90">
        <f t="shared" si="61"/>
        <v>7.575757575757576E-2</v>
      </c>
    </row>
    <row r="2142" spans="1:6">
      <c r="A2142" s="5">
        <v>1897</v>
      </c>
      <c r="B2142" s="5" t="s">
        <v>18</v>
      </c>
      <c r="C2142" s="4">
        <v>70</v>
      </c>
      <c r="D2142" s="101">
        <f t="shared" si="60"/>
        <v>68.25</v>
      </c>
      <c r="F2142" s="90">
        <f t="shared" si="61"/>
        <v>2.9411764705882353E-2</v>
      </c>
    </row>
    <row r="2143" spans="1:6">
      <c r="A2143" s="5">
        <v>1897</v>
      </c>
      <c r="B2143" s="5" t="s">
        <v>19</v>
      </c>
      <c r="C2143" s="4">
        <v>70</v>
      </c>
      <c r="D2143" s="101">
        <f t="shared" si="60"/>
        <v>68.25</v>
      </c>
      <c r="F2143" s="90">
        <f t="shared" si="61"/>
        <v>0</v>
      </c>
    </row>
    <row r="2144" spans="1:6">
      <c r="A2144" s="5">
        <v>1897</v>
      </c>
      <c r="B2144" s="5" t="s">
        <v>20</v>
      </c>
      <c r="C2144" s="4">
        <v>70</v>
      </c>
      <c r="D2144" s="101">
        <f t="shared" si="60"/>
        <v>68.25</v>
      </c>
      <c r="E2144" s="4">
        <v>68</v>
      </c>
      <c r="F2144" s="90">
        <f t="shared" si="61"/>
        <v>0</v>
      </c>
    </row>
    <row r="2145" spans="1:6">
      <c r="A2145" s="5">
        <v>1898</v>
      </c>
      <c r="B2145" s="5" t="s">
        <v>9</v>
      </c>
      <c r="C2145" s="4">
        <v>70</v>
      </c>
      <c r="D2145" s="101">
        <f t="shared" si="60"/>
        <v>68.416666666666671</v>
      </c>
      <c r="F2145" s="90">
        <f t="shared" si="61"/>
        <v>2.9411764705882353E-2</v>
      </c>
    </row>
    <row r="2146" spans="1:6">
      <c r="A2146" s="5">
        <v>1898</v>
      </c>
      <c r="B2146" s="5" t="s">
        <v>10</v>
      </c>
      <c r="C2146" s="4">
        <v>71</v>
      </c>
      <c r="D2146" s="101">
        <f t="shared" si="60"/>
        <v>68.666666666666671</v>
      </c>
      <c r="F2146" s="90">
        <f t="shared" si="61"/>
        <v>4.4117647058823532E-2</v>
      </c>
    </row>
    <row r="2147" spans="1:6">
      <c r="A2147" s="5">
        <v>1898</v>
      </c>
      <c r="B2147" s="5" t="s">
        <v>11</v>
      </c>
      <c r="C2147" s="4">
        <v>71</v>
      </c>
      <c r="D2147" s="101">
        <f t="shared" si="60"/>
        <v>68.916666666666671</v>
      </c>
      <c r="F2147" s="90">
        <f t="shared" si="61"/>
        <v>4.4117647058823532E-2</v>
      </c>
    </row>
    <row r="2148" spans="1:6">
      <c r="A2148" s="5">
        <v>1898</v>
      </c>
      <c r="B2148" s="5" t="s">
        <v>12</v>
      </c>
      <c r="C2148" s="4">
        <v>71</v>
      </c>
      <c r="D2148" s="101">
        <f t="shared" si="60"/>
        <v>69.25</v>
      </c>
      <c r="F2148" s="90">
        <f t="shared" si="61"/>
        <v>5.9701492537313432E-2</v>
      </c>
    </row>
    <row r="2149" spans="1:6">
      <c r="A2149" s="5">
        <v>1898</v>
      </c>
      <c r="B2149" s="5" t="s">
        <v>13</v>
      </c>
      <c r="C2149" s="4">
        <v>76</v>
      </c>
      <c r="D2149" s="101">
        <f t="shared" si="60"/>
        <v>70.083333333333329</v>
      </c>
      <c r="F2149" s="90">
        <f t="shared" si="61"/>
        <v>0.15151515151515152</v>
      </c>
    </row>
    <row r="2150" spans="1:6">
      <c r="A2150" s="5">
        <v>1898</v>
      </c>
      <c r="B2150" s="5" t="s">
        <v>14</v>
      </c>
      <c r="C2150" s="4">
        <v>71</v>
      </c>
      <c r="D2150" s="101">
        <f t="shared" si="60"/>
        <v>70.5</v>
      </c>
      <c r="F2150" s="90">
        <f t="shared" si="61"/>
        <v>7.575757575757576E-2</v>
      </c>
    </row>
    <row r="2151" spans="1:6">
      <c r="A2151" s="5">
        <v>1898</v>
      </c>
      <c r="B2151" s="5" t="s">
        <v>15</v>
      </c>
      <c r="C2151" s="4">
        <v>70</v>
      </c>
      <c r="D2151" s="101">
        <f t="shared" si="60"/>
        <v>70.833333333333329</v>
      </c>
      <c r="F2151" s="90">
        <f t="shared" si="61"/>
        <v>6.0606060606060608E-2</v>
      </c>
    </row>
    <row r="2152" spans="1:6">
      <c r="A2152" s="5">
        <v>1898</v>
      </c>
      <c r="B2152" s="5" t="s">
        <v>16</v>
      </c>
      <c r="C2152" s="4">
        <v>70</v>
      </c>
      <c r="D2152" s="101">
        <f t="shared" si="60"/>
        <v>70.916666666666671</v>
      </c>
      <c r="F2152" s="90">
        <f t="shared" si="61"/>
        <v>1.4492753623188406E-2</v>
      </c>
    </row>
    <row r="2153" spans="1:6">
      <c r="A2153" s="5">
        <v>1898</v>
      </c>
      <c r="B2153" s="5" t="s">
        <v>17</v>
      </c>
      <c r="C2153" s="4">
        <v>70</v>
      </c>
      <c r="D2153" s="101">
        <f t="shared" si="60"/>
        <v>70.833333333333329</v>
      </c>
      <c r="F2153" s="90">
        <f t="shared" si="61"/>
        <v>-1.4084507042253521E-2</v>
      </c>
    </row>
    <row r="2154" spans="1:6">
      <c r="A2154" s="5">
        <v>1898</v>
      </c>
      <c r="B2154" s="5" t="s">
        <v>18</v>
      </c>
      <c r="C2154" s="4">
        <v>70</v>
      </c>
      <c r="D2154" s="101">
        <f t="shared" si="60"/>
        <v>70.833333333333329</v>
      </c>
      <c r="F2154" s="90">
        <f t="shared" si="61"/>
        <v>0</v>
      </c>
    </row>
    <row r="2155" spans="1:6">
      <c r="A2155" s="5">
        <v>1898</v>
      </c>
      <c r="B2155" s="5" t="s">
        <v>19</v>
      </c>
      <c r="C2155" s="4">
        <v>70</v>
      </c>
      <c r="D2155" s="101">
        <f t="shared" si="60"/>
        <v>70.833333333333329</v>
      </c>
      <c r="F2155" s="90">
        <f t="shared" si="61"/>
        <v>0</v>
      </c>
    </row>
    <row r="2156" spans="1:6">
      <c r="A2156" s="5">
        <v>1898</v>
      </c>
      <c r="B2156" s="5" t="s">
        <v>20</v>
      </c>
      <c r="C2156" s="4">
        <v>71</v>
      </c>
      <c r="D2156" s="101">
        <f t="shared" si="60"/>
        <v>70.916666666666671</v>
      </c>
      <c r="E2156" s="4">
        <v>71</v>
      </c>
      <c r="F2156" s="90">
        <f t="shared" si="61"/>
        <v>1.4285714285714285E-2</v>
      </c>
    </row>
    <row r="2157" spans="1:6">
      <c r="A2157" s="5">
        <v>1899</v>
      </c>
      <c r="B2157" s="5" t="s">
        <v>9</v>
      </c>
      <c r="C2157" s="4">
        <v>71</v>
      </c>
      <c r="D2157" s="101">
        <f t="shared" si="60"/>
        <v>71</v>
      </c>
      <c r="F2157" s="90">
        <f t="shared" si="61"/>
        <v>1.4285714285714285E-2</v>
      </c>
    </row>
    <row r="2158" spans="1:6">
      <c r="A2158" s="5">
        <v>1899</v>
      </c>
      <c r="B2158" s="5" t="s">
        <v>10</v>
      </c>
      <c r="C2158" s="4">
        <v>73</v>
      </c>
      <c r="D2158" s="101">
        <f t="shared" si="60"/>
        <v>71.166666666666671</v>
      </c>
      <c r="F2158" s="90">
        <f t="shared" si="61"/>
        <v>2.8169014084507043E-2</v>
      </c>
    </row>
    <row r="2159" spans="1:6">
      <c r="A2159" s="5">
        <v>1899</v>
      </c>
      <c r="B2159" s="5" t="s">
        <v>11</v>
      </c>
      <c r="C2159" s="4">
        <v>73</v>
      </c>
      <c r="D2159" s="101">
        <f t="shared" si="60"/>
        <v>71.333333333333329</v>
      </c>
      <c r="F2159" s="90">
        <f t="shared" si="61"/>
        <v>2.8169014084507043E-2</v>
      </c>
    </row>
    <row r="2160" spans="1:6">
      <c r="A2160" s="5">
        <v>1899</v>
      </c>
      <c r="B2160" s="5" t="s">
        <v>12</v>
      </c>
      <c r="C2160" s="4">
        <v>74</v>
      </c>
      <c r="D2160" s="101">
        <f t="shared" si="60"/>
        <v>71.583333333333329</v>
      </c>
      <c r="F2160" s="90">
        <f t="shared" si="61"/>
        <v>4.2253521126760563E-2</v>
      </c>
    </row>
    <row r="2161" spans="1:6">
      <c r="A2161" s="5">
        <v>1899</v>
      </c>
      <c r="B2161" s="5" t="s">
        <v>13</v>
      </c>
      <c r="C2161" s="4">
        <v>74</v>
      </c>
      <c r="D2161" s="101">
        <f t="shared" ref="D2161:D2224" si="62">AVERAGE(C2150:C2161)</f>
        <v>71.416666666666671</v>
      </c>
      <c r="F2161" s="90">
        <f t="shared" si="61"/>
        <v>-2.6315789473684209E-2</v>
      </c>
    </row>
    <row r="2162" spans="1:6">
      <c r="A2162" s="5">
        <v>1899</v>
      </c>
      <c r="B2162" s="5" t="s">
        <v>14</v>
      </c>
      <c r="C2162" s="4">
        <v>75</v>
      </c>
      <c r="D2162" s="101">
        <f t="shared" si="62"/>
        <v>71.75</v>
      </c>
      <c r="F2162" s="90">
        <f t="shared" si="61"/>
        <v>5.6338028169014086E-2</v>
      </c>
    </row>
    <row r="2163" spans="1:6">
      <c r="A2163" s="5">
        <v>1899</v>
      </c>
      <c r="B2163" s="5" t="s">
        <v>15</v>
      </c>
      <c r="C2163" s="4">
        <v>76</v>
      </c>
      <c r="D2163" s="101">
        <f t="shared" si="62"/>
        <v>72.25</v>
      </c>
      <c r="F2163" s="90">
        <f t="shared" si="61"/>
        <v>8.5714285714285715E-2</v>
      </c>
    </row>
    <row r="2164" spans="1:6">
      <c r="A2164" s="5">
        <v>1899</v>
      </c>
      <c r="B2164" s="5" t="s">
        <v>16</v>
      </c>
      <c r="C2164" s="4">
        <v>77</v>
      </c>
      <c r="D2164" s="101">
        <f t="shared" si="62"/>
        <v>72.833333333333329</v>
      </c>
      <c r="F2164" s="90">
        <f t="shared" si="61"/>
        <v>0.1</v>
      </c>
    </row>
    <row r="2165" spans="1:6">
      <c r="A2165" s="5">
        <v>1899</v>
      </c>
      <c r="B2165" s="5" t="s">
        <v>17</v>
      </c>
      <c r="C2165" s="4">
        <v>80</v>
      </c>
      <c r="D2165" s="101">
        <f t="shared" si="62"/>
        <v>73.666666666666671</v>
      </c>
      <c r="F2165" s="90">
        <f t="shared" si="61"/>
        <v>0.14285714285714285</v>
      </c>
    </row>
    <row r="2166" spans="1:6">
      <c r="A2166" s="5">
        <v>1899</v>
      </c>
      <c r="B2166" s="5" t="s">
        <v>18</v>
      </c>
      <c r="C2166" s="4">
        <v>81</v>
      </c>
      <c r="D2166" s="101">
        <f t="shared" si="62"/>
        <v>74.583333333333329</v>
      </c>
      <c r="F2166" s="90">
        <f t="shared" si="61"/>
        <v>0.15714285714285714</v>
      </c>
    </row>
    <row r="2167" spans="1:6">
      <c r="A2167" s="5">
        <v>1899</v>
      </c>
      <c r="B2167" s="5" t="s">
        <v>19</v>
      </c>
      <c r="C2167" s="4">
        <v>82</v>
      </c>
      <c r="D2167" s="101">
        <f t="shared" si="62"/>
        <v>75.583333333333329</v>
      </c>
      <c r="F2167" s="90">
        <f t="shared" si="61"/>
        <v>0.17142857142857143</v>
      </c>
    </row>
    <row r="2168" spans="1:6">
      <c r="A2168" s="5">
        <v>1899</v>
      </c>
      <c r="B2168" s="5" t="s">
        <v>20</v>
      </c>
      <c r="C2168" s="4">
        <v>83</v>
      </c>
      <c r="D2168" s="101">
        <f t="shared" si="62"/>
        <v>76.583333333333329</v>
      </c>
      <c r="E2168" s="4">
        <v>77</v>
      </c>
      <c r="F2168" s="90">
        <f t="shared" si="61"/>
        <v>0.16901408450704225</v>
      </c>
    </row>
    <row r="2169" spans="1:6">
      <c r="A2169" s="5">
        <v>1900</v>
      </c>
      <c r="B2169" s="5" t="s">
        <v>9</v>
      </c>
      <c r="C2169" s="4">
        <v>83</v>
      </c>
      <c r="D2169" s="101">
        <f t="shared" si="62"/>
        <v>77.583333333333329</v>
      </c>
      <c r="F2169" s="90">
        <f t="shared" si="61"/>
        <v>0.16901408450704225</v>
      </c>
    </row>
    <row r="2170" spans="1:6">
      <c r="A2170" s="5">
        <v>1900</v>
      </c>
      <c r="B2170" s="5" t="s">
        <v>10</v>
      </c>
      <c r="C2170" s="4">
        <v>84</v>
      </c>
      <c r="D2170" s="101">
        <f t="shared" si="62"/>
        <v>78.5</v>
      </c>
      <c r="F2170" s="90">
        <f t="shared" si="61"/>
        <v>0.15068493150684931</v>
      </c>
    </row>
    <row r="2171" spans="1:6">
      <c r="A2171" s="5">
        <v>1900</v>
      </c>
      <c r="B2171" s="5" t="s">
        <v>11</v>
      </c>
      <c r="C2171" s="4">
        <v>84</v>
      </c>
      <c r="D2171" s="101">
        <f t="shared" si="62"/>
        <v>79.416666666666671</v>
      </c>
      <c r="F2171" s="90">
        <f t="shared" si="61"/>
        <v>0.15068493150684931</v>
      </c>
    </row>
    <row r="2172" spans="1:6">
      <c r="A2172" s="5">
        <v>1900</v>
      </c>
      <c r="B2172" s="5" t="s">
        <v>12</v>
      </c>
      <c r="C2172" s="4">
        <v>84</v>
      </c>
      <c r="D2172" s="101">
        <f t="shared" si="62"/>
        <v>80.25</v>
      </c>
      <c r="F2172" s="90">
        <f t="shared" si="61"/>
        <v>0.13513513513513514</v>
      </c>
    </row>
    <row r="2173" spans="1:6">
      <c r="A2173" s="5">
        <v>1900</v>
      </c>
      <c r="B2173" s="5" t="s">
        <v>13</v>
      </c>
      <c r="C2173" s="4">
        <v>82</v>
      </c>
      <c r="D2173" s="101">
        <f t="shared" si="62"/>
        <v>80.916666666666671</v>
      </c>
      <c r="F2173" s="90">
        <f t="shared" si="61"/>
        <v>0.10810810810810811</v>
      </c>
    </row>
    <row r="2174" spans="1:6">
      <c r="A2174" s="5">
        <v>1900</v>
      </c>
      <c r="B2174" s="5" t="s">
        <v>14</v>
      </c>
      <c r="C2174" s="4">
        <v>81</v>
      </c>
      <c r="D2174" s="101">
        <f t="shared" si="62"/>
        <v>81.416666666666671</v>
      </c>
      <c r="F2174" s="90">
        <f t="shared" si="61"/>
        <v>0.08</v>
      </c>
    </row>
    <row r="2175" spans="1:6">
      <c r="A2175" s="5">
        <v>1900</v>
      </c>
      <c r="B2175" s="5" t="s">
        <v>15</v>
      </c>
      <c r="C2175" s="4">
        <v>82</v>
      </c>
      <c r="D2175" s="101">
        <f t="shared" si="62"/>
        <v>81.916666666666671</v>
      </c>
      <c r="F2175" s="90">
        <f t="shared" si="61"/>
        <v>7.8947368421052627E-2</v>
      </c>
    </row>
    <row r="2176" spans="1:6">
      <c r="A2176" s="5">
        <v>1900</v>
      </c>
      <c r="B2176" s="5" t="s">
        <v>16</v>
      </c>
      <c r="C2176" s="4">
        <v>81</v>
      </c>
      <c r="D2176" s="101">
        <f t="shared" si="62"/>
        <v>82.25</v>
      </c>
      <c r="F2176" s="90">
        <f t="shared" si="61"/>
        <v>5.1948051948051951E-2</v>
      </c>
    </row>
    <row r="2177" spans="1:6">
      <c r="A2177" s="5">
        <v>1900</v>
      </c>
      <c r="B2177" s="5" t="s">
        <v>17</v>
      </c>
      <c r="C2177" s="4">
        <v>82</v>
      </c>
      <c r="D2177" s="101">
        <f t="shared" si="62"/>
        <v>82.416666666666671</v>
      </c>
      <c r="F2177" s="90">
        <f t="shared" si="61"/>
        <v>2.5000000000000001E-2</v>
      </c>
    </row>
    <row r="2178" spans="1:6">
      <c r="A2178" s="5">
        <v>1900</v>
      </c>
      <c r="B2178" s="5" t="s">
        <v>18</v>
      </c>
      <c r="C2178" s="4">
        <v>81</v>
      </c>
      <c r="D2178" s="101">
        <f t="shared" si="62"/>
        <v>82.416666666666671</v>
      </c>
      <c r="F2178" s="90">
        <f t="shared" si="61"/>
        <v>0</v>
      </c>
    </row>
    <row r="2179" spans="1:6">
      <c r="A2179" s="5">
        <v>1900</v>
      </c>
      <c r="B2179" s="5" t="s">
        <v>19</v>
      </c>
      <c r="C2179" s="4">
        <v>81</v>
      </c>
      <c r="D2179" s="101">
        <f t="shared" si="62"/>
        <v>82.333333333333329</v>
      </c>
      <c r="F2179" s="90">
        <f t="shared" si="61"/>
        <v>-1.2195121951219513E-2</v>
      </c>
    </row>
    <row r="2180" spans="1:6">
      <c r="A2180" s="5">
        <v>1900</v>
      </c>
      <c r="B2180" s="5" t="s">
        <v>20</v>
      </c>
      <c r="C2180" s="4">
        <v>80</v>
      </c>
      <c r="D2180" s="101">
        <f t="shared" si="62"/>
        <v>82.083333333333329</v>
      </c>
      <c r="E2180" s="4">
        <v>82</v>
      </c>
      <c r="F2180" s="90">
        <f t="shared" si="61"/>
        <v>-3.614457831325301E-2</v>
      </c>
    </row>
    <row r="2181" spans="1:6">
      <c r="A2181" s="5">
        <v>1901</v>
      </c>
      <c r="B2181" s="5" t="s">
        <v>9</v>
      </c>
      <c r="C2181" s="4">
        <v>81</v>
      </c>
      <c r="D2181" s="101">
        <f t="shared" si="62"/>
        <v>81.916666666666671</v>
      </c>
      <c r="F2181" s="90">
        <f t="shared" si="61"/>
        <v>-2.4096385542168676E-2</v>
      </c>
    </row>
    <row r="2182" spans="1:6">
      <c r="A2182" s="5">
        <v>1901</v>
      </c>
      <c r="B2182" s="5" t="s">
        <v>10</v>
      </c>
      <c r="C2182" s="4">
        <v>80</v>
      </c>
      <c r="D2182" s="101">
        <f t="shared" si="62"/>
        <v>81.583333333333329</v>
      </c>
      <c r="F2182" s="90">
        <f t="shared" si="61"/>
        <v>-4.7619047619047616E-2</v>
      </c>
    </row>
    <row r="2183" spans="1:6">
      <c r="A2183" s="5">
        <v>1901</v>
      </c>
      <c r="B2183" s="5" t="s">
        <v>11</v>
      </c>
      <c r="C2183" s="4">
        <v>80</v>
      </c>
      <c r="D2183" s="101">
        <f t="shared" si="62"/>
        <v>81.25</v>
      </c>
      <c r="F2183" s="90">
        <f t="shared" si="61"/>
        <v>-4.7619047619047616E-2</v>
      </c>
    </row>
    <row r="2184" spans="1:6">
      <c r="A2184" s="5">
        <v>1901</v>
      </c>
      <c r="B2184" s="5" t="s">
        <v>12</v>
      </c>
      <c r="C2184" s="4">
        <v>79</v>
      </c>
      <c r="D2184" s="101">
        <f t="shared" si="62"/>
        <v>80.833333333333329</v>
      </c>
      <c r="F2184" s="90">
        <f t="shared" si="61"/>
        <v>-5.9523809523809521E-2</v>
      </c>
    </row>
    <row r="2185" spans="1:6">
      <c r="A2185" s="5">
        <v>1901</v>
      </c>
      <c r="B2185" s="5" t="s">
        <v>13</v>
      </c>
      <c r="C2185" s="4">
        <v>79</v>
      </c>
      <c r="D2185" s="101">
        <f t="shared" si="62"/>
        <v>80.583333333333329</v>
      </c>
      <c r="F2185" s="90">
        <f t="shared" si="61"/>
        <v>-3.6585365853658534E-2</v>
      </c>
    </row>
    <row r="2186" spans="1:6">
      <c r="A2186" s="5">
        <v>1901</v>
      </c>
      <c r="B2186" s="5" t="s">
        <v>14</v>
      </c>
      <c r="C2186" s="4">
        <v>79</v>
      </c>
      <c r="D2186" s="101">
        <f t="shared" si="62"/>
        <v>80.416666666666671</v>
      </c>
      <c r="F2186" s="90">
        <f t="shared" si="61"/>
        <v>-2.4691358024691357E-2</v>
      </c>
    </row>
    <row r="2187" spans="1:6">
      <c r="A2187" s="5">
        <v>1901</v>
      </c>
      <c r="B2187" s="5" t="s">
        <v>15</v>
      </c>
      <c r="C2187" s="4">
        <v>80</v>
      </c>
      <c r="D2187" s="101">
        <f t="shared" si="62"/>
        <v>80.25</v>
      </c>
      <c r="F2187" s="90">
        <f t="shared" si="61"/>
        <v>-2.4390243902439025E-2</v>
      </c>
    </row>
    <row r="2188" spans="1:6">
      <c r="A2188" s="5">
        <v>1901</v>
      </c>
      <c r="B2188" s="5" t="s">
        <v>16</v>
      </c>
      <c r="C2188" s="4">
        <v>81</v>
      </c>
      <c r="D2188" s="101">
        <f t="shared" si="62"/>
        <v>80.25</v>
      </c>
      <c r="F2188" s="90">
        <f t="shared" si="61"/>
        <v>0</v>
      </c>
    </row>
    <row r="2189" spans="1:6">
      <c r="A2189" s="5">
        <v>1901</v>
      </c>
      <c r="B2189" s="5" t="s">
        <v>17</v>
      </c>
      <c r="C2189" s="4">
        <v>82</v>
      </c>
      <c r="D2189" s="101">
        <f t="shared" si="62"/>
        <v>80.25</v>
      </c>
      <c r="F2189" s="90">
        <f t="shared" si="61"/>
        <v>0</v>
      </c>
    </row>
    <row r="2190" spans="1:6">
      <c r="A2190" s="5">
        <v>1901</v>
      </c>
      <c r="B2190" s="5" t="s">
        <v>18</v>
      </c>
      <c r="C2190" s="4">
        <v>82</v>
      </c>
      <c r="D2190" s="101">
        <f t="shared" si="62"/>
        <v>80.333333333333329</v>
      </c>
      <c r="F2190" s="90">
        <f t="shared" si="61"/>
        <v>1.2345679012345678E-2</v>
      </c>
    </row>
    <row r="2191" spans="1:6">
      <c r="A2191" s="5">
        <v>1901</v>
      </c>
      <c r="B2191" s="5" t="s">
        <v>19</v>
      </c>
      <c r="C2191" s="4">
        <v>83</v>
      </c>
      <c r="D2191" s="101">
        <f t="shared" si="62"/>
        <v>80.5</v>
      </c>
      <c r="F2191" s="90">
        <f t="shared" si="61"/>
        <v>2.4691358024691357E-2</v>
      </c>
    </row>
    <row r="2192" spans="1:6">
      <c r="A2192" s="5">
        <v>1901</v>
      </c>
      <c r="B2192" s="5" t="s">
        <v>20</v>
      </c>
      <c r="C2192" s="4">
        <v>84</v>
      </c>
      <c r="D2192" s="101">
        <f t="shared" si="62"/>
        <v>80.833333333333329</v>
      </c>
      <c r="E2192" s="4">
        <v>81</v>
      </c>
      <c r="F2192" s="90">
        <f t="shared" si="61"/>
        <v>0.05</v>
      </c>
    </row>
    <row r="2193" spans="1:6">
      <c r="A2193" s="5">
        <v>1902</v>
      </c>
      <c r="B2193" s="5" t="s">
        <v>9</v>
      </c>
      <c r="C2193" s="4">
        <v>83</v>
      </c>
      <c r="D2193" s="101">
        <f t="shared" si="62"/>
        <v>81</v>
      </c>
      <c r="F2193" s="90">
        <f t="shared" si="61"/>
        <v>2.4691358024691357E-2</v>
      </c>
    </row>
    <row r="2194" spans="1:6">
      <c r="A2194" s="5">
        <v>1902</v>
      </c>
      <c r="B2194" s="5" t="s">
        <v>10</v>
      </c>
      <c r="C2194" s="4">
        <v>83</v>
      </c>
      <c r="D2194" s="101">
        <f t="shared" si="62"/>
        <v>81.25</v>
      </c>
      <c r="F2194" s="90">
        <f t="shared" si="61"/>
        <v>3.7499999999999999E-2</v>
      </c>
    </row>
    <row r="2195" spans="1:6">
      <c r="A2195" s="5">
        <v>1902</v>
      </c>
      <c r="B2195" s="5" t="s">
        <v>11</v>
      </c>
      <c r="C2195" s="4">
        <v>83</v>
      </c>
      <c r="D2195" s="101">
        <f t="shared" si="62"/>
        <v>81.5</v>
      </c>
      <c r="F2195" s="90">
        <f t="shared" si="61"/>
        <v>3.7499999999999999E-2</v>
      </c>
    </row>
    <row r="2196" spans="1:6">
      <c r="A2196" s="5">
        <v>1902</v>
      </c>
      <c r="B2196" s="5" t="s">
        <v>12</v>
      </c>
      <c r="C2196" s="4">
        <v>84</v>
      </c>
      <c r="D2196" s="101">
        <f t="shared" si="62"/>
        <v>81.916666666666671</v>
      </c>
      <c r="F2196" s="90">
        <f t="shared" si="61"/>
        <v>6.3291139240506333E-2</v>
      </c>
    </row>
    <row r="2197" spans="1:6">
      <c r="A2197" s="5">
        <v>1902</v>
      </c>
      <c r="B2197" s="5" t="s">
        <v>13</v>
      </c>
      <c r="C2197" s="4">
        <v>85</v>
      </c>
      <c r="D2197" s="101">
        <f t="shared" si="62"/>
        <v>82.416666666666671</v>
      </c>
      <c r="F2197" s="90">
        <f t="shared" ref="F2197:F2260" si="63">(C2197-C2185)/C2185</f>
        <v>7.5949367088607597E-2</v>
      </c>
    </row>
    <row r="2198" spans="1:6">
      <c r="A2198" s="5">
        <v>1902</v>
      </c>
      <c r="B2198" s="5" t="s">
        <v>14</v>
      </c>
      <c r="C2198" s="4">
        <v>86</v>
      </c>
      <c r="D2198" s="101">
        <f t="shared" si="62"/>
        <v>83</v>
      </c>
      <c r="F2198" s="90">
        <f t="shared" si="63"/>
        <v>8.8607594936708861E-2</v>
      </c>
    </row>
    <row r="2199" spans="1:6">
      <c r="A2199" s="5">
        <v>1902</v>
      </c>
      <c r="B2199" s="5" t="s">
        <v>15</v>
      </c>
      <c r="C2199" s="4">
        <v>86</v>
      </c>
      <c r="D2199" s="101">
        <f t="shared" si="62"/>
        <v>83.5</v>
      </c>
      <c r="F2199" s="90">
        <f t="shared" si="63"/>
        <v>7.4999999999999997E-2</v>
      </c>
    </row>
    <row r="2200" spans="1:6">
      <c r="A2200" s="5">
        <v>1902</v>
      </c>
      <c r="B2200" s="5" t="s">
        <v>16</v>
      </c>
      <c r="C2200" s="4">
        <v>85</v>
      </c>
      <c r="D2200" s="101">
        <f t="shared" si="62"/>
        <v>83.833333333333329</v>
      </c>
      <c r="F2200" s="90">
        <f t="shared" si="63"/>
        <v>4.9382716049382713E-2</v>
      </c>
    </row>
    <row r="2201" spans="1:6">
      <c r="A2201" s="5">
        <v>1902</v>
      </c>
      <c r="B2201" s="5" t="s">
        <v>17</v>
      </c>
      <c r="C2201" s="4">
        <v>86</v>
      </c>
      <c r="D2201" s="101">
        <f t="shared" si="62"/>
        <v>84.166666666666671</v>
      </c>
      <c r="F2201" s="90">
        <f t="shared" si="63"/>
        <v>4.878048780487805E-2</v>
      </c>
    </row>
    <row r="2202" spans="1:6">
      <c r="A2202" s="5">
        <v>1902</v>
      </c>
      <c r="B2202" s="5" t="s">
        <v>18</v>
      </c>
      <c r="C2202" s="4">
        <v>92</v>
      </c>
      <c r="D2202" s="101">
        <f t="shared" si="62"/>
        <v>85</v>
      </c>
      <c r="F2202" s="90">
        <f t="shared" si="63"/>
        <v>0.12195121951219512</v>
      </c>
    </row>
    <row r="2203" spans="1:6">
      <c r="A2203" s="5">
        <v>1902</v>
      </c>
      <c r="B2203" s="5" t="s">
        <v>19</v>
      </c>
      <c r="C2203" s="4">
        <v>89</v>
      </c>
      <c r="D2203" s="101">
        <f t="shared" si="62"/>
        <v>85.5</v>
      </c>
      <c r="F2203" s="90">
        <f t="shared" si="63"/>
        <v>7.2289156626506021E-2</v>
      </c>
    </row>
    <row r="2204" spans="1:6">
      <c r="A2204" s="5">
        <v>1902</v>
      </c>
      <c r="B2204" s="5" t="s">
        <v>20</v>
      </c>
      <c r="C2204" s="4">
        <v>90</v>
      </c>
      <c r="D2204" s="101">
        <f t="shared" si="62"/>
        <v>86</v>
      </c>
      <c r="E2204" s="4">
        <v>86</v>
      </c>
      <c r="F2204" s="90">
        <f t="shared" si="63"/>
        <v>7.1428571428571425E-2</v>
      </c>
    </row>
    <row r="2205" spans="1:6">
      <c r="A2205" s="5">
        <v>1903</v>
      </c>
      <c r="B2205" s="5" t="s">
        <v>9</v>
      </c>
      <c r="C2205" s="4">
        <v>91</v>
      </c>
      <c r="D2205" s="101">
        <f t="shared" si="62"/>
        <v>86.666666666666671</v>
      </c>
      <c r="F2205" s="90">
        <f t="shared" si="63"/>
        <v>9.6385542168674704E-2</v>
      </c>
    </row>
    <row r="2206" spans="1:6">
      <c r="A2206" s="5">
        <v>1903</v>
      </c>
      <c r="B2206" s="5" t="s">
        <v>10</v>
      </c>
      <c r="C2206" s="4">
        <v>91</v>
      </c>
      <c r="D2206" s="101">
        <f t="shared" si="62"/>
        <v>87.333333333333329</v>
      </c>
      <c r="F2206" s="90">
        <f t="shared" si="63"/>
        <v>9.6385542168674704E-2</v>
      </c>
    </row>
    <row r="2207" spans="1:6">
      <c r="A2207" s="5">
        <v>1903</v>
      </c>
      <c r="B2207" s="5" t="s">
        <v>11</v>
      </c>
      <c r="C2207" s="4">
        <v>88</v>
      </c>
      <c r="D2207" s="101">
        <f t="shared" si="62"/>
        <v>87.75</v>
      </c>
      <c r="F2207" s="90">
        <f t="shared" si="63"/>
        <v>6.0240963855421686E-2</v>
      </c>
    </row>
    <row r="2208" spans="1:6">
      <c r="A2208" s="5">
        <v>1903</v>
      </c>
      <c r="B2208" s="5" t="s">
        <v>12</v>
      </c>
      <c r="C2208" s="4">
        <v>88</v>
      </c>
      <c r="D2208" s="101">
        <f t="shared" si="62"/>
        <v>88.083333333333329</v>
      </c>
      <c r="F2208" s="90">
        <f t="shared" si="63"/>
        <v>4.7619047619047616E-2</v>
      </c>
    </row>
    <row r="2209" spans="1:6">
      <c r="A2209" s="5">
        <v>1903</v>
      </c>
      <c r="B2209" s="5" t="s">
        <v>13</v>
      </c>
      <c r="C2209" s="4">
        <v>86</v>
      </c>
      <c r="D2209" s="101">
        <f t="shared" si="62"/>
        <v>88.166666666666671</v>
      </c>
      <c r="F2209" s="90">
        <f t="shared" si="63"/>
        <v>1.1764705882352941E-2</v>
      </c>
    </row>
    <row r="2210" spans="1:6">
      <c r="A2210" s="5">
        <v>1903</v>
      </c>
      <c r="B2210" s="5" t="s">
        <v>14</v>
      </c>
      <c r="C2210" s="4">
        <v>86</v>
      </c>
      <c r="D2210" s="101">
        <f t="shared" si="62"/>
        <v>88.166666666666671</v>
      </c>
      <c r="F2210" s="90">
        <f t="shared" si="63"/>
        <v>0</v>
      </c>
    </row>
    <row r="2211" spans="1:6">
      <c r="A2211" s="5">
        <v>1903</v>
      </c>
      <c r="B2211" s="5" t="s">
        <v>15</v>
      </c>
      <c r="C2211" s="4">
        <v>86</v>
      </c>
      <c r="D2211" s="101">
        <f t="shared" si="62"/>
        <v>88.166666666666671</v>
      </c>
      <c r="F2211" s="90">
        <f t="shared" si="63"/>
        <v>0</v>
      </c>
    </row>
    <row r="2212" spans="1:6">
      <c r="A2212" s="5">
        <v>1903</v>
      </c>
      <c r="B2212" s="5" t="s">
        <v>16</v>
      </c>
      <c r="C2212" s="4">
        <v>86</v>
      </c>
      <c r="D2212" s="101">
        <f t="shared" si="62"/>
        <v>88.25</v>
      </c>
      <c r="F2212" s="90">
        <f t="shared" si="63"/>
        <v>1.1764705882352941E-2</v>
      </c>
    </row>
    <row r="2213" spans="1:6">
      <c r="A2213" s="5">
        <v>1903</v>
      </c>
      <c r="B2213" s="5" t="s">
        <v>17</v>
      </c>
      <c r="C2213" s="4">
        <v>87</v>
      </c>
      <c r="D2213" s="101">
        <f t="shared" si="62"/>
        <v>88.333333333333329</v>
      </c>
      <c r="F2213" s="90">
        <f t="shared" si="63"/>
        <v>1.1627906976744186E-2</v>
      </c>
    </row>
    <row r="2214" spans="1:6">
      <c r="A2214" s="5">
        <v>1903</v>
      </c>
      <c r="B2214" s="5" t="s">
        <v>18</v>
      </c>
      <c r="C2214" s="4">
        <v>86</v>
      </c>
      <c r="D2214" s="101">
        <f t="shared" si="62"/>
        <v>87.833333333333329</v>
      </c>
      <c r="F2214" s="90">
        <f t="shared" si="63"/>
        <v>-6.5217391304347824E-2</v>
      </c>
    </row>
    <row r="2215" spans="1:6">
      <c r="A2215" s="5">
        <v>1903</v>
      </c>
      <c r="B2215" s="5" t="s">
        <v>19</v>
      </c>
      <c r="C2215" s="4">
        <v>85</v>
      </c>
      <c r="D2215" s="101">
        <f t="shared" si="62"/>
        <v>87.5</v>
      </c>
      <c r="F2215" s="90">
        <f t="shared" si="63"/>
        <v>-4.49438202247191E-2</v>
      </c>
    </row>
    <row r="2216" spans="1:6">
      <c r="A2216" s="5">
        <v>1903</v>
      </c>
      <c r="B2216" s="5" t="s">
        <v>20</v>
      </c>
      <c r="C2216" s="4">
        <v>85</v>
      </c>
      <c r="D2216" s="101">
        <f t="shared" si="62"/>
        <v>87.083333333333329</v>
      </c>
      <c r="E2216" s="4">
        <v>87</v>
      </c>
      <c r="F2216" s="90">
        <f t="shared" si="63"/>
        <v>-5.5555555555555552E-2</v>
      </c>
    </row>
    <row r="2217" spans="1:6">
      <c r="A2217" s="5">
        <v>1904</v>
      </c>
      <c r="B2217" s="5" t="s">
        <v>9</v>
      </c>
      <c r="C2217" s="4">
        <v>87</v>
      </c>
      <c r="D2217" s="101">
        <f t="shared" si="62"/>
        <v>86.75</v>
      </c>
      <c r="F2217" s="90">
        <f t="shared" si="63"/>
        <v>-4.3956043956043959E-2</v>
      </c>
    </row>
    <row r="2218" spans="1:6">
      <c r="A2218" s="5">
        <v>1904</v>
      </c>
      <c r="B2218" s="5" t="s">
        <v>10</v>
      </c>
      <c r="C2218" s="4">
        <v>89</v>
      </c>
      <c r="D2218" s="101">
        <f t="shared" si="62"/>
        <v>86.583333333333329</v>
      </c>
      <c r="F2218" s="90">
        <f t="shared" si="63"/>
        <v>-2.197802197802198E-2</v>
      </c>
    </row>
    <row r="2219" spans="1:6">
      <c r="A2219" s="5">
        <v>1904</v>
      </c>
      <c r="B2219" s="5" t="s">
        <v>11</v>
      </c>
      <c r="C2219" s="4">
        <v>88</v>
      </c>
      <c r="D2219" s="101">
        <f t="shared" si="62"/>
        <v>86.583333333333329</v>
      </c>
      <c r="F2219" s="90">
        <f t="shared" si="63"/>
        <v>0</v>
      </c>
    </row>
    <row r="2220" spans="1:6">
      <c r="A2220" s="5">
        <v>1904</v>
      </c>
      <c r="B2220" s="5" t="s">
        <v>12</v>
      </c>
      <c r="C2220" s="4">
        <v>87</v>
      </c>
      <c r="D2220" s="101">
        <f t="shared" si="62"/>
        <v>86.5</v>
      </c>
      <c r="F2220" s="90">
        <f t="shared" si="63"/>
        <v>-1.1363636363636364E-2</v>
      </c>
    </row>
    <row r="2221" spans="1:6">
      <c r="A2221" s="5">
        <v>1904</v>
      </c>
      <c r="B2221" s="5" t="s">
        <v>13</v>
      </c>
      <c r="C2221" s="4">
        <v>85</v>
      </c>
      <c r="D2221" s="101">
        <f t="shared" si="62"/>
        <v>86.416666666666671</v>
      </c>
      <c r="F2221" s="90">
        <f t="shared" si="63"/>
        <v>-1.1627906976744186E-2</v>
      </c>
    </row>
    <row r="2222" spans="1:6">
      <c r="A2222" s="5">
        <v>1904</v>
      </c>
      <c r="B2222" s="5" t="s">
        <v>14</v>
      </c>
      <c r="C2222" s="4">
        <v>85</v>
      </c>
      <c r="D2222" s="101">
        <f t="shared" si="62"/>
        <v>86.333333333333329</v>
      </c>
      <c r="F2222" s="90">
        <f t="shared" si="63"/>
        <v>-1.1627906976744186E-2</v>
      </c>
    </row>
    <row r="2223" spans="1:6">
      <c r="A2223" s="5">
        <v>1904</v>
      </c>
      <c r="B2223" s="5" t="s">
        <v>15</v>
      </c>
      <c r="C2223" s="4">
        <v>85</v>
      </c>
      <c r="D2223" s="101">
        <f t="shared" si="62"/>
        <v>86.25</v>
      </c>
      <c r="F2223" s="90">
        <f t="shared" si="63"/>
        <v>-1.1627906976744186E-2</v>
      </c>
    </row>
    <row r="2224" spans="1:6">
      <c r="A2224" s="5">
        <v>1904</v>
      </c>
      <c r="B2224" s="5" t="s">
        <v>16</v>
      </c>
      <c r="C2224" s="4">
        <v>86</v>
      </c>
      <c r="D2224" s="101">
        <f t="shared" si="62"/>
        <v>86.25</v>
      </c>
      <c r="F2224" s="90">
        <f t="shared" si="63"/>
        <v>0</v>
      </c>
    </row>
    <row r="2225" spans="1:6">
      <c r="A2225" s="5">
        <v>1904</v>
      </c>
      <c r="B2225" s="5" t="s">
        <v>17</v>
      </c>
      <c r="C2225" s="4">
        <v>87</v>
      </c>
      <c r="D2225" s="101">
        <f t="shared" ref="D2225:D2288" si="64">AVERAGE(C2214:C2225)</f>
        <v>86.25</v>
      </c>
      <c r="F2225" s="90">
        <f t="shared" si="63"/>
        <v>0</v>
      </c>
    </row>
    <row r="2226" spans="1:6">
      <c r="A2226" s="5">
        <v>1904</v>
      </c>
      <c r="B2226" s="5" t="s">
        <v>18</v>
      </c>
      <c r="C2226" s="4">
        <v>87</v>
      </c>
      <c r="D2226" s="101">
        <f t="shared" si="64"/>
        <v>86.333333333333329</v>
      </c>
      <c r="F2226" s="90">
        <f t="shared" si="63"/>
        <v>1.1627906976744186E-2</v>
      </c>
    </row>
    <row r="2227" spans="1:6">
      <c r="A2227" s="5">
        <v>1904</v>
      </c>
      <c r="B2227" s="5" t="s">
        <v>19</v>
      </c>
      <c r="C2227" s="4">
        <v>89</v>
      </c>
      <c r="D2227" s="101">
        <f t="shared" si="64"/>
        <v>86.666666666666671</v>
      </c>
      <c r="F2227" s="90">
        <f t="shared" si="63"/>
        <v>4.7058823529411764E-2</v>
      </c>
    </row>
    <row r="2228" spans="1:6">
      <c r="A2228" s="5">
        <v>1904</v>
      </c>
      <c r="B2228" s="5" t="s">
        <v>20</v>
      </c>
      <c r="C2228" s="4">
        <v>89</v>
      </c>
      <c r="D2228" s="101">
        <f t="shared" si="64"/>
        <v>87</v>
      </c>
      <c r="E2228" s="4">
        <v>87</v>
      </c>
      <c r="F2228" s="90">
        <f t="shared" si="63"/>
        <v>4.7058823529411764E-2</v>
      </c>
    </row>
    <row r="2229" spans="1:6">
      <c r="A2229" s="5">
        <v>1905</v>
      </c>
      <c r="B2229" s="5" t="s">
        <v>9</v>
      </c>
      <c r="C2229" s="4">
        <v>89</v>
      </c>
      <c r="D2229" s="101">
        <f t="shared" si="64"/>
        <v>87.166666666666671</v>
      </c>
      <c r="F2229" s="90">
        <f t="shared" si="63"/>
        <v>2.2988505747126436E-2</v>
      </c>
    </row>
    <row r="2230" spans="1:6">
      <c r="A2230" s="5">
        <v>1905</v>
      </c>
      <c r="B2230" s="5" t="s">
        <v>10</v>
      </c>
      <c r="C2230" s="4">
        <v>89</v>
      </c>
      <c r="D2230" s="101">
        <f t="shared" si="64"/>
        <v>87.166666666666671</v>
      </c>
      <c r="F2230" s="90">
        <f t="shared" si="63"/>
        <v>0</v>
      </c>
    </row>
    <row r="2231" spans="1:6">
      <c r="A2231" s="5">
        <v>1905</v>
      </c>
      <c r="B2231" s="5" t="s">
        <v>11</v>
      </c>
      <c r="C2231" s="4">
        <v>88</v>
      </c>
      <c r="D2231" s="101">
        <f t="shared" si="64"/>
        <v>87.166666666666671</v>
      </c>
      <c r="F2231" s="90">
        <f t="shared" si="63"/>
        <v>0</v>
      </c>
    </row>
    <row r="2232" spans="1:6">
      <c r="A2232" s="5">
        <v>1905</v>
      </c>
      <c r="B2232" s="5" t="s">
        <v>12</v>
      </c>
      <c r="C2232" s="4">
        <v>88</v>
      </c>
      <c r="D2232" s="101">
        <f t="shared" si="64"/>
        <v>87.25</v>
      </c>
      <c r="F2232" s="90">
        <f t="shared" si="63"/>
        <v>1.1494252873563218E-2</v>
      </c>
    </row>
    <row r="2233" spans="1:6">
      <c r="A2233" s="5">
        <v>1905</v>
      </c>
      <c r="B2233" s="5" t="s">
        <v>13</v>
      </c>
      <c r="C2233" s="4">
        <v>87</v>
      </c>
      <c r="D2233" s="101">
        <f t="shared" si="64"/>
        <v>87.416666666666671</v>
      </c>
      <c r="F2233" s="90">
        <f t="shared" si="63"/>
        <v>2.3529411764705882E-2</v>
      </c>
    </row>
    <row r="2234" spans="1:6">
      <c r="A2234" s="5">
        <v>1905</v>
      </c>
      <c r="B2234" s="5" t="s">
        <v>14</v>
      </c>
      <c r="C2234" s="4">
        <v>87</v>
      </c>
      <c r="D2234" s="101">
        <f t="shared" si="64"/>
        <v>87.583333333333329</v>
      </c>
      <c r="F2234" s="90">
        <f t="shared" si="63"/>
        <v>2.3529411764705882E-2</v>
      </c>
    </row>
    <row r="2235" spans="1:6">
      <c r="A2235" s="5">
        <v>1905</v>
      </c>
      <c r="B2235" s="5" t="s">
        <v>15</v>
      </c>
      <c r="C2235" s="4">
        <v>87</v>
      </c>
      <c r="D2235" s="101">
        <f t="shared" si="64"/>
        <v>87.75</v>
      </c>
      <c r="F2235" s="90">
        <f t="shared" si="63"/>
        <v>2.3529411764705882E-2</v>
      </c>
    </row>
    <row r="2236" spans="1:6">
      <c r="A2236" s="5">
        <v>1905</v>
      </c>
      <c r="B2236" s="5" t="s">
        <v>16</v>
      </c>
      <c r="C2236" s="4">
        <v>88</v>
      </c>
      <c r="D2236" s="101">
        <f t="shared" si="64"/>
        <v>87.916666666666671</v>
      </c>
      <c r="F2236" s="90">
        <f t="shared" si="63"/>
        <v>2.3255813953488372E-2</v>
      </c>
    </row>
    <row r="2237" spans="1:6">
      <c r="A2237" s="5">
        <v>1905</v>
      </c>
      <c r="B2237" s="5" t="s">
        <v>17</v>
      </c>
      <c r="C2237" s="4">
        <v>87</v>
      </c>
      <c r="D2237" s="101">
        <f t="shared" si="64"/>
        <v>87.916666666666671</v>
      </c>
      <c r="F2237" s="90">
        <f t="shared" si="63"/>
        <v>0</v>
      </c>
    </row>
    <row r="2238" spans="1:6">
      <c r="A2238" s="5">
        <v>1905</v>
      </c>
      <c r="B2238" s="5" t="s">
        <v>18</v>
      </c>
      <c r="C2238" s="4">
        <v>87</v>
      </c>
      <c r="D2238" s="101">
        <f t="shared" si="64"/>
        <v>87.916666666666671</v>
      </c>
      <c r="F2238" s="90">
        <f t="shared" si="63"/>
        <v>0</v>
      </c>
    </row>
    <row r="2239" spans="1:6">
      <c r="A2239" s="5">
        <v>1905</v>
      </c>
      <c r="B2239" s="5" t="s">
        <v>19</v>
      </c>
      <c r="C2239" s="4">
        <v>88</v>
      </c>
      <c r="D2239" s="101">
        <f t="shared" si="64"/>
        <v>87.833333333333329</v>
      </c>
      <c r="F2239" s="90">
        <f t="shared" si="63"/>
        <v>-1.1235955056179775E-2</v>
      </c>
    </row>
    <row r="2240" spans="1:6">
      <c r="A2240" s="5">
        <v>1905</v>
      </c>
      <c r="B2240" s="5" t="s">
        <v>20</v>
      </c>
      <c r="C2240" s="4">
        <v>89</v>
      </c>
      <c r="D2240" s="101">
        <f t="shared" si="64"/>
        <v>87.833333333333329</v>
      </c>
      <c r="E2240" s="4">
        <v>88</v>
      </c>
      <c r="F2240" s="90">
        <f t="shared" si="63"/>
        <v>0</v>
      </c>
    </row>
    <row r="2241" spans="1:6">
      <c r="A2241" s="5">
        <v>1906</v>
      </c>
      <c r="B2241" s="5" t="s">
        <v>9</v>
      </c>
      <c r="C2241" s="4">
        <v>89</v>
      </c>
      <c r="D2241" s="101">
        <f t="shared" si="64"/>
        <v>87.833333333333329</v>
      </c>
      <c r="F2241" s="90">
        <f t="shared" si="63"/>
        <v>0</v>
      </c>
    </row>
    <row r="2242" spans="1:6">
      <c r="A2242" s="5">
        <v>1906</v>
      </c>
      <c r="B2242" s="5" t="s">
        <v>10</v>
      </c>
      <c r="C2242" s="4">
        <v>89</v>
      </c>
      <c r="D2242" s="101">
        <f t="shared" si="64"/>
        <v>87.833333333333329</v>
      </c>
      <c r="F2242" s="90">
        <f t="shared" si="63"/>
        <v>0</v>
      </c>
    </row>
    <row r="2243" spans="1:6">
      <c r="A2243" s="5">
        <v>1906</v>
      </c>
      <c r="B2243" s="5" t="s">
        <v>11</v>
      </c>
      <c r="C2243" s="4">
        <v>89</v>
      </c>
      <c r="D2243" s="101">
        <f t="shared" si="64"/>
        <v>87.916666666666671</v>
      </c>
      <c r="F2243" s="90">
        <f t="shared" si="63"/>
        <v>1.1363636363636364E-2</v>
      </c>
    </row>
    <row r="2244" spans="1:6">
      <c r="A2244" s="5">
        <v>1906</v>
      </c>
      <c r="B2244" s="5" t="s">
        <v>12</v>
      </c>
      <c r="C2244" s="4">
        <v>89</v>
      </c>
      <c r="D2244" s="101">
        <f t="shared" si="64"/>
        <v>88</v>
      </c>
      <c r="F2244" s="90">
        <f t="shared" si="63"/>
        <v>1.1363636363636364E-2</v>
      </c>
    </row>
    <row r="2245" spans="1:6">
      <c r="A2245" s="5">
        <v>1906</v>
      </c>
      <c r="B2245" s="5" t="s">
        <v>13</v>
      </c>
      <c r="C2245" s="4">
        <v>90</v>
      </c>
      <c r="D2245" s="101">
        <f t="shared" si="64"/>
        <v>88.25</v>
      </c>
      <c r="F2245" s="90">
        <f t="shared" si="63"/>
        <v>3.4482758620689655E-2</v>
      </c>
    </row>
    <row r="2246" spans="1:6">
      <c r="A2246" s="5">
        <v>1906</v>
      </c>
      <c r="B2246" s="5" t="s">
        <v>14</v>
      </c>
      <c r="C2246" s="4">
        <v>90</v>
      </c>
      <c r="D2246" s="101">
        <f t="shared" si="64"/>
        <v>88.5</v>
      </c>
      <c r="F2246" s="90">
        <f t="shared" si="63"/>
        <v>3.4482758620689655E-2</v>
      </c>
    </row>
    <row r="2247" spans="1:6">
      <c r="A2247" s="5">
        <v>1906</v>
      </c>
      <c r="B2247" s="5" t="s">
        <v>15</v>
      </c>
      <c r="C2247" s="4">
        <v>87</v>
      </c>
      <c r="D2247" s="101">
        <f t="shared" si="64"/>
        <v>88.5</v>
      </c>
      <c r="F2247" s="90">
        <f t="shared" si="63"/>
        <v>0</v>
      </c>
    </row>
    <row r="2248" spans="1:6">
      <c r="A2248" s="5">
        <v>1906</v>
      </c>
      <c r="B2248" s="5" t="s">
        <v>16</v>
      </c>
      <c r="C2248" s="4">
        <v>89</v>
      </c>
      <c r="D2248" s="101">
        <f t="shared" si="64"/>
        <v>88.583333333333329</v>
      </c>
      <c r="F2248" s="90">
        <f t="shared" si="63"/>
        <v>1.1363636363636364E-2</v>
      </c>
    </row>
    <row r="2249" spans="1:6">
      <c r="A2249" s="5">
        <v>1906</v>
      </c>
      <c r="B2249" s="5" t="s">
        <v>17</v>
      </c>
      <c r="C2249" s="4">
        <v>90</v>
      </c>
      <c r="D2249" s="101">
        <f t="shared" si="64"/>
        <v>88.833333333333329</v>
      </c>
      <c r="F2249" s="90">
        <f t="shared" si="63"/>
        <v>3.4482758620689655E-2</v>
      </c>
    </row>
    <row r="2250" spans="1:6">
      <c r="A2250" s="5">
        <v>1906</v>
      </c>
      <c r="B2250" s="5" t="s">
        <v>18</v>
      </c>
      <c r="C2250" s="4">
        <v>92</v>
      </c>
      <c r="D2250" s="101">
        <f t="shared" si="64"/>
        <v>89.25</v>
      </c>
      <c r="F2250" s="90">
        <f t="shared" si="63"/>
        <v>5.7471264367816091E-2</v>
      </c>
    </row>
    <row r="2251" spans="1:6">
      <c r="A2251" s="5">
        <v>1906</v>
      </c>
      <c r="B2251" s="5" t="s">
        <v>19</v>
      </c>
      <c r="C2251" s="4">
        <v>93</v>
      </c>
      <c r="D2251" s="101">
        <f t="shared" si="64"/>
        <v>89.666666666666671</v>
      </c>
      <c r="F2251" s="90">
        <f t="shared" si="63"/>
        <v>5.6818181818181816E-2</v>
      </c>
    </row>
    <row r="2252" spans="1:6">
      <c r="A2252" s="5">
        <v>1906</v>
      </c>
      <c r="B2252" s="5" t="s">
        <v>20</v>
      </c>
      <c r="C2252" s="4">
        <v>94</v>
      </c>
      <c r="D2252" s="101">
        <f t="shared" si="64"/>
        <v>90.083333333333329</v>
      </c>
      <c r="E2252" s="4">
        <v>90</v>
      </c>
      <c r="F2252" s="90">
        <f t="shared" si="63"/>
        <v>5.6179775280898875E-2</v>
      </c>
    </row>
    <row r="2253" spans="1:6">
      <c r="A2253" s="5">
        <v>1907</v>
      </c>
      <c r="B2253" s="5" t="s">
        <v>9</v>
      </c>
      <c r="C2253" s="4">
        <v>93</v>
      </c>
      <c r="D2253" s="101">
        <f t="shared" si="64"/>
        <v>90.416666666666671</v>
      </c>
      <c r="F2253" s="90">
        <f t="shared" si="63"/>
        <v>4.49438202247191E-2</v>
      </c>
    </row>
    <row r="2254" spans="1:6">
      <c r="A2254" s="5">
        <v>1907</v>
      </c>
      <c r="B2254" s="5" t="s">
        <v>10</v>
      </c>
      <c r="C2254" s="4">
        <v>95</v>
      </c>
      <c r="D2254" s="101">
        <f t="shared" si="64"/>
        <v>90.916666666666671</v>
      </c>
      <c r="F2254" s="90">
        <f t="shared" si="63"/>
        <v>6.741573033707865E-2</v>
      </c>
    </row>
    <row r="2255" spans="1:6">
      <c r="A2255" s="5">
        <v>1907</v>
      </c>
      <c r="B2255" s="5" t="s">
        <v>11</v>
      </c>
      <c r="C2255" s="4">
        <v>94</v>
      </c>
      <c r="D2255" s="101">
        <f t="shared" si="64"/>
        <v>91.333333333333329</v>
      </c>
      <c r="F2255" s="90">
        <f t="shared" si="63"/>
        <v>5.6179775280898875E-2</v>
      </c>
    </row>
    <row r="2256" spans="1:6">
      <c r="A2256" s="5">
        <v>1907</v>
      </c>
      <c r="B2256" s="5" t="s">
        <v>12</v>
      </c>
      <c r="C2256" s="4">
        <v>94</v>
      </c>
      <c r="D2256" s="101">
        <f t="shared" si="64"/>
        <v>91.75</v>
      </c>
      <c r="F2256" s="90">
        <f t="shared" si="63"/>
        <v>5.6179775280898875E-2</v>
      </c>
    </row>
    <row r="2257" spans="1:6">
      <c r="A2257" s="5">
        <v>1907</v>
      </c>
      <c r="B2257" s="5" t="s">
        <v>13</v>
      </c>
      <c r="C2257" s="4">
        <v>96</v>
      </c>
      <c r="D2257" s="101">
        <f t="shared" si="64"/>
        <v>92.25</v>
      </c>
      <c r="F2257" s="90">
        <f t="shared" si="63"/>
        <v>6.6666666666666666E-2</v>
      </c>
    </row>
    <row r="2258" spans="1:6">
      <c r="A2258" s="5">
        <v>1907</v>
      </c>
      <c r="B2258" s="5" t="s">
        <v>14</v>
      </c>
      <c r="C2258" s="4">
        <v>97</v>
      </c>
      <c r="D2258" s="101">
        <f t="shared" si="64"/>
        <v>92.833333333333329</v>
      </c>
      <c r="F2258" s="90">
        <f t="shared" si="63"/>
        <v>7.7777777777777779E-2</v>
      </c>
    </row>
    <row r="2259" spans="1:6">
      <c r="A2259" s="5">
        <v>1907</v>
      </c>
      <c r="B2259" s="5" t="s">
        <v>15</v>
      </c>
      <c r="C2259" s="4">
        <v>97</v>
      </c>
      <c r="D2259" s="101">
        <f t="shared" si="64"/>
        <v>93.666666666666671</v>
      </c>
      <c r="F2259" s="90">
        <f t="shared" si="63"/>
        <v>0.11494252873563218</v>
      </c>
    </row>
    <row r="2260" spans="1:6">
      <c r="A2260" s="5">
        <v>1907</v>
      </c>
      <c r="B2260" s="5" t="s">
        <v>16</v>
      </c>
      <c r="C2260" s="4">
        <v>97</v>
      </c>
      <c r="D2260" s="101">
        <f t="shared" si="64"/>
        <v>94.333333333333329</v>
      </c>
      <c r="F2260" s="90">
        <f t="shared" si="63"/>
        <v>8.98876404494382E-2</v>
      </c>
    </row>
    <row r="2261" spans="1:6">
      <c r="A2261" s="5">
        <v>1907</v>
      </c>
      <c r="B2261" s="5" t="s">
        <v>17</v>
      </c>
      <c r="C2261" s="4">
        <v>97</v>
      </c>
      <c r="D2261" s="101">
        <f t="shared" si="64"/>
        <v>94.916666666666671</v>
      </c>
      <c r="F2261" s="90">
        <f t="shared" ref="F2261:F2324" si="65">(C2261-C2249)/C2249</f>
        <v>7.7777777777777779E-2</v>
      </c>
    </row>
    <row r="2262" spans="1:6">
      <c r="A2262" s="5">
        <v>1907</v>
      </c>
      <c r="B2262" s="5" t="s">
        <v>18</v>
      </c>
      <c r="C2262" s="4">
        <v>98</v>
      </c>
      <c r="D2262" s="101">
        <f t="shared" si="64"/>
        <v>95.416666666666671</v>
      </c>
      <c r="F2262" s="90">
        <f t="shared" si="65"/>
        <v>6.5217391304347824E-2</v>
      </c>
    </row>
    <row r="2263" spans="1:6">
      <c r="A2263" s="5">
        <v>1907</v>
      </c>
      <c r="B2263" s="5" t="s">
        <v>19</v>
      </c>
      <c r="C2263" s="4">
        <v>94</v>
      </c>
      <c r="D2263" s="101">
        <f t="shared" si="64"/>
        <v>95.5</v>
      </c>
      <c r="F2263" s="90">
        <f t="shared" si="65"/>
        <v>1.0752688172043012E-2</v>
      </c>
    </row>
    <row r="2264" spans="1:6">
      <c r="A2264" s="5">
        <v>1907</v>
      </c>
      <c r="B2264" s="5" t="s">
        <v>20</v>
      </c>
      <c r="C2264" s="4">
        <v>92</v>
      </c>
      <c r="D2264" s="101">
        <f t="shared" si="64"/>
        <v>95.333333333333329</v>
      </c>
      <c r="E2264" s="4">
        <v>95</v>
      </c>
      <c r="F2264" s="90">
        <f t="shared" si="65"/>
        <v>-2.1276595744680851E-2</v>
      </c>
    </row>
    <row r="2265" spans="1:6">
      <c r="A2265" s="5">
        <v>1908</v>
      </c>
      <c r="B2265" s="5" t="s">
        <v>9</v>
      </c>
      <c r="C2265" s="4">
        <v>91</v>
      </c>
      <c r="D2265" s="101">
        <f t="shared" si="64"/>
        <v>95.166666666666671</v>
      </c>
      <c r="F2265" s="90">
        <f t="shared" si="65"/>
        <v>-2.1505376344086023E-2</v>
      </c>
    </row>
    <row r="2266" spans="1:6">
      <c r="A2266" s="5">
        <v>1908</v>
      </c>
      <c r="B2266" s="5" t="s">
        <v>10</v>
      </c>
      <c r="C2266" s="4">
        <v>90</v>
      </c>
      <c r="D2266" s="101">
        <f t="shared" si="64"/>
        <v>94.75</v>
      </c>
      <c r="F2266" s="90">
        <f t="shared" si="65"/>
        <v>-5.2631578947368418E-2</v>
      </c>
    </row>
    <row r="2267" spans="1:6">
      <c r="A2267" s="5">
        <v>1908</v>
      </c>
      <c r="B2267" s="5" t="s">
        <v>11</v>
      </c>
      <c r="C2267" s="4">
        <v>90</v>
      </c>
      <c r="D2267" s="101">
        <f t="shared" si="64"/>
        <v>94.416666666666671</v>
      </c>
      <c r="F2267" s="90">
        <f t="shared" si="65"/>
        <v>-4.2553191489361701E-2</v>
      </c>
    </row>
    <row r="2268" spans="1:6">
      <c r="A2268" s="5">
        <v>1908</v>
      </c>
      <c r="B2268" s="5" t="s">
        <v>12</v>
      </c>
      <c r="C2268" s="4">
        <v>91</v>
      </c>
      <c r="D2268" s="101">
        <f t="shared" si="64"/>
        <v>94.166666666666671</v>
      </c>
      <c r="F2268" s="90">
        <f t="shared" si="65"/>
        <v>-3.1914893617021274E-2</v>
      </c>
    </row>
    <row r="2269" spans="1:6">
      <c r="A2269" s="5">
        <v>1908</v>
      </c>
      <c r="B2269" s="5" t="s">
        <v>13</v>
      </c>
      <c r="C2269" s="4">
        <v>91</v>
      </c>
      <c r="D2269" s="101">
        <f t="shared" si="64"/>
        <v>93.75</v>
      </c>
      <c r="F2269" s="90">
        <f t="shared" si="65"/>
        <v>-5.2083333333333336E-2</v>
      </c>
    </row>
    <row r="2270" spans="1:6">
      <c r="A2270" s="5">
        <v>1908</v>
      </c>
      <c r="B2270" s="5" t="s">
        <v>14</v>
      </c>
      <c r="C2270" s="4">
        <v>91</v>
      </c>
      <c r="D2270" s="101">
        <f t="shared" si="64"/>
        <v>93.25</v>
      </c>
      <c r="F2270" s="90">
        <f t="shared" si="65"/>
        <v>-6.1855670103092786E-2</v>
      </c>
    </row>
    <row r="2271" spans="1:6">
      <c r="A2271" s="5">
        <v>1908</v>
      </c>
      <c r="B2271" s="5" t="s">
        <v>15</v>
      </c>
      <c r="C2271" s="4">
        <v>92</v>
      </c>
      <c r="D2271" s="101">
        <f t="shared" si="64"/>
        <v>92.833333333333329</v>
      </c>
      <c r="F2271" s="90">
        <f t="shared" si="65"/>
        <v>-5.1546391752577317E-2</v>
      </c>
    </row>
    <row r="2272" spans="1:6">
      <c r="A2272" s="5">
        <v>1908</v>
      </c>
      <c r="B2272" s="5" t="s">
        <v>16</v>
      </c>
      <c r="C2272" s="4">
        <v>92</v>
      </c>
      <c r="D2272" s="101">
        <f t="shared" si="64"/>
        <v>92.416666666666671</v>
      </c>
      <c r="F2272" s="90">
        <f t="shared" si="65"/>
        <v>-5.1546391752577317E-2</v>
      </c>
    </row>
    <row r="2273" spans="1:6">
      <c r="A2273" s="5">
        <v>1908</v>
      </c>
      <c r="B2273" s="5" t="s">
        <v>17</v>
      </c>
      <c r="C2273" s="4">
        <v>92</v>
      </c>
      <c r="D2273" s="101">
        <f t="shared" si="64"/>
        <v>92</v>
      </c>
      <c r="F2273" s="90">
        <f t="shared" si="65"/>
        <v>-5.1546391752577317E-2</v>
      </c>
    </row>
    <row r="2274" spans="1:6">
      <c r="A2274" s="5">
        <v>1908</v>
      </c>
      <c r="B2274" s="5" t="s">
        <v>18</v>
      </c>
      <c r="C2274" s="4">
        <v>93</v>
      </c>
      <c r="D2274" s="101">
        <f t="shared" si="64"/>
        <v>91.583333333333329</v>
      </c>
      <c r="F2274" s="90">
        <f t="shared" si="65"/>
        <v>-5.1020408163265307E-2</v>
      </c>
    </row>
    <row r="2275" spans="1:6">
      <c r="A2275" s="5">
        <v>1908</v>
      </c>
      <c r="B2275" s="5" t="s">
        <v>19</v>
      </c>
      <c r="C2275" s="4">
        <v>94</v>
      </c>
      <c r="D2275" s="101">
        <f t="shared" si="64"/>
        <v>91.583333333333329</v>
      </c>
      <c r="F2275" s="90">
        <f t="shared" si="65"/>
        <v>0</v>
      </c>
    </row>
    <row r="2276" spans="1:6">
      <c r="A2276" s="5">
        <v>1908</v>
      </c>
      <c r="B2276" s="5" t="s">
        <v>20</v>
      </c>
      <c r="C2276" s="4">
        <v>95</v>
      </c>
      <c r="D2276" s="101">
        <f t="shared" si="64"/>
        <v>91.833333333333329</v>
      </c>
      <c r="E2276" s="4">
        <v>92</v>
      </c>
      <c r="F2276" s="90">
        <f t="shared" si="65"/>
        <v>3.2608695652173912E-2</v>
      </c>
    </row>
    <row r="2277" spans="1:6">
      <c r="A2277" s="5">
        <v>1909</v>
      </c>
      <c r="B2277" s="5" t="s">
        <v>9</v>
      </c>
      <c r="C2277" s="4">
        <v>94</v>
      </c>
      <c r="D2277" s="101">
        <f t="shared" si="64"/>
        <v>92.083333333333329</v>
      </c>
      <c r="F2277" s="90">
        <f t="shared" si="65"/>
        <v>3.2967032967032968E-2</v>
      </c>
    </row>
    <row r="2278" spans="1:6">
      <c r="A2278" s="5">
        <v>1909</v>
      </c>
      <c r="B2278" s="5" t="s">
        <v>10</v>
      </c>
      <c r="C2278" s="4">
        <v>95</v>
      </c>
      <c r="D2278" s="101">
        <f t="shared" si="64"/>
        <v>92.5</v>
      </c>
      <c r="F2278" s="90">
        <f t="shared" si="65"/>
        <v>5.5555555555555552E-2</v>
      </c>
    </row>
    <row r="2279" spans="1:6">
      <c r="A2279" s="5">
        <v>1909</v>
      </c>
      <c r="B2279" s="5" t="s">
        <v>11</v>
      </c>
      <c r="C2279" s="4">
        <v>95</v>
      </c>
      <c r="D2279" s="101">
        <f t="shared" si="64"/>
        <v>92.916666666666671</v>
      </c>
      <c r="F2279" s="90">
        <f t="shared" si="65"/>
        <v>5.5555555555555552E-2</v>
      </c>
    </row>
    <row r="2280" spans="1:6">
      <c r="A2280" s="5">
        <v>1909</v>
      </c>
      <c r="B2280" s="5" t="s">
        <v>12</v>
      </c>
      <c r="C2280" s="4">
        <v>97</v>
      </c>
      <c r="D2280" s="101">
        <f t="shared" si="64"/>
        <v>93.416666666666671</v>
      </c>
      <c r="F2280" s="90">
        <f t="shared" si="65"/>
        <v>6.5934065934065936E-2</v>
      </c>
    </row>
    <row r="2281" spans="1:6">
      <c r="A2281" s="5">
        <v>1909</v>
      </c>
      <c r="B2281" s="5" t="s">
        <v>13</v>
      </c>
      <c r="C2281" s="4">
        <v>98</v>
      </c>
      <c r="D2281" s="101">
        <f t="shared" si="64"/>
        <v>94</v>
      </c>
      <c r="F2281" s="90">
        <f t="shared" si="65"/>
        <v>7.6923076923076927E-2</v>
      </c>
    </row>
    <row r="2282" spans="1:6">
      <c r="A2282" s="5">
        <v>1909</v>
      </c>
      <c r="B2282" s="5" t="s">
        <v>14</v>
      </c>
      <c r="C2282" s="4">
        <v>99</v>
      </c>
      <c r="D2282" s="101">
        <f t="shared" si="64"/>
        <v>94.666666666666671</v>
      </c>
      <c r="F2282" s="90">
        <f t="shared" si="65"/>
        <v>8.7912087912087919E-2</v>
      </c>
    </row>
    <row r="2283" spans="1:6">
      <c r="A2283" s="5">
        <v>1909</v>
      </c>
      <c r="B2283" s="5" t="s">
        <v>15</v>
      </c>
      <c r="C2283" s="4">
        <v>99</v>
      </c>
      <c r="D2283" s="101">
        <f t="shared" si="64"/>
        <v>95.25</v>
      </c>
      <c r="F2283" s="90">
        <f t="shared" si="65"/>
        <v>7.6086956521739135E-2</v>
      </c>
    </row>
    <row r="2284" spans="1:6">
      <c r="A2284" s="5">
        <v>1909</v>
      </c>
      <c r="B2284" s="5" t="s">
        <v>16</v>
      </c>
      <c r="C2284" s="4">
        <v>100</v>
      </c>
      <c r="D2284" s="101">
        <f t="shared" si="64"/>
        <v>95.916666666666671</v>
      </c>
      <c r="F2284" s="90">
        <f t="shared" si="65"/>
        <v>8.6956521739130432E-2</v>
      </c>
    </row>
    <row r="2285" spans="1:6">
      <c r="A2285" s="5">
        <v>1909</v>
      </c>
      <c r="B2285" s="5" t="s">
        <v>17</v>
      </c>
      <c r="C2285" s="4">
        <v>101</v>
      </c>
      <c r="D2285" s="101">
        <f t="shared" si="64"/>
        <v>96.666666666666671</v>
      </c>
      <c r="F2285" s="90">
        <f t="shared" si="65"/>
        <v>9.7826086956521743E-2</v>
      </c>
    </row>
    <row r="2286" spans="1:6">
      <c r="A2286" s="5">
        <v>1909</v>
      </c>
      <c r="B2286" s="5" t="s">
        <v>18</v>
      </c>
      <c r="C2286" s="4">
        <v>103</v>
      </c>
      <c r="D2286" s="101">
        <f t="shared" si="64"/>
        <v>97.5</v>
      </c>
      <c r="F2286" s="90">
        <f t="shared" si="65"/>
        <v>0.10752688172043011</v>
      </c>
    </row>
    <row r="2287" spans="1:6">
      <c r="A2287" s="5">
        <v>1909</v>
      </c>
      <c r="B2287" s="5" t="s">
        <v>19</v>
      </c>
      <c r="C2287" s="4">
        <v>104</v>
      </c>
      <c r="D2287" s="101">
        <f t="shared" si="64"/>
        <v>98.333333333333329</v>
      </c>
      <c r="F2287" s="90">
        <f t="shared" si="65"/>
        <v>0.10638297872340426</v>
      </c>
    </row>
    <row r="2288" spans="1:6">
      <c r="A2288" s="5">
        <v>1909</v>
      </c>
      <c r="B2288" s="5" t="s">
        <v>20</v>
      </c>
      <c r="C2288" s="4">
        <v>105</v>
      </c>
      <c r="D2288" s="101">
        <f t="shared" si="64"/>
        <v>99.166666666666671</v>
      </c>
      <c r="E2288" s="4">
        <v>99</v>
      </c>
      <c r="F2288" s="90">
        <f t="shared" si="65"/>
        <v>0.10526315789473684</v>
      </c>
    </row>
    <row r="2289" spans="1:6">
      <c r="A2289" s="5">
        <v>1910</v>
      </c>
      <c r="B2289" s="5" t="s">
        <v>9</v>
      </c>
      <c r="C2289" s="4">
        <v>104</v>
      </c>
      <c r="D2289" s="101">
        <f t="shared" ref="D2289:D2352" si="66">AVERAGE(C2278:C2289)</f>
        <v>100</v>
      </c>
      <c r="F2289" s="90">
        <f t="shared" si="65"/>
        <v>0.10638297872340426</v>
      </c>
    </row>
    <row r="2290" spans="1:6">
      <c r="A2290" s="5">
        <v>1910</v>
      </c>
      <c r="B2290" s="5" t="s">
        <v>10</v>
      </c>
      <c r="C2290" s="4">
        <v>104</v>
      </c>
      <c r="D2290" s="101">
        <f t="shared" si="66"/>
        <v>100.75</v>
      </c>
      <c r="F2290" s="90">
        <f t="shared" si="65"/>
        <v>9.4736842105263161E-2</v>
      </c>
    </row>
    <row r="2291" spans="1:6">
      <c r="A2291" s="5">
        <v>1910</v>
      </c>
      <c r="B2291" s="5" t="s">
        <v>11</v>
      </c>
      <c r="C2291" s="4">
        <v>106</v>
      </c>
      <c r="D2291" s="101">
        <f t="shared" si="66"/>
        <v>101.66666666666667</v>
      </c>
      <c r="F2291" s="90">
        <f t="shared" si="65"/>
        <v>0.11578947368421053</v>
      </c>
    </row>
    <row r="2292" spans="1:6">
      <c r="A2292" s="5">
        <v>1910</v>
      </c>
      <c r="B2292" s="5" t="s">
        <v>12</v>
      </c>
      <c r="C2292" s="4">
        <v>107</v>
      </c>
      <c r="D2292" s="101">
        <f t="shared" si="66"/>
        <v>102.5</v>
      </c>
      <c r="F2292" s="90">
        <f t="shared" si="65"/>
        <v>0.10309278350515463</v>
      </c>
    </row>
    <row r="2293" spans="1:6">
      <c r="A2293" s="5">
        <v>1910</v>
      </c>
      <c r="B2293" s="5" t="s">
        <v>13</v>
      </c>
      <c r="C2293" s="4">
        <v>105</v>
      </c>
      <c r="D2293" s="101">
        <f t="shared" si="66"/>
        <v>103.08333333333333</v>
      </c>
      <c r="F2293" s="90">
        <f t="shared" si="65"/>
        <v>7.1428571428571425E-2</v>
      </c>
    </row>
    <row r="2294" spans="1:6">
      <c r="A2294" s="5">
        <v>1910</v>
      </c>
      <c r="B2294" s="5" t="s">
        <v>14</v>
      </c>
      <c r="C2294" s="4">
        <v>104</v>
      </c>
      <c r="D2294" s="101">
        <f t="shared" si="66"/>
        <v>103.5</v>
      </c>
      <c r="F2294" s="90">
        <f t="shared" si="65"/>
        <v>5.0505050505050504E-2</v>
      </c>
    </row>
    <row r="2295" spans="1:6">
      <c r="A2295" s="5">
        <v>1910</v>
      </c>
      <c r="B2295" s="5" t="s">
        <v>15</v>
      </c>
      <c r="C2295" s="4">
        <v>104</v>
      </c>
      <c r="D2295" s="101">
        <f t="shared" si="66"/>
        <v>103.91666666666667</v>
      </c>
      <c r="F2295" s="90">
        <f t="shared" si="65"/>
        <v>5.0505050505050504E-2</v>
      </c>
    </row>
    <row r="2296" spans="1:6">
      <c r="A2296" s="5">
        <v>1910</v>
      </c>
      <c r="B2296" s="5" t="s">
        <v>16</v>
      </c>
      <c r="C2296" s="4">
        <v>103</v>
      </c>
      <c r="D2296" s="101">
        <f t="shared" si="66"/>
        <v>104.16666666666667</v>
      </c>
      <c r="F2296" s="90">
        <f t="shared" si="65"/>
        <v>0.03</v>
      </c>
    </row>
    <row r="2297" spans="1:6">
      <c r="A2297" s="5">
        <v>1910</v>
      </c>
      <c r="B2297" s="5" t="s">
        <v>17</v>
      </c>
      <c r="C2297" s="4">
        <v>102</v>
      </c>
      <c r="D2297" s="101">
        <f t="shared" si="66"/>
        <v>104.25</v>
      </c>
      <c r="F2297" s="90">
        <f t="shared" si="65"/>
        <v>9.9009900990099011E-3</v>
      </c>
    </row>
    <row r="2298" spans="1:6">
      <c r="A2298" s="5">
        <v>1910</v>
      </c>
      <c r="B2298" s="5" t="s">
        <v>18</v>
      </c>
      <c r="C2298" s="4">
        <v>99</v>
      </c>
      <c r="D2298" s="101">
        <f t="shared" si="66"/>
        <v>103.91666666666667</v>
      </c>
      <c r="F2298" s="90">
        <f t="shared" si="65"/>
        <v>-3.8834951456310676E-2</v>
      </c>
    </row>
    <row r="2299" spans="1:6">
      <c r="A2299" s="5">
        <v>1910</v>
      </c>
      <c r="B2299" s="5" t="s">
        <v>19</v>
      </c>
      <c r="C2299" s="4">
        <v>97</v>
      </c>
      <c r="D2299" s="101">
        <f t="shared" si="66"/>
        <v>103.33333333333333</v>
      </c>
      <c r="F2299" s="90">
        <f t="shared" si="65"/>
        <v>-6.7307692307692304E-2</v>
      </c>
    </row>
    <row r="2300" spans="1:6">
      <c r="A2300" s="5">
        <v>1910</v>
      </c>
      <c r="B2300" s="5" t="s">
        <v>20</v>
      </c>
      <c r="C2300" s="4">
        <v>97</v>
      </c>
      <c r="D2300" s="101">
        <f t="shared" si="66"/>
        <v>102.66666666666667</v>
      </c>
      <c r="E2300" s="4">
        <v>103</v>
      </c>
      <c r="F2300" s="90">
        <f t="shared" si="65"/>
        <v>-7.6190476190476197E-2</v>
      </c>
    </row>
    <row r="2301" spans="1:6">
      <c r="A2301" s="5">
        <v>1911</v>
      </c>
      <c r="B2301" s="5" t="s">
        <v>9</v>
      </c>
      <c r="C2301" s="4">
        <v>97</v>
      </c>
      <c r="D2301" s="101">
        <f t="shared" si="66"/>
        <v>102.08333333333333</v>
      </c>
      <c r="F2301" s="90">
        <f t="shared" si="65"/>
        <v>-6.7307692307692304E-2</v>
      </c>
    </row>
    <row r="2302" spans="1:6">
      <c r="A2302" s="5">
        <v>1911</v>
      </c>
      <c r="B2302" s="5" t="s">
        <v>10</v>
      </c>
      <c r="C2302" s="4">
        <v>94</v>
      </c>
      <c r="D2302" s="101">
        <f t="shared" si="66"/>
        <v>101.25</v>
      </c>
      <c r="F2302" s="90">
        <f t="shared" si="65"/>
        <v>-9.6153846153846159E-2</v>
      </c>
    </row>
    <row r="2303" spans="1:6">
      <c r="A2303" s="5">
        <v>1911</v>
      </c>
      <c r="B2303" s="5" t="s">
        <v>11</v>
      </c>
      <c r="C2303" s="4">
        <v>95</v>
      </c>
      <c r="D2303" s="101">
        <f t="shared" si="66"/>
        <v>100.33333333333333</v>
      </c>
      <c r="F2303" s="90">
        <f t="shared" si="65"/>
        <v>-0.10377358490566038</v>
      </c>
    </row>
    <row r="2304" spans="1:6">
      <c r="A2304" s="5">
        <v>1911</v>
      </c>
      <c r="B2304" s="5" t="s">
        <v>12</v>
      </c>
      <c r="C2304" s="4">
        <v>92</v>
      </c>
      <c r="D2304" s="101">
        <f t="shared" si="66"/>
        <v>99.083333333333329</v>
      </c>
      <c r="F2304" s="90">
        <f t="shared" si="65"/>
        <v>-0.14018691588785046</v>
      </c>
    </row>
    <row r="2305" spans="1:6">
      <c r="A2305" s="5">
        <v>1911</v>
      </c>
      <c r="B2305" s="5" t="s">
        <v>13</v>
      </c>
      <c r="C2305" s="4">
        <v>92</v>
      </c>
      <c r="D2305" s="101">
        <f t="shared" si="66"/>
        <v>98</v>
      </c>
      <c r="F2305" s="90">
        <f t="shared" si="65"/>
        <v>-0.12380952380952381</v>
      </c>
    </row>
    <row r="2306" spans="1:6">
      <c r="A2306" s="5">
        <v>1911</v>
      </c>
      <c r="B2306" s="5" t="s">
        <v>14</v>
      </c>
      <c r="C2306" s="4">
        <v>92</v>
      </c>
      <c r="D2306" s="101">
        <f t="shared" si="66"/>
        <v>97</v>
      </c>
      <c r="F2306" s="90">
        <f t="shared" si="65"/>
        <v>-0.11538461538461539</v>
      </c>
    </row>
    <row r="2307" spans="1:6">
      <c r="A2307" s="5">
        <v>1911</v>
      </c>
      <c r="B2307" s="5" t="s">
        <v>15</v>
      </c>
      <c r="C2307" s="4">
        <v>93</v>
      </c>
      <c r="D2307" s="101">
        <f t="shared" si="66"/>
        <v>96.083333333333329</v>
      </c>
      <c r="F2307" s="90">
        <f t="shared" si="65"/>
        <v>-0.10576923076923077</v>
      </c>
    </row>
    <row r="2308" spans="1:6">
      <c r="A2308" s="5">
        <v>1911</v>
      </c>
      <c r="B2308" s="5" t="s">
        <v>16</v>
      </c>
      <c r="C2308" s="4">
        <v>96</v>
      </c>
      <c r="D2308" s="101">
        <f t="shared" si="66"/>
        <v>95.5</v>
      </c>
      <c r="F2308" s="90">
        <f t="shared" si="65"/>
        <v>-6.7961165048543687E-2</v>
      </c>
    </row>
    <row r="2309" spans="1:6">
      <c r="A2309" s="5">
        <v>1911</v>
      </c>
      <c r="B2309" s="5" t="s">
        <v>17</v>
      </c>
      <c r="C2309" s="4">
        <v>97</v>
      </c>
      <c r="D2309" s="101">
        <f t="shared" si="66"/>
        <v>95.083333333333329</v>
      </c>
      <c r="F2309" s="90">
        <f t="shared" si="65"/>
        <v>-4.9019607843137254E-2</v>
      </c>
    </row>
    <row r="2310" spans="1:6">
      <c r="A2310" s="5">
        <v>1911</v>
      </c>
      <c r="B2310" s="5" t="s">
        <v>18</v>
      </c>
      <c r="C2310" s="4">
        <v>97</v>
      </c>
      <c r="D2310" s="101">
        <f t="shared" si="66"/>
        <v>94.916666666666671</v>
      </c>
      <c r="F2310" s="90">
        <f t="shared" si="65"/>
        <v>-2.0202020202020204E-2</v>
      </c>
    </row>
    <row r="2311" spans="1:6">
      <c r="A2311" s="5">
        <v>1911</v>
      </c>
      <c r="B2311" s="5" t="s">
        <v>19</v>
      </c>
      <c r="C2311" s="4">
        <v>96</v>
      </c>
      <c r="D2311" s="101">
        <f t="shared" si="66"/>
        <v>94.833333333333329</v>
      </c>
      <c r="F2311" s="90">
        <f t="shared" si="65"/>
        <v>-1.0309278350515464E-2</v>
      </c>
    </row>
    <row r="2312" spans="1:6">
      <c r="A2312" s="5">
        <v>1911</v>
      </c>
      <c r="B2312" s="5" t="s">
        <v>20</v>
      </c>
      <c r="C2312" s="4">
        <v>95</v>
      </c>
      <c r="D2312" s="101">
        <f t="shared" si="66"/>
        <v>94.666666666666671</v>
      </c>
      <c r="E2312" s="4">
        <v>95</v>
      </c>
      <c r="F2312" s="90">
        <f t="shared" si="65"/>
        <v>-2.0618556701030927E-2</v>
      </c>
    </row>
    <row r="2313" spans="1:6">
      <c r="A2313" s="5">
        <v>1912</v>
      </c>
      <c r="B2313" s="5" t="s">
        <v>9</v>
      </c>
      <c r="C2313" s="4">
        <v>96</v>
      </c>
      <c r="D2313" s="101">
        <f t="shared" si="66"/>
        <v>94.583333333333329</v>
      </c>
      <c r="F2313" s="90">
        <f t="shared" si="65"/>
        <v>-1.0309278350515464E-2</v>
      </c>
    </row>
    <row r="2314" spans="1:6">
      <c r="A2314" s="5">
        <v>1912</v>
      </c>
      <c r="B2314" s="5" t="s">
        <v>10</v>
      </c>
      <c r="C2314" s="4">
        <v>97</v>
      </c>
      <c r="D2314" s="101">
        <f t="shared" si="66"/>
        <v>94.833333333333329</v>
      </c>
      <c r="F2314" s="90">
        <f t="shared" si="65"/>
        <v>3.1914893617021274E-2</v>
      </c>
    </row>
    <row r="2315" spans="1:6">
      <c r="A2315" s="5">
        <v>1912</v>
      </c>
      <c r="B2315" s="5" t="s">
        <v>11</v>
      </c>
      <c r="C2315" s="4">
        <v>99</v>
      </c>
      <c r="D2315" s="101">
        <f t="shared" si="66"/>
        <v>95.166666666666671</v>
      </c>
      <c r="F2315" s="90">
        <f t="shared" si="65"/>
        <v>4.2105263157894736E-2</v>
      </c>
    </row>
    <row r="2316" spans="1:6">
      <c r="A2316" s="5">
        <v>1912</v>
      </c>
      <c r="B2316" s="5" t="s">
        <v>12</v>
      </c>
      <c r="C2316" s="4">
        <v>102</v>
      </c>
      <c r="D2316" s="101">
        <f t="shared" si="66"/>
        <v>96</v>
      </c>
      <c r="F2316" s="90">
        <f t="shared" si="65"/>
        <v>0.10869565217391304</v>
      </c>
    </row>
    <row r="2317" spans="1:6">
      <c r="A2317" s="5">
        <v>1912</v>
      </c>
      <c r="B2317" s="5" t="s">
        <v>13</v>
      </c>
      <c r="C2317" s="4">
        <v>102</v>
      </c>
      <c r="D2317" s="101">
        <f t="shared" si="66"/>
        <v>96.833333333333329</v>
      </c>
      <c r="F2317" s="90">
        <f t="shared" si="65"/>
        <v>0.10869565217391304</v>
      </c>
    </row>
    <row r="2318" spans="1:6">
      <c r="A2318" s="5">
        <v>1912</v>
      </c>
      <c r="B2318" s="5" t="s">
        <v>14</v>
      </c>
      <c r="C2318" s="4">
        <v>101</v>
      </c>
      <c r="D2318" s="101">
        <f t="shared" si="66"/>
        <v>97.583333333333329</v>
      </c>
      <c r="F2318" s="90">
        <f t="shared" si="65"/>
        <v>9.7826086956521743E-2</v>
      </c>
    </row>
    <row r="2319" spans="1:6">
      <c r="A2319" s="5">
        <v>1912</v>
      </c>
      <c r="B2319" s="5" t="s">
        <v>15</v>
      </c>
      <c r="C2319" s="4">
        <v>101</v>
      </c>
      <c r="D2319" s="101">
        <f t="shared" si="66"/>
        <v>98.25</v>
      </c>
      <c r="F2319" s="90">
        <f t="shared" si="65"/>
        <v>8.6021505376344093E-2</v>
      </c>
    </row>
    <row r="2320" spans="1:6">
      <c r="A2320" s="5">
        <v>1912</v>
      </c>
      <c r="B2320" s="5" t="s">
        <v>16</v>
      </c>
      <c r="C2320" s="4">
        <v>102</v>
      </c>
      <c r="D2320" s="101">
        <f t="shared" si="66"/>
        <v>98.75</v>
      </c>
      <c r="F2320" s="90">
        <f t="shared" si="65"/>
        <v>6.25E-2</v>
      </c>
    </row>
    <row r="2321" spans="1:6">
      <c r="A2321" s="5">
        <v>1912</v>
      </c>
      <c r="B2321" s="5" t="s">
        <v>17</v>
      </c>
      <c r="C2321" s="4">
        <v>103</v>
      </c>
      <c r="D2321" s="101">
        <f t="shared" si="66"/>
        <v>99.25</v>
      </c>
      <c r="F2321" s="90">
        <f t="shared" si="65"/>
        <v>6.1855670103092786E-2</v>
      </c>
    </row>
    <row r="2322" spans="1:6">
      <c r="A2322" s="5">
        <v>1912</v>
      </c>
      <c r="B2322" s="5" t="s">
        <v>18</v>
      </c>
      <c r="C2322" s="4">
        <v>103</v>
      </c>
      <c r="D2322" s="101">
        <f t="shared" si="66"/>
        <v>99.75</v>
      </c>
      <c r="F2322" s="90">
        <f t="shared" si="65"/>
        <v>6.1855670103092786E-2</v>
      </c>
    </row>
    <row r="2323" spans="1:6">
      <c r="A2323" s="5">
        <v>1912</v>
      </c>
      <c r="B2323" s="5" t="s">
        <v>19</v>
      </c>
      <c r="C2323" s="4">
        <v>103</v>
      </c>
      <c r="D2323" s="101">
        <f t="shared" si="66"/>
        <v>100.33333333333333</v>
      </c>
      <c r="F2323" s="90">
        <f t="shared" si="65"/>
        <v>7.2916666666666671E-2</v>
      </c>
    </row>
    <row r="2324" spans="1:6">
      <c r="A2324" s="5">
        <v>1912</v>
      </c>
      <c r="B2324" s="5" t="s">
        <v>20</v>
      </c>
      <c r="C2324" s="4">
        <v>102</v>
      </c>
      <c r="D2324" s="101">
        <f t="shared" si="66"/>
        <v>100.91666666666667</v>
      </c>
      <c r="E2324" s="4">
        <v>101</v>
      </c>
      <c r="F2324" s="90">
        <f t="shared" si="65"/>
        <v>7.3684210526315783E-2</v>
      </c>
    </row>
    <row r="2325" spans="1:6">
      <c r="A2325" s="5">
        <v>1913</v>
      </c>
      <c r="B2325" s="5" t="s">
        <v>9</v>
      </c>
      <c r="C2325" s="4">
        <v>103</v>
      </c>
      <c r="D2325" s="101">
        <f t="shared" si="66"/>
        <v>101.5</v>
      </c>
      <c r="F2325" s="90">
        <f t="shared" ref="F2325:F2388" si="67">(C2325-C2313)/C2313</f>
        <v>7.2916666666666671E-2</v>
      </c>
    </row>
    <row r="2326" spans="1:6">
      <c r="A2326" s="5">
        <v>1913</v>
      </c>
      <c r="B2326" s="5" t="s">
        <v>10</v>
      </c>
      <c r="C2326" s="4">
        <v>102</v>
      </c>
      <c r="D2326" s="101">
        <f t="shared" si="66"/>
        <v>101.91666666666667</v>
      </c>
      <c r="F2326" s="90">
        <f t="shared" si="67"/>
        <v>5.1546391752577317E-2</v>
      </c>
    </row>
    <row r="2327" spans="1:6">
      <c r="A2327" s="5">
        <v>1913</v>
      </c>
      <c r="B2327" s="5" t="s">
        <v>11</v>
      </c>
      <c r="C2327" s="4">
        <v>102</v>
      </c>
      <c r="D2327" s="101">
        <f t="shared" si="66"/>
        <v>102.16666666666667</v>
      </c>
      <c r="F2327" s="90">
        <f t="shared" si="67"/>
        <v>3.0303030303030304E-2</v>
      </c>
    </row>
    <row r="2328" spans="1:6">
      <c r="A2328" s="5">
        <v>1913</v>
      </c>
      <c r="B2328" s="5" t="s">
        <v>12</v>
      </c>
      <c r="C2328" s="4">
        <v>102</v>
      </c>
      <c r="D2328" s="101">
        <f t="shared" si="66"/>
        <v>102.16666666666667</v>
      </c>
      <c r="F2328" s="90">
        <f t="shared" si="67"/>
        <v>0</v>
      </c>
    </row>
    <row r="2329" spans="1:6">
      <c r="A2329" s="5">
        <v>1913</v>
      </c>
      <c r="B2329" s="5" t="s">
        <v>13</v>
      </c>
      <c r="C2329" s="4">
        <v>101</v>
      </c>
      <c r="D2329" s="101">
        <f t="shared" si="66"/>
        <v>102.08333333333333</v>
      </c>
      <c r="F2329" s="90">
        <f t="shared" si="67"/>
        <v>-9.8039215686274508E-3</v>
      </c>
    </row>
    <row r="2330" spans="1:6">
      <c r="A2330" s="5">
        <v>1913</v>
      </c>
      <c r="B2330" s="5" t="s">
        <v>14</v>
      </c>
      <c r="C2330" s="4">
        <v>101</v>
      </c>
      <c r="D2330" s="101">
        <f t="shared" si="66"/>
        <v>102.08333333333333</v>
      </c>
      <c r="F2330" s="90">
        <f t="shared" si="67"/>
        <v>0</v>
      </c>
    </row>
    <row r="2331" spans="1:6">
      <c r="A2331" s="5">
        <v>1913</v>
      </c>
      <c r="B2331" s="5" t="s">
        <v>15</v>
      </c>
      <c r="C2331" s="4">
        <v>102</v>
      </c>
      <c r="D2331" s="101">
        <f t="shared" si="66"/>
        <v>102.16666666666667</v>
      </c>
      <c r="F2331" s="90">
        <f t="shared" si="67"/>
        <v>9.9009900990099011E-3</v>
      </c>
    </row>
    <row r="2332" spans="1:6">
      <c r="A2332" s="5">
        <v>1913</v>
      </c>
      <c r="B2332" s="5" t="s">
        <v>16</v>
      </c>
      <c r="C2332" s="4">
        <v>102</v>
      </c>
      <c r="D2332" s="101">
        <f t="shared" si="66"/>
        <v>102.16666666666667</v>
      </c>
      <c r="F2332" s="90">
        <f t="shared" si="67"/>
        <v>0</v>
      </c>
    </row>
    <row r="2333" spans="1:6">
      <c r="A2333" s="5">
        <v>1913</v>
      </c>
      <c r="B2333" s="5" t="s">
        <v>17</v>
      </c>
      <c r="C2333" s="4">
        <v>103</v>
      </c>
      <c r="D2333" s="101">
        <f t="shared" si="66"/>
        <v>102.16666666666667</v>
      </c>
      <c r="F2333" s="90">
        <f t="shared" si="67"/>
        <v>0</v>
      </c>
    </row>
    <row r="2334" spans="1:6">
      <c r="A2334" s="5">
        <v>1913</v>
      </c>
      <c r="B2334" s="5" t="s">
        <v>18</v>
      </c>
      <c r="C2334" s="4">
        <v>103</v>
      </c>
      <c r="D2334" s="101">
        <f t="shared" si="66"/>
        <v>102.16666666666667</v>
      </c>
      <c r="F2334" s="90">
        <f t="shared" si="67"/>
        <v>0</v>
      </c>
    </row>
    <row r="2335" spans="1:6">
      <c r="A2335" s="5">
        <v>1913</v>
      </c>
      <c r="B2335" s="5" t="s">
        <v>19</v>
      </c>
      <c r="C2335" s="4">
        <v>102</v>
      </c>
      <c r="D2335" s="101">
        <f t="shared" si="66"/>
        <v>102.08333333333333</v>
      </c>
      <c r="F2335" s="90">
        <f t="shared" si="67"/>
        <v>-9.7087378640776691E-3</v>
      </c>
    </row>
    <row r="2336" spans="1:6">
      <c r="A2336" s="5">
        <v>1913</v>
      </c>
      <c r="B2336" s="5" t="s">
        <v>20</v>
      </c>
      <c r="C2336" s="4">
        <v>101</v>
      </c>
      <c r="D2336" s="101">
        <f t="shared" si="66"/>
        <v>102</v>
      </c>
      <c r="E2336" s="4">
        <v>102</v>
      </c>
      <c r="F2336" s="90">
        <f t="shared" si="67"/>
        <v>-9.8039215686274508E-3</v>
      </c>
    </row>
    <row r="2337" spans="1:6">
      <c r="A2337" s="5">
        <v>1914</v>
      </c>
      <c r="B2337" s="5" t="s">
        <v>9</v>
      </c>
      <c r="C2337" s="4">
        <v>100</v>
      </c>
      <c r="D2337" s="101">
        <f t="shared" si="66"/>
        <v>101.75</v>
      </c>
      <c r="F2337" s="90">
        <f t="shared" si="67"/>
        <v>-2.9126213592233011E-2</v>
      </c>
    </row>
    <row r="2338" spans="1:6">
      <c r="A2338" s="5">
        <v>1914</v>
      </c>
      <c r="B2338" s="5" t="s">
        <v>10</v>
      </c>
      <c r="C2338" s="4">
        <v>100</v>
      </c>
      <c r="D2338" s="101">
        <f t="shared" si="66"/>
        <v>101.58333333333333</v>
      </c>
      <c r="F2338" s="90">
        <f t="shared" si="67"/>
        <v>-1.9607843137254902E-2</v>
      </c>
    </row>
    <row r="2339" spans="1:6">
      <c r="A2339" s="5">
        <v>1914</v>
      </c>
      <c r="B2339" s="5" t="s">
        <v>11</v>
      </c>
      <c r="C2339" s="4">
        <v>99</v>
      </c>
      <c r="D2339" s="101">
        <f t="shared" si="66"/>
        <v>101.33333333333333</v>
      </c>
      <c r="F2339" s="90">
        <f t="shared" si="67"/>
        <v>-2.9411764705882353E-2</v>
      </c>
    </row>
    <row r="2340" spans="1:6">
      <c r="A2340" s="5">
        <v>1914</v>
      </c>
      <c r="B2340" s="5" t="s">
        <v>12</v>
      </c>
      <c r="C2340" s="4">
        <v>99</v>
      </c>
      <c r="D2340" s="101">
        <f t="shared" si="66"/>
        <v>101.08333333333333</v>
      </c>
      <c r="F2340" s="90">
        <f t="shared" si="67"/>
        <v>-2.9411764705882353E-2</v>
      </c>
    </row>
    <row r="2341" spans="1:6">
      <c r="A2341" s="5">
        <v>1914</v>
      </c>
      <c r="B2341" s="5" t="s">
        <v>13</v>
      </c>
      <c r="C2341" s="4">
        <v>98</v>
      </c>
      <c r="D2341" s="101">
        <f t="shared" si="66"/>
        <v>100.83333333333333</v>
      </c>
      <c r="F2341" s="90">
        <f t="shared" si="67"/>
        <v>-2.9702970297029702E-2</v>
      </c>
    </row>
    <row r="2342" spans="1:6">
      <c r="A2342" s="5">
        <v>1914</v>
      </c>
      <c r="B2342" s="5" t="s">
        <v>14</v>
      </c>
      <c r="C2342" s="4">
        <v>98</v>
      </c>
      <c r="D2342" s="101">
        <f t="shared" si="66"/>
        <v>100.58333333333333</v>
      </c>
      <c r="F2342" s="90">
        <f t="shared" si="67"/>
        <v>-2.9702970297029702E-2</v>
      </c>
    </row>
    <row r="2343" spans="1:6">
      <c r="A2343" s="5">
        <v>1914</v>
      </c>
      <c r="B2343" s="5" t="s">
        <v>15</v>
      </c>
      <c r="C2343" s="4">
        <v>99</v>
      </c>
      <c r="D2343" s="101">
        <f t="shared" si="66"/>
        <v>100.33333333333333</v>
      </c>
      <c r="F2343" s="90">
        <f t="shared" si="67"/>
        <v>-2.9411764705882353E-2</v>
      </c>
    </row>
    <row r="2344" spans="1:6">
      <c r="A2344" s="5">
        <v>1914</v>
      </c>
      <c r="B2344" s="5" t="s">
        <v>16</v>
      </c>
      <c r="C2344" s="4">
        <v>101</v>
      </c>
      <c r="D2344" s="101">
        <f t="shared" si="66"/>
        <v>100.25</v>
      </c>
      <c r="F2344" s="90">
        <f t="shared" si="67"/>
        <v>-9.8039215686274508E-3</v>
      </c>
    </row>
    <row r="2345" spans="1:6">
      <c r="A2345" s="5">
        <v>1914</v>
      </c>
      <c r="B2345" s="5" t="s">
        <v>17</v>
      </c>
      <c r="C2345" s="4">
        <v>103</v>
      </c>
      <c r="D2345" s="101">
        <f t="shared" si="66"/>
        <v>100.25</v>
      </c>
      <c r="F2345" s="90">
        <f t="shared" si="67"/>
        <v>0</v>
      </c>
    </row>
    <row r="2346" spans="1:6">
      <c r="A2346" s="5">
        <v>1914</v>
      </c>
      <c r="B2346" s="5" t="s">
        <v>18</v>
      </c>
      <c r="C2346" s="4">
        <v>99</v>
      </c>
      <c r="D2346" s="101">
        <f t="shared" si="66"/>
        <v>99.916666666666671</v>
      </c>
      <c r="F2346" s="90">
        <f t="shared" si="67"/>
        <v>-3.8834951456310676E-2</v>
      </c>
    </row>
    <row r="2347" spans="1:6">
      <c r="A2347" s="5">
        <v>1914</v>
      </c>
      <c r="B2347" s="5" t="s">
        <v>19</v>
      </c>
      <c r="C2347" s="4">
        <v>99</v>
      </c>
      <c r="D2347" s="101">
        <f t="shared" si="66"/>
        <v>99.666666666666671</v>
      </c>
      <c r="F2347" s="90">
        <f t="shared" si="67"/>
        <v>-2.9411764705882353E-2</v>
      </c>
    </row>
    <row r="2348" spans="1:6">
      <c r="A2348" s="5">
        <v>1914</v>
      </c>
      <c r="B2348" s="5" t="s">
        <v>20</v>
      </c>
      <c r="C2348" s="4">
        <v>98</v>
      </c>
      <c r="D2348" s="101">
        <f t="shared" si="66"/>
        <v>99.416666666666671</v>
      </c>
      <c r="E2348" s="4">
        <v>99</v>
      </c>
      <c r="F2348" s="90">
        <f t="shared" si="67"/>
        <v>-2.9702970297029702E-2</v>
      </c>
    </row>
    <row r="2349" spans="1:6">
      <c r="A2349" s="5">
        <v>1915</v>
      </c>
      <c r="B2349" s="5" t="s">
        <v>9</v>
      </c>
      <c r="C2349" s="4">
        <v>99</v>
      </c>
      <c r="D2349" s="101">
        <f t="shared" si="66"/>
        <v>99.333333333333329</v>
      </c>
      <c r="F2349" s="90">
        <f t="shared" si="67"/>
        <v>-0.01</v>
      </c>
    </row>
    <row r="2350" spans="1:6">
      <c r="A2350" s="5">
        <v>1915</v>
      </c>
      <c r="B2350" s="5" t="s">
        <v>10</v>
      </c>
      <c r="C2350" s="4">
        <v>100</v>
      </c>
      <c r="D2350" s="101">
        <f t="shared" si="66"/>
        <v>99.333333333333329</v>
      </c>
      <c r="F2350" s="90">
        <f t="shared" si="67"/>
        <v>0</v>
      </c>
    </row>
    <row r="2351" spans="1:6">
      <c r="A2351" s="5">
        <v>1915</v>
      </c>
      <c r="B2351" s="5" t="s">
        <v>11</v>
      </c>
      <c r="C2351" s="4">
        <v>100</v>
      </c>
      <c r="D2351" s="101">
        <f t="shared" si="66"/>
        <v>99.416666666666671</v>
      </c>
      <c r="F2351" s="90">
        <f t="shared" si="67"/>
        <v>1.0101010101010102E-2</v>
      </c>
    </row>
    <row r="2352" spans="1:6">
      <c r="A2352" s="5">
        <v>1915</v>
      </c>
      <c r="B2352" s="5" t="s">
        <v>12</v>
      </c>
      <c r="C2352" s="4">
        <v>100</v>
      </c>
      <c r="D2352" s="101">
        <f t="shared" si="66"/>
        <v>99.5</v>
      </c>
      <c r="F2352" s="90">
        <f t="shared" si="67"/>
        <v>1.0101010101010102E-2</v>
      </c>
    </row>
    <row r="2353" spans="1:6">
      <c r="A2353" s="5">
        <v>1915</v>
      </c>
      <c r="B2353" s="5" t="s">
        <v>13</v>
      </c>
      <c r="C2353" s="4">
        <v>101</v>
      </c>
      <c r="D2353" s="101">
        <f t="shared" ref="D2353:D2416" si="68">AVERAGE(C2342:C2353)</f>
        <v>99.75</v>
      </c>
      <c r="F2353" s="90">
        <f t="shared" si="67"/>
        <v>3.0612244897959183E-2</v>
      </c>
    </row>
    <row r="2354" spans="1:6">
      <c r="A2354" s="5">
        <v>1915</v>
      </c>
      <c r="B2354" s="5" t="s">
        <v>14</v>
      </c>
      <c r="C2354" s="4">
        <v>100</v>
      </c>
      <c r="D2354" s="101">
        <f t="shared" si="68"/>
        <v>99.916666666666671</v>
      </c>
      <c r="F2354" s="90">
        <f t="shared" si="67"/>
        <v>2.0408163265306121E-2</v>
      </c>
    </row>
    <row r="2355" spans="1:6">
      <c r="A2355" s="5">
        <v>1915</v>
      </c>
      <c r="B2355" s="5" t="s">
        <v>15</v>
      </c>
      <c r="C2355" s="4">
        <v>101</v>
      </c>
      <c r="D2355" s="101">
        <f t="shared" si="68"/>
        <v>100.08333333333333</v>
      </c>
      <c r="F2355" s="90">
        <f t="shared" si="67"/>
        <v>2.0202020202020204E-2</v>
      </c>
    </row>
    <row r="2356" spans="1:6">
      <c r="A2356" s="5">
        <v>1915</v>
      </c>
      <c r="B2356" s="5" t="s">
        <v>16</v>
      </c>
      <c r="C2356" s="4">
        <v>100</v>
      </c>
      <c r="D2356" s="101">
        <f t="shared" si="68"/>
        <v>100</v>
      </c>
      <c r="F2356" s="90">
        <f t="shared" si="67"/>
        <v>-9.9009900990099011E-3</v>
      </c>
    </row>
    <row r="2357" spans="1:6">
      <c r="A2357" s="5">
        <v>1915</v>
      </c>
      <c r="B2357" s="5" t="s">
        <v>17</v>
      </c>
      <c r="C2357" s="4">
        <v>100</v>
      </c>
      <c r="D2357" s="101">
        <f t="shared" si="68"/>
        <v>99.75</v>
      </c>
      <c r="F2357" s="90">
        <f t="shared" si="67"/>
        <v>-2.9126213592233011E-2</v>
      </c>
    </row>
    <row r="2358" spans="1:6">
      <c r="A2358" s="5">
        <v>1915</v>
      </c>
      <c r="B2358" s="5" t="s">
        <v>18</v>
      </c>
      <c r="C2358" s="4">
        <v>103</v>
      </c>
      <c r="D2358" s="101">
        <f t="shared" si="68"/>
        <v>100.08333333333333</v>
      </c>
      <c r="F2358" s="90">
        <f t="shared" si="67"/>
        <v>4.0404040404040407E-2</v>
      </c>
    </row>
    <row r="2359" spans="1:6">
      <c r="A2359" s="5">
        <v>1915</v>
      </c>
      <c r="B2359" s="5" t="s">
        <v>19</v>
      </c>
      <c r="C2359" s="4">
        <v>105</v>
      </c>
      <c r="D2359" s="101">
        <f t="shared" si="68"/>
        <v>100.58333333333333</v>
      </c>
      <c r="F2359" s="90">
        <f t="shared" si="67"/>
        <v>6.0606060606060608E-2</v>
      </c>
    </row>
    <row r="2360" spans="1:6">
      <c r="A2360" s="5">
        <v>1915</v>
      </c>
      <c r="B2360" s="5" t="s">
        <v>20</v>
      </c>
      <c r="C2360" s="4">
        <v>108</v>
      </c>
      <c r="D2360" s="101">
        <f t="shared" si="68"/>
        <v>101.41666666666667</v>
      </c>
      <c r="E2360" s="4">
        <v>101</v>
      </c>
      <c r="F2360" s="90">
        <f t="shared" si="67"/>
        <v>0.10204081632653061</v>
      </c>
    </row>
    <row r="2361" spans="1:6">
      <c r="A2361" s="5">
        <v>1916</v>
      </c>
      <c r="B2361" s="5" t="s">
        <v>9</v>
      </c>
      <c r="C2361" s="4">
        <v>112</v>
      </c>
      <c r="D2361" s="101">
        <f t="shared" si="68"/>
        <v>102.5</v>
      </c>
      <c r="F2361" s="90">
        <f t="shared" si="67"/>
        <v>0.13131313131313133</v>
      </c>
    </row>
    <row r="2362" spans="1:6">
      <c r="A2362" s="5">
        <v>1916</v>
      </c>
      <c r="B2362" s="5" t="s">
        <v>10</v>
      </c>
      <c r="C2362" s="4">
        <v>115</v>
      </c>
      <c r="D2362" s="101">
        <f t="shared" si="68"/>
        <v>103.75</v>
      </c>
      <c r="F2362" s="90">
        <f t="shared" si="67"/>
        <v>0.15</v>
      </c>
    </row>
    <row r="2363" spans="1:6">
      <c r="A2363" s="5">
        <v>1916</v>
      </c>
      <c r="B2363" s="5" t="s">
        <v>11</v>
      </c>
      <c r="C2363" s="4">
        <v>117</v>
      </c>
      <c r="D2363" s="101">
        <f t="shared" si="68"/>
        <v>105.16666666666667</v>
      </c>
      <c r="F2363" s="90">
        <f t="shared" si="67"/>
        <v>0.17</v>
      </c>
    </row>
    <row r="2364" spans="1:6">
      <c r="A2364" s="5">
        <v>1916</v>
      </c>
      <c r="B2364" s="5" t="s">
        <v>12</v>
      </c>
      <c r="C2364" s="4">
        <v>119</v>
      </c>
      <c r="D2364" s="101">
        <f t="shared" si="68"/>
        <v>106.75</v>
      </c>
      <c r="F2364" s="90">
        <f t="shared" si="67"/>
        <v>0.19</v>
      </c>
    </row>
    <row r="2365" spans="1:6">
      <c r="A2365" s="5">
        <v>1916</v>
      </c>
      <c r="B2365" s="5" t="s">
        <v>13</v>
      </c>
      <c r="C2365" s="4">
        <v>121</v>
      </c>
      <c r="D2365" s="101">
        <f t="shared" si="68"/>
        <v>108.41666666666667</v>
      </c>
      <c r="F2365" s="90">
        <f t="shared" si="67"/>
        <v>0.19801980198019803</v>
      </c>
    </row>
    <row r="2366" spans="1:6">
      <c r="A2366" s="5">
        <v>1916</v>
      </c>
      <c r="B2366" s="5" t="s">
        <v>14</v>
      </c>
      <c r="C2366" s="4">
        <v>121</v>
      </c>
      <c r="D2366" s="101">
        <f t="shared" si="68"/>
        <v>110.16666666666667</v>
      </c>
      <c r="F2366" s="90">
        <f t="shared" si="67"/>
        <v>0.21</v>
      </c>
    </row>
    <row r="2367" spans="1:6">
      <c r="A2367" s="5">
        <v>1916</v>
      </c>
      <c r="B2367" s="5" t="s">
        <v>15</v>
      </c>
      <c r="C2367" s="4">
        <v>122</v>
      </c>
      <c r="D2367" s="101">
        <f t="shared" si="68"/>
        <v>111.91666666666667</v>
      </c>
      <c r="F2367" s="90">
        <f t="shared" si="67"/>
        <v>0.20792079207920791</v>
      </c>
    </row>
    <row r="2368" spans="1:6">
      <c r="A2368" s="5">
        <v>1916</v>
      </c>
      <c r="B2368" s="5" t="s">
        <v>16</v>
      </c>
      <c r="C2368" s="4">
        <v>124</v>
      </c>
      <c r="D2368" s="101">
        <f t="shared" si="68"/>
        <v>113.91666666666667</v>
      </c>
      <c r="F2368" s="90">
        <f t="shared" si="67"/>
        <v>0.24</v>
      </c>
    </row>
    <row r="2369" spans="1:6">
      <c r="A2369" s="5">
        <v>1916</v>
      </c>
      <c r="B2369" s="5" t="s">
        <v>17</v>
      </c>
      <c r="C2369" s="4">
        <v>127</v>
      </c>
      <c r="D2369" s="101">
        <f t="shared" si="68"/>
        <v>116.16666666666667</v>
      </c>
      <c r="F2369" s="90">
        <f t="shared" si="67"/>
        <v>0.27</v>
      </c>
    </row>
    <row r="2370" spans="1:6">
      <c r="A2370" s="5">
        <v>1916</v>
      </c>
      <c r="B2370" s="5" t="s">
        <v>18</v>
      </c>
      <c r="C2370" s="4">
        <v>133</v>
      </c>
      <c r="D2370" s="101">
        <f t="shared" si="68"/>
        <v>118.66666666666667</v>
      </c>
      <c r="F2370" s="90">
        <f t="shared" si="67"/>
        <v>0.29126213592233008</v>
      </c>
    </row>
    <row r="2371" spans="1:6">
      <c r="A2371" s="5">
        <v>1916</v>
      </c>
      <c r="B2371" s="5" t="s">
        <v>19</v>
      </c>
      <c r="C2371" s="4">
        <v>142</v>
      </c>
      <c r="D2371" s="101">
        <f t="shared" si="68"/>
        <v>121.75</v>
      </c>
      <c r="F2371" s="90">
        <f t="shared" si="67"/>
        <v>0.35238095238095241</v>
      </c>
    </row>
    <row r="2372" spans="1:6">
      <c r="A2372" s="5">
        <v>1916</v>
      </c>
      <c r="B2372" s="5" t="s">
        <v>20</v>
      </c>
      <c r="C2372" s="4">
        <v>145</v>
      </c>
      <c r="D2372" s="101">
        <f t="shared" si="68"/>
        <v>124.83333333333333</v>
      </c>
      <c r="E2372" s="4">
        <v>125</v>
      </c>
      <c r="F2372" s="90">
        <f t="shared" si="67"/>
        <v>0.34259259259259262</v>
      </c>
    </row>
    <row r="2373" spans="1:6">
      <c r="A2373" s="5">
        <v>1917</v>
      </c>
      <c r="B2373" s="5" t="s">
        <v>9</v>
      </c>
      <c r="C2373" s="4">
        <v>149</v>
      </c>
      <c r="D2373" s="101">
        <f t="shared" si="68"/>
        <v>127.91666666666667</v>
      </c>
      <c r="F2373" s="90">
        <f t="shared" si="67"/>
        <v>0.33035714285714285</v>
      </c>
    </row>
    <row r="2374" spans="1:6">
      <c r="A2374" s="5">
        <v>1917</v>
      </c>
      <c r="B2374" s="5" t="s">
        <v>10</v>
      </c>
      <c r="C2374" s="4">
        <v>153</v>
      </c>
      <c r="D2374" s="101">
        <f t="shared" si="68"/>
        <v>131.08333333333334</v>
      </c>
      <c r="F2374" s="90">
        <f t="shared" si="67"/>
        <v>0.33043478260869563</v>
      </c>
    </row>
    <row r="2375" spans="1:6">
      <c r="A2375" s="5">
        <v>1917</v>
      </c>
      <c r="B2375" s="5" t="s">
        <v>11</v>
      </c>
      <c r="C2375" s="4">
        <v>157</v>
      </c>
      <c r="D2375" s="101">
        <f t="shared" si="68"/>
        <v>134.41666666666666</v>
      </c>
      <c r="F2375" s="90">
        <f t="shared" si="67"/>
        <v>0.34188034188034189</v>
      </c>
    </row>
    <row r="2376" spans="1:6">
      <c r="A2376" s="5">
        <v>1917</v>
      </c>
      <c r="B2376" s="5" t="s">
        <v>12</v>
      </c>
      <c r="C2376" s="4">
        <v>167</v>
      </c>
      <c r="D2376" s="101">
        <f t="shared" si="68"/>
        <v>138.41666666666666</v>
      </c>
      <c r="F2376" s="90">
        <f t="shared" si="67"/>
        <v>0.40336134453781514</v>
      </c>
    </row>
    <row r="2377" spans="1:6">
      <c r="A2377" s="5">
        <v>1917</v>
      </c>
      <c r="B2377" s="5" t="s">
        <v>13</v>
      </c>
      <c r="C2377" s="4">
        <v>176</v>
      </c>
      <c r="D2377" s="101">
        <f t="shared" si="68"/>
        <v>143</v>
      </c>
      <c r="F2377" s="90">
        <f t="shared" si="67"/>
        <v>0.45454545454545453</v>
      </c>
    </row>
    <row r="2378" spans="1:6">
      <c r="A2378" s="5">
        <v>1917</v>
      </c>
      <c r="B2378" s="5" t="s">
        <v>14</v>
      </c>
      <c r="C2378" s="4">
        <v>178</v>
      </c>
      <c r="D2378" s="101">
        <f t="shared" si="68"/>
        <v>147.75</v>
      </c>
      <c r="F2378" s="90">
        <f t="shared" si="67"/>
        <v>0.47107438016528924</v>
      </c>
    </row>
    <row r="2379" spans="1:6">
      <c r="A2379" s="5">
        <v>1917</v>
      </c>
      <c r="B2379" s="5" t="s">
        <v>15</v>
      </c>
      <c r="C2379" s="4">
        <v>180</v>
      </c>
      <c r="D2379" s="101">
        <f t="shared" si="68"/>
        <v>152.58333333333334</v>
      </c>
      <c r="F2379" s="90">
        <f t="shared" si="67"/>
        <v>0.47540983606557374</v>
      </c>
    </row>
    <row r="2380" spans="1:6">
      <c r="A2380" s="5">
        <v>1917</v>
      </c>
      <c r="B2380" s="5" t="s">
        <v>16</v>
      </c>
      <c r="C2380" s="4">
        <v>182</v>
      </c>
      <c r="D2380" s="101">
        <f t="shared" si="68"/>
        <v>157.41666666666666</v>
      </c>
      <c r="F2380" s="90">
        <f t="shared" si="67"/>
        <v>0.46774193548387094</v>
      </c>
    </row>
    <row r="2381" spans="1:6">
      <c r="A2381" s="5">
        <v>1917</v>
      </c>
      <c r="B2381" s="5" t="s">
        <v>17</v>
      </c>
      <c r="C2381" s="4">
        <v>180</v>
      </c>
      <c r="D2381" s="101">
        <f t="shared" si="68"/>
        <v>161.83333333333334</v>
      </c>
      <c r="F2381" s="90">
        <f t="shared" si="67"/>
        <v>0.41732283464566927</v>
      </c>
    </row>
    <row r="2382" spans="1:6">
      <c r="A2382" s="5">
        <v>1917</v>
      </c>
      <c r="B2382" s="5" t="s">
        <v>18</v>
      </c>
      <c r="C2382" s="4">
        <v>178</v>
      </c>
      <c r="D2382" s="101">
        <f t="shared" si="68"/>
        <v>165.58333333333334</v>
      </c>
      <c r="F2382" s="90">
        <f t="shared" si="67"/>
        <v>0.33834586466165412</v>
      </c>
    </row>
    <row r="2383" spans="1:6">
      <c r="A2383" s="5">
        <v>1917</v>
      </c>
      <c r="B2383" s="5" t="s">
        <v>19</v>
      </c>
      <c r="C2383" s="4">
        <v>179</v>
      </c>
      <c r="D2383" s="101">
        <f t="shared" si="68"/>
        <v>168.66666666666666</v>
      </c>
      <c r="F2383" s="90">
        <f t="shared" si="67"/>
        <v>0.26056338028169013</v>
      </c>
    </row>
    <row r="2384" spans="1:6">
      <c r="A2384" s="5">
        <v>1917</v>
      </c>
      <c r="B2384" s="5" t="s">
        <v>20</v>
      </c>
      <c r="C2384" s="4">
        <v>180</v>
      </c>
      <c r="D2384" s="101">
        <f t="shared" si="68"/>
        <v>171.58333333333334</v>
      </c>
      <c r="E2384" s="4">
        <v>172</v>
      </c>
      <c r="F2384" s="90">
        <f t="shared" si="67"/>
        <v>0.2413793103448276</v>
      </c>
    </row>
    <row r="2385" spans="1:6">
      <c r="A2385" s="5">
        <v>1918</v>
      </c>
      <c r="B2385" s="5" t="s">
        <v>9</v>
      </c>
      <c r="C2385" s="4">
        <v>183</v>
      </c>
      <c r="D2385" s="101">
        <f t="shared" si="68"/>
        <v>174.41666666666666</v>
      </c>
      <c r="F2385" s="90">
        <f t="shared" si="67"/>
        <v>0.22818791946308725</v>
      </c>
    </row>
    <row r="2386" spans="1:6">
      <c r="A2386" s="5">
        <v>1918</v>
      </c>
      <c r="B2386" s="5" t="s">
        <v>10</v>
      </c>
      <c r="C2386" s="4">
        <v>179</v>
      </c>
      <c r="D2386" s="101">
        <f t="shared" si="68"/>
        <v>176.58333333333334</v>
      </c>
      <c r="F2386" s="90">
        <f t="shared" si="67"/>
        <v>0.16993464052287582</v>
      </c>
    </row>
    <row r="2387" spans="1:6">
      <c r="A2387" s="5">
        <v>1918</v>
      </c>
      <c r="B2387" s="5" t="s">
        <v>11</v>
      </c>
      <c r="C2387" s="4">
        <v>185</v>
      </c>
      <c r="D2387" s="101">
        <f t="shared" si="68"/>
        <v>178.91666666666666</v>
      </c>
      <c r="F2387" s="90">
        <f t="shared" si="67"/>
        <v>0.17834394904458598</v>
      </c>
    </row>
    <row r="2388" spans="1:6">
      <c r="A2388" s="5">
        <v>1918</v>
      </c>
      <c r="B2388" s="5" t="s">
        <v>12</v>
      </c>
      <c r="C2388" s="4">
        <v>187</v>
      </c>
      <c r="D2388" s="101">
        <f t="shared" si="68"/>
        <v>180.58333333333334</v>
      </c>
      <c r="F2388" s="90">
        <f t="shared" si="67"/>
        <v>0.11976047904191617</v>
      </c>
    </row>
    <row r="2389" spans="1:6">
      <c r="A2389" s="5">
        <v>1918</v>
      </c>
      <c r="B2389" s="5" t="s">
        <v>13</v>
      </c>
      <c r="C2389" s="4">
        <v>187</v>
      </c>
      <c r="D2389" s="101">
        <f t="shared" si="68"/>
        <v>181.5</v>
      </c>
      <c r="F2389" s="90">
        <f t="shared" ref="F2389:F2452" si="69">(C2389-C2377)/C2377</f>
        <v>6.25E-2</v>
      </c>
    </row>
    <row r="2390" spans="1:6">
      <c r="A2390" s="5">
        <v>1918</v>
      </c>
      <c r="B2390" s="5" t="s">
        <v>14</v>
      </c>
      <c r="C2390" s="4">
        <v>188</v>
      </c>
      <c r="D2390" s="101">
        <f t="shared" si="68"/>
        <v>182.33333333333334</v>
      </c>
      <c r="F2390" s="90">
        <f t="shared" si="69"/>
        <v>5.6179775280898875E-2</v>
      </c>
    </row>
    <row r="2391" spans="1:6">
      <c r="A2391" s="5">
        <v>1918</v>
      </c>
      <c r="B2391" s="5" t="s">
        <v>15</v>
      </c>
      <c r="C2391" s="4">
        <v>193</v>
      </c>
      <c r="D2391" s="101">
        <f t="shared" si="68"/>
        <v>183.41666666666666</v>
      </c>
      <c r="F2391" s="90">
        <f t="shared" si="69"/>
        <v>7.2222222222222215E-2</v>
      </c>
    </row>
    <row r="2392" spans="1:6">
      <c r="A2392" s="5">
        <v>1918</v>
      </c>
      <c r="B2392" s="5" t="s">
        <v>16</v>
      </c>
      <c r="C2392" s="4">
        <v>196</v>
      </c>
      <c r="D2392" s="101">
        <f t="shared" si="68"/>
        <v>184.58333333333334</v>
      </c>
      <c r="F2392" s="90">
        <f t="shared" si="69"/>
        <v>7.6923076923076927E-2</v>
      </c>
    </row>
    <row r="2393" spans="1:6">
      <c r="A2393" s="5">
        <v>1918</v>
      </c>
      <c r="B2393" s="5" t="s">
        <v>17</v>
      </c>
      <c r="C2393" s="4">
        <v>201</v>
      </c>
      <c r="D2393" s="101">
        <f t="shared" si="68"/>
        <v>186.33333333333334</v>
      </c>
      <c r="F2393" s="90">
        <f t="shared" si="69"/>
        <v>0.11666666666666667</v>
      </c>
    </row>
    <row r="2394" spans="1:6">
      <c r="A2394" s="5">
        <v>1918</v>
      </c>
      <c r="B2394" s="5" t="s">
        <v>18</v>
      </c>
      <c r="C2394" s="4">
        <v>199</v>
      </c>
      <c r="D2394" s="101">
        <f t="shared" si="68"/>
        <v>188.08333333333334</v>
      </c>
      <c r="F2394" s="90">
        <f t="shared" si="69"/>
        <v>0.11797752808988764</v>
      </c>
    </row>
    <row r="2395" spans="1:6">
      <c r="A2395" s="5">
        <v>1918</v>
      </c>
      <c r="B2395" s="5" t="s">
        <v>19</v>
      </c>
      <c r="C2395" s="4">
        <v>199</v>
      </c>
      <c r="D2395" s="101">
        <f t="shared" si="68"/>
        <v>189.75</v>
      </c>
      <c r="F2395" s="90">
        <f t="shared" si="69"/>
        <v>0.11173184357541899</v>
      </c>
    </row>
    <row r="2396" spans="1:6">
      <c r="A2396" s="5">
        <v>1918</v>
      </c>
      <c r="B2396" s="5" t="s">
        <v>20</v>
      </c>
      <c r="C2396" s="4">
        <v>199</v>
      </c>
      <c r="D2396" s="101">
        <f t="shared" si="68"/>
        <v>191.33333333333334</v>
      </c>
      <c r="E2396" s="4">
        <v>191</v>
      </c>
      <c r="F2396" s="90">
        <f t="shared" si="69"/>
        <v>0.10555555555555556</v>
      </c>
    </row>
    <row r="2397" spans="1:6">
      <c r="A2397" s="5">
        <v>1919</v>
      </c>
      <c r="B2397" s="5" t="s">
        <v>9</v>
      </c>
      <c r="C2397" s="4">
        <v>196</v>
      </c>
      <c r="D2397" s="101">
        <f t="shared" si="68"/>
        <v>192.41666666666666</v>
      </c>
      <c r="F2397" s="90">
        <f t="shared" si="69"/>
        <v>7.1038251366120214E-2</v>
      </c>
    </row>
    <row r="2398" spans="1:6">
      <c r="A2398" s="5">
        <v>1919</v>
      </c>
      <c r="B2398" s="5" t="s">
        <v>10</v>
      </c>
      <c r="C2398" s="4">
        <v>190</v>
      </c>
      <c r="D2398" s="101">
        <f t="shared" si="68"/>
        <v>193.33333333333334</v>
      </c>
      <c r="F2398" s="90">
        <f t="shared" si="69"/>
        <v>6.1452513966480445E-2</v>
      </c>
    </row>
    <row r="2399" spans="1:6">
      <c r="A2399" s="5">
        <v>1919</v>
      </c>
      <c r="B2399" s="5" t="s">
        <v>11</v>
      </c>
      <c r="C2399" s="4">
        <v>192</v>
      </c>
      <c r="D2399" s="101">
        <f t="shared" si="68"/>
        <v>193.91666666666666</v>
      </c>
      <c r="F2399" s="90">
        <f t="shared" si="69"/>
        <v>3.783783783783784E-2</v>
      </c>
    </row>
    <row r="2400" spans="1:6">
      <c r="A2400" s="5">
        <v>1919</v>
      </c>
      <c r="B2400" s="5" t="s">
        <v>12</v>
      </c>
      <c r="C2400" s="4">
        <v>194</v>
      </c>
      <c r="D2400" s="101">
        <f t="shared" si="68"/>
        <v>194.5</v>
      </c>
      <c r="F2400" s="90">
        <f t="shared" si="69"/>
        <v>3.7433155080213901E-2</v>
      </c>
    </row>
    <row r="2401" spans="1:6">
      <c r="A2401" s="5">
        <v>1919</v>
      </c>
      <c r="B2401" s="5" t="s">
        <v>13</v>
      </c>
      <c r="C2401" s="4">
        <v>198</v>
      </c>
      <c r="D2401" s="101">
        <f t="shared" si="68"/>
        <v>195.41666666666666</v>
      </c>
      <c r="F2401" s="90">
        <f t="shared" si="69"/>
        <v>5.8823529411764705E-2</v>
      </c>
    </row>
    <row r="2402" spans="1:6">
      <c r="A2402" s="5">
        <v>1919</v>
      </c>
      <c r="B2402" s="5" t="s">
        <v>14</v>
      </c>
      <c r="C2402" s="4">
        <v>198</v>
      </c>
      <c r="D2402" s="101">
        <f t="shared" si="68"/>
        <v>196.25</v>
      </c>
      <c r="F2402" s="90">
        <f t="shared" si="69"/>
        <v>5.3191489361702128E-2</v>
      </c>
    </row>
    <row r="2403" spans="1:6">
      <c r="A2403" s="5">
        <v>1919</v>
      </c>
      <c r="B2403" s="5" t="s">
        <v>15</v>
      </c>
      <c r="C2403" s="4">
        <v>206</v>
      </c>
      <c r="D2403" s="101">
        <f t="shared" si="68"/>
        <v>197.33333333333334</v>
      </c>
      <c r="F2403" s="90">
        <f t="shared" si="69"/>
        <v>6.7357512953367879E-2</v>
      </c>
    </row>
    <row r="2404" spans="1:6">
      <c r="A2404" s="5">
        <v>1919</v>
      </c>
      <c r="B2404" s="5" t="s">
        <v>16</v>
      </c>
      <c r="C2404" s="4">
        <v>211</v>
      </c>
      <c r="D2404" s="101">
        <f t="shared" si="68"/>
        <v>198.58333333333334</v>
      </c>
      <c r="F2404" s="90">
        <f t="shared" si="69"/>
        <v>7.6530612244897961E-2</v>
      </c>
    </row>
    <row r="2405" spans="1:6">
      <c r="A2405" s="5">
        <v>1919</v>
      </c>
      <c r="B2405" s="5" t="s">
        <v>17</v>
      </c>
      <c r="C2405" s="4">
        <v>206</v>
      </c>
      <c r="D2405" s="101">
        <f t="shared" si="68"/>
        <v>199</v>
      </c>
      <c r="F2405" s="90">
        <f t="shared" si="69"/>
        <v>2.4875621890547265E-2</v>
      </c>
    </row>
    <row r="2406" spans="1:6">
      <c r="A2406" s="5">
        <v>1919</v>
      </c>
      <c r="B2406" s="5" t="s">
        <v>18</v>
      </c>
      <c r="C2406" s="4">
        <v>207</v>
      </c>
      <c r="D2406" s="101">
        <f t="shared" si="68"/>
        <v>199.66666666666666</v>
      </c>
      <c r="F2406" s="90">
        <f t="shared" si="69"/>
        <v>4.0201005025125629E-2</v>
      </c>
    </row>
    <row r="2407" spans="1:6">
      <c r="A2407" s="5">
        <v>1919</v>
      </c>
      <c r="B2407" s="5" t="s">
        <v>19</v>
      </c>
      <c r="C2407" s="4">
        <v>211</v>
      </c>
      <c r="D2407" s="101">
        <f t="shared" si="68"/>
        <v>200.66666666666666</v>
      </c>
      <c r="F2407" s="90">
        <f t="shared" si="69"/>
        <v>6.030150753768844E-2</v>
      </c>
    </row>
    <row r="2408" spans="1:6">
      <c r="A2408" s="5">
        <v>1919</v>
      </c>
      <c r="B2408" s="5" t="s">
        <v>20</v>
      </c>
      <c r="C2408" s="4">
        <v>220</v>
      </c>
      <c r="D2408" s="101">
        <f t="shared" si="68"/>
        <v>202.41666666666666</v>
      </c>
      <c r="E2408" s="4">
        <v>202</v>
      </c>
      <c r="F2408" s="90">
        <f t="shared" si="69"/>
        <v>0.10552763819095477</v>
      </c>
    </row>
    <row r="2409" spans="1:6">
      <c r="A2409" s="5">
        <v>1920</v>
      </c>
      <c r="B2409" s="5" t="s">
        <v>9</v>
      </c>
      <c r="C2409" s="4">
        <v>230</v>
      </c>
      <c r="D2409" s="101">
        <f t="shared" si="68"/>
        <v>205.25</v>
      </c>
      <c r="F2409" s="90">
        <f t="shared" si="69"/>
        <v>0.17346938775510204</v>
      </c>
    </row>
    <row r="2410" spans="1:6">
      <c r="A2410" s="5">
        <v>1920</v>
      </c>
      <c r="B2410" s="5" t="s">
        <v>10</v>
      </c>
      <c r="C2410" s="4">
        <v>229</v>
      </c>
      <c r="D2410" s="101">
        <f t="shared" si="68"/>
        <v>208.5</v>
      </c>
      <c r="F2410" s="90">
        <f t="shared" si="69"/>
        <v>0.20526315789473684</v>
      </c>
    </row>
    <row r="2411" spans="1:6">
      <c r="A2411" s="5">
        <v>1920</v>
      </c>
      <c r="B2411" s="5" t="s">
        <v>11</v>
      </c>
      <c r="C2411" s="4">
        <v>232</v>
      </c>
      <c r="D2411" s="101">
        <f t="shared" si="68"/>
        <v>211.83333333333334</v>
      </c>
      <c r="F2411" s="90">
        <f t="shared" si="69"/>
        <v>0.20833333333333334</v>
      </c>
    </row>
    <row r="2412" spans="1:6">
      <c r="A2412" s="5">
        <v>1920</v>
      </c>
      <c r="B2412" s="5" t="s">
        <v>12</v>
      </c>
      <c r="C2412" s="4">
        <v>242</v>
      </c>
      <c r="D2412" s="101">
        <f t="shared" si="68"/>
        <v>215.83333333333334</v>
      </c>
      <c r="F2412" s="90">
        <f t="shared" si="69"/>
        <v>0.24742268041237114</v>
      </c>
    </row>
    <row r="2413" spans="1:6">
      <c r="A2413" s="5">
        <v>1920</v>
      </c>
      <c r="B2413" s="5" t="s">
        <v>13</v>
      </c>
      <c r="C2413" s="4">
        <v>244</v>
      </c>
      <c r="D2413" s="101">
        <f t="shared" si="68"/>
        <v>219.66666666666666</v>
      </c>
      <c r="F2413" s="90">
        <f t="shared" si="69"/>
        <v>0.23232323232323232</v>
      </c>
    </row>
    <row r="2414" spans="1:6">
      <c r="A2414" s="5">
        <v>1920</v>
      </c>
      <c r="B2414" s="5" t="s">
        <v>14</v>
      </c>
      <c r="C2414" s="4">
        <v>243</v>
      </c>
      <c r="D2414" s="101">
        <f t="shared" si="68"/>
        <v>223.41666666666666</v>
      </c>
      <c r="F2414" s="90">
        <f t="shared" si="69"/>
        <v>0.22727272727272727</v>
      </c>
    </row>
    <row r="2415" spans="1:6">
      <c r="A2415" s="5">
        <v>1920</v>
      </c>
      <c r="B2415" s="5" t="s">
        <v>15</v>
      </c>
      <c r="C2415" s="4">
        <v>242</v>
      </c>
      <c r="D2415" s="101">
        <f t="shared" si="68"/>
        <v>226.41666666666666</v>
      </c>
      <c r="F2415" s="90">
        <f t="shared" si="69"/>
        <v>0.17475728155339806</v>
      </c>
    </row>
    <row r="2416" spans="1:6">
      <c r="A2416" s="5">
        <v>1920</v>
      </c>
      <c r="B2416" s="5" t="s">
        <v>16</v>
      </c>
      <c r="C2416" s="4">
        <v>236</v>
      </c>
      <c r="D2416" s="101">
        <f t="shared" si="68"/>
        <v>228.5</v>
      </c>
      <c r="F2416" s="90">
        <f t="shared" si="69"/>
        <v>0.11848341232227488</v>
      </c>
    </row>
    <row r="2417" spans="1:6">
      <c r="A2417" s="5">
        <v>1920</v>
      </c>
      <c r="B2417" s="5" t="s">
        <v>17</v>
      </c>
      <c r="C2417" s="4">
        <v>227</v>
      </c>
      <c r="D2417" s="101">
        <f t="shared" ref="D2417:D2480" si="70">AVERAGE(C2406:C2417)</f>
        <v>230.25</v>
      </c>
      <c r="F2417" s="90">
        <f t="shared" si="69"/>
        <v>0.10194174757281553</v>
      </c>
    </row>
    <row r="2418" spans="1:6">
      <c r="A2418" s="5">
        <v>1920</v>
      </c>
      <c r="B2418" s="5" t="s">
        <v>18</v>
      </c>
      <c r="C2418" s="4">
        <v>211</v>
      </c>
      <c r="D2418" s="101">
        <f t="shared" si="70"/>
        <v>230.58333333333334</v>
      </c>
      <c r="F2418" s="90">
        <f t="shared" si="69"/>
        <v>1.932367149758454E-2</v>
      </c>
    </row>
    <row r="2419" spans="1:6">
      <c r="A2419" s="5">
        <v>1920</v>
      </c>
      <c r="B2419" s="5" t="s">
        <v>19</v>
      </c>
      <c r="C2419" s="4">
        <v>195</v>
      </c>
      <c r="D2419" s="101">
        <f t="shared" si="70"/>
        <v>229.25</v>
      </c>
      <c r="F2419" s="90">
        <f t="shared" si="69"/>
        <v>-7.582938388625593E-2</v>
      </c>
    </row>
    <row r="2420" spans="1:6">
      <c r="A2420" s="5">
        <v>1920</v>
      </c>
      <c r="B2420" s="5" t="s">
        <v>20</v>
      </c>
      <c r="C2420" s="4">
        <v>176</v>
      </c>
      <c r="D2420" s="101">
        <f t="shared" si="70"/>
        <v>225.58333333333334</v>
      </c>
      <c r="E2420" s="4">
        <v>226</v>
      </c>
      <c r="F2420" s="90">
        <f t="shared" si="69"/>
        <v>-0.2</v>
      </c>
    </row>
    <row r="2421" spans="1:6">
      <c r="A2421" s="5">
        <v>1921</v>
      </c>
      <c r="B2421" s="5" t="s">
        <v>9</v>
      </c>
      <c r="C2421" s="4">
        <v>167</v>
      </c>
      <c r="D2421" s="101">
        <f t="shared" si="70"/>
        <v>220.33333333333334</v>
      </c>
      <c r="F2421" s="90">
        <f t="shared" si="69"/>
        <v>-0.27391304347826084</v>
      </c>
    </row>
    <row r="2422" spans="1:6">
      <c r="A2422" s="5">
        <v>1921</v>
      </c>
      <c r="B2422" s="5" t="s">
        <v>10</v>
      </c>
      <c r="C2422" s="4">
        <v>153</v>
      </c>
      <c r="D2422" s="101">
        <f t="shared" si="70"/>
        <v>214</v>
      </c>
      <c r="F2422" s="90">
        <f t="shared" si="69"/>
        <v>-0.33187772925764192</v>
      </c>
    </row>
    <row r="2423" spans="1:6">
      <c r="A2423" s="5">
        <v>1921</v>
      </c>
      <c r="B2423" s="5" t="s">
        <v>11</v>
      </c>
      <c r="C2423" s="4">
        <v>150</v>
      </c>
      <c r="D2423" s="101">
        <f t="shared" si="70"/>
        <v>207.16666666666666</v>
      </c>
      <c r="F2423" s="90">
        <f t="shared" si="69"/>
        <v>-0.35344827586206895</v>
      </c>
    </row>
    <row r="2424" spans="1:6">
      <c r="A2424" s="5">
        <v>1921</v>
      </c>
      <c r="B2424" s="5" t="s">
        <v>12</v>
      </c>
      <c r="C2424" s="4">
        <v>144</v>
      </c>
      <c r="D2424" s="101">
        <f t="shared" si="70"/>
        <v>199</v>
      </c>
      <c r="F2424" s="90">
        <f t="shared" si="69"/>
        <v>-0.4049586776859504</v>
      </c>
    </row>
    <row r="2425" spans="1:6">
      <c r="A2425" s="5">
        <v>1921</v>
      </c>
      <c r="B2425" s="5" t="s">
        <v>13</v>
      </c>
      <c r="C2425" s="4">
        <v>141</v>
      </c>
      <c r="D2425" s="101">
        <f t="shared" si="70"/>
        <v>190.41666666666666</v>
      </c>
      <c r="F2425" s="90">
        <f t="shared" si="69"/>
        <v>-0.42213114754098363</v>
      </c>
    </row>
    <row r="2426" spans="1:6">
      <c r="A2426" s="5">
        <v>1921</v>
      </c>
      <c r="B2426" s="5" t="s">
        <v>14</v>
      </c>
      <c r="C2426" s="4">
        <v>136</v>
      </c>
      <c r="D2426" s="101">
        <f t="shared" si="70"/>
        <v>181.5</v>
      </c>
      <c r="F2426" s="90">
        <f t="shared" si="69"/>
        <v>-0.44032921810699588</v>
      </c>
    </row>
    <row r="2427" spans="1:6">
      <c r="A2427" s="5">
        <v>1921</v>
      </c>
      <c r="B2427" s="5" t="s">
        <v>15</v>
      </c>
      <c r="C2427" s="4">
        <v>136</v>
      </c>
      <c r="D2427" s="101">
        <f t="shared" si="70"/>
        <v>172.66666666666666</v>
      </c>
      <c r="F2427" s="90">
        <f t="shared" si="69"/>
        <v>-0.43801652892561982</v>
      </c>
    </row>
    <row r="2428" spans="1:6">
      <c r="A2428" s="5">
        <v>1921</v>
      </c>
      <c r="B2428" s="5" t="s">
        <v>16</v>
      </c>
      <c r="C2428" s="4">
        <v>137</v>
      </c>
      <c r="D2428" s="101">
        <f t="shared" si="70"/>
        <v>164.41666666666666</v>
      </c>
      <c r="F2428" s="90">
        <f t="shared" si="69"/>
        <v>-0.41949152542372881</v>
      </c>
    </row>
    <row r="2429" spans="1:6">
      <c r="A2429" s="5">
        <v>1921</v>
      </c>
      <c r="B2429" s="5" t="s">
        <v>17</v>
      </c>
      <c r="C2429" s="4">
        <v>136</v>
      </c>
      <c r="D2429" s="101">
        <f t="shared" si="70"/>
        <v>156.83333333333334</v>
      </c>
      <c r="F2429" s="90">
        <f t="shared" si="69"/>
        <v>-0.40088105726872247</v>
      </c>
    </row>
    <row r="2430" spans="1:6">
      <c r="A2430" s="5">
        <v>1921</v>
      </c>
      <c r="B2430" s="5" t="s">
        <v>18</v>
      </c>
      <c r="C2430" s="4">
        <v>137</v>
      </c>
      <c r="D2430" s="101">
        <f t="shared" si="70"/>
        <v>150.66666666666666</v>
      </c>
      <c r="F2430" s="90">
        <f t="shared" si="69"/>
        <v>-0.35071090047393366</v>
      </c>
    </row>
    <row r="2431" spans="1:6">
      <c r="A2431" s="5">
        <v>1921</v>
      </c>
      <c r="B2431" s="5" t="s">
        <v>19</v>
      </c>
      <c r="C2431" s="4">
        <v>138</v>
      </c>
      <c r="D2431" s="101">
        <f t="shared" si="70"/>
        <v>145.91666666666666</v>
      </c>
      <c r="F2431" s="90">
        <f t="shared" si="69"/>
        <v>-0.29230769230769232</v>
      </c>
    </row>
    <row r="2432" spans="1:6">
      <c r="A2432" s="5">
        <v>1921</v>
      </c>
      <c r="B2432" s="5" t="s">
        <v>20</v>
      </c>
      <c r="C2432" s="4">
        <v>136</v>
      </c>
      <c r="D2432" s="101">
        <f t="shared" si="70"/>
        <v>142.58333333333334</v>
      </c>
      <c r="E2432" s="4">
        <v>143</v>
      </c>
      <c r="F2432" s="90">
        <f t="shared" si="69"/>
        <v>-0.22727272727272727</v>
      </c>
    </row>
    <row r="2433" spans="1:6">
      <c r="A2433" s="5">
        <v>1922</v>
      </c>
      <c r="B2433" s="5" t="s">
        <v>9</v>
      </c>
      <c r="C2433" s="4">
        <v>134</v>
      </c>
      <c r="D2433" s="101">
        <f t="shared" si="70"/>
        <v>139.83333333333334</v>
      </c>
      <c r="F2433" s="90">
        <f t="shared" si="69"/>
        <v>-0.19760479041916168</v>
      </c>
    </row>
    <row r="2434" spans="1:6">
      <c r="A2434" s="5">
        <v>1922</v>
      </c>
      <c r="B2434" s="5" t="s">
        <v>10</v>
      </c>
      <c r="C2434" s="4">
        <v>136</v>
      </c>
      <c r="D2434" s="101">
        <f t="shared" si="70"/>
        <v>138.41666666666666</v>
      </c>
      <c r="F2434" s="90">
        <f t="shared" si="69"/>
        <v>-0.1111111111111111</v>
      </c>
    </row>
    <row r="2435" spans="1:6">
      <c r="A2435" s="5">
        <v>1922</v>
      </c>
      <c r="B2435" s="5" t="s">
        <v>11</v>
      </c>
      <c r="C2435" s="4">
        <v>136</v>
      </c>
      <c r="D2435" s="101">
        <f t="shared" si="70"/>
        <v>137.25</v>
      </c>
      <c r="F2435" s="90">
        <f t="shared" si="69"/>
        <v>-9.3333333333333338E-2</v>
      </c>
    </row>
    <row r="2436" spans="1:6">
      <c r="A2436" s="5">
        <v>1922</v>
      </c>
      <c r="B2436" s="5" t="s">
        <v>12</v>
      </c>
      <c r="C2436" s="4">
        <v>136</v>
      </c>
      <c r="D2436" s="101">
        <f t="shared" si="70"/>
        <v>136.58333333333334</v>
      </c>
      <c r="F2436" s="90">
        <f t="shared" si="69"/>
        <v>-5.5555555555555552E-2</v>
      </c>
    </row>
    <row r="2437" spans="1:6">
      <c r="A2437" s="5">
        <v>1922</v>
      </c>
      <c r="B2437" s="5" t="s">
        <v>13</v>
      </c>
      <c r="C2437" s="4">
        <v>140</v>
      </c>
      <c r="D2437" s="101">
        <f t="shared" si="70"/>
        <v>136.5</v>
      </c>
      <c r="F2437" s="90">
        <f t="shared" si="69"/>
        <v>-7.0921985815602835E-3</v>
      </c>
    </row>
    <row r="2438" spans="1:6">
      <c r="A2438" s="5">
        <v>1922</v>
      </c>
      <c r="B2438" s="5" t="s">
        <v>14</v>
      </c>
      <c r="C2438" s="4">
        <v>141</v>
      </c>
      <c r="D2438" s="101">
        <f t="shared" si="70"/>
        <v>136.91666666666666</v>
      </c>
      <c r="F2438" s="90">
        <f t="shared" si="69"/>
        <v>3.6764705882352942E-2</v>
      </c>
    </row>
    <row r="2439" spans="1:6">
      <c r="A2439" s="5">
        <v>1922</v>
      </c>
      <c r="B2439" s="5" t="s">
        <v>15</v>
      </c>
      <c r="C2439" s="4">
        <v>145</v>
      </c>
      <c r="D2439" s="101">
        <f t="shared" si="70"/>
        <v>137.66666666666666</v>
      </c>
      <c r="F2439" s="90">
        <f t="shared" si="69"/>
        <v>6.6176470588235295E-2</v>
      </c>
    </row>
    <row r="2440" spans="1:6">
      <c r="A2440" s="5">
        <v>1922</v>
      </c>
      <c r="B2440" s="5" t="s">
        <v>16</v>
      </c>
      <c r="C2440" s="4">
        <v>144</v>
      </c>
      <c r="D2440" s="101">
        <f t="shared" si="70"/>
        <v>138.25</v>
      </c>
      <c r="F2440" s="90">
        <f t="shared" si="69"/>
        <v>5.1094890510948905E-2</v>
      </c>
    </row>
    <row r="2441" spans="1:6">
      <c r="A2441" s="5">
        <v>1922</v>
      </c>
      <c r="B2441" s="5" t="s">
        <v>17</v>
      </c>
      <c r="C2441" s="4">
        <v>145</v>
      </c>
      <c r="D2441" s="101">
        <f t="shared" si="70"/>
        <v>139</v>
      </c>
      <c r="F2441" s="90">
        <f t="shared" si="69"/>
        <v>6.6176470588235295E-2</v>
      </c>
    </row>
    <row r="2442" spans="1:6">
      <c r="A2442" s="5">
        <v>1922</v>
      </c>
      <c r="B2442" s="5" t="s">
        <v>18</v>
      </c>
      <c r="C2442" s="4">
        <v>145</v>
      </c>
      <c r="D2442" s="101">
        <f t="shared" si="70"/>
        <v>139.66666666666666</v>
      </c>
      <c r="F2442" s="90">
        <f t="shared" si="69"/>
        <v>5.8394160583941604E-2</v>
      </c>
    </row>
    <row r="2443" spans="1:6">
      <c r="A2443" s="5">
        <v>1922</v>
      </c>
      <c r="B2443" s="5" t="s">
        <v>19</v>
      </c>
      <c r="C2443" s="4">
        <v>147</v>
      </c>
      <c r="D2443" s="101">
        <f t="shared" si="70"/>
        <v>140.41666666666666</v>
      </c>
      <c r="F2443" s="90">
        <f t="shared" si="69"/>
        <v>6.5217391304347824E-2</v>
      </c>
    </row>
    <row r="2444" spans="1:6">
      <c r="A2444" s="5">
        <v>1922</v>
      </c>
      <c r="B2444" s="5" t="s">
        <v>20</v>
      </c>
      <c r="C2444" s="4">
        <v>147</v>
      </c>
      <c r="D2444" s="101">
        <f t="shared" si="70"/>
        <v>141.33333333333334</v>
      </c>
      <c r="E2444" s="4">
        <v>141</v>
      </c>
      <c r="F2444" s="90">
        <f t="shared" si="69"/>
        <v>8.0882352941176475E-2</v>
      </c>
    </row>
    <row r="2445" spans="1:6">
      <c r="A2445" s="5">
        <v>1923</v>
      </c>
      <c r="B2445" s="5" t="s">
        <v>9</v>
      </c>
      <c r="C2445" s="4">
        <v>149</v>
      </c>
      <c r="D2445" s="101">
        <f t="shared" si="70"/>
        <v>142.58333333333334</v>
      </c>
      <c r="F2445" s="90">
        <f t="shared" si="69"/>
        <v>0.11194029850746269</v>
      </c>
    </row>
    <row r="2446" spans="1:6">
      <c r="A2446" s="5">
        <v>1923</v>
      </c>
      <c r="B2446" s="5" t="s">
        <v>10</v>
      </c>
      <c r="C2446" s="4">
        <v>151</v>
      </c>
      <c r="D2446" s="101">
        <f t="shared" si="70"/>
        <v>143.83333333333334</v>
      </c>
      <c r="F2446" s="90">
        <f t="shared" si="69"/>
        <v>0.11029411764705882</v>
      </c>
    </row>
    <row r="2447" spans="1:6">
      <c r="A2447" s="5">
        <v>1923</v>
      </c>
      <c r="B2447" s="5" t="s">
        <v>11</v>
      </c>
      <c r="C2447" s="4">
        <v>153</v>
      </c>
      <c r="D2447" s="101">
        <f t="shared" si="70"/>
        <v>145.25</v>
      </c>
      <c r="F2447" s="90">
        <f t="shared" si="69"/>
        <v>0.125</v>
      </c>
    </row>
    <row r="2448" spans="1:6">
      <c r="A2448" s="5">
        <v>1923</v>
      </c>
      <c r="B2448" s="5" t="s">
        <v>12</v>
      </c>
      <c r="C2448" s="4">
        <v>152</v>
      </c>
      <c r="D2448" s="101">
        <f t="shared" si="70"/>
        <v>146.58333333333334</v>
      </c>
      <c r="F2448" s="90">
        <f t="shared" si="69"/>
        <v>0.11764705882352941</v>
      </c>
    </row>
    <row r="2449" spans="1:6">
      <c r="A2449" s="5">
        <v>1923</v>
      </c>
      <c r="B2449" s="5" t="s">
        <v>13</v>
      </c>
      <c r="C2449" s="4">
        <v>149</v>
      </c>
      <c r="D2449" s="101">
        <f t="shared" si="70"/>
        <v>147.33333333333334</v>
      </c>
      <c r="F2449" s="90">
        <f t="shared" si="69"/>
        <v>6.4285714285714279E-2</v>
      </c>
    </row>
    <row r="2450" spans="1:6">
      <c r="A2450" s="5">
        <v>1923</v>
      </c>
      <c r="B2450" s="5" t="s">
        <v>14</v>
      </c>
      <c r="C2450" s="4">
        <v>147</v>
      </c>
      <c r="D2450" s="101">
        <f t="shared" si="70"/>
        <v>147.83333333333334</v>
      </c>
      <c r="F2450" s="90">
        <f t="shared" si="69"/>
        <v>4.2553191489361701E-2</v>
      </c>
    </row>
    <row r="2451" spans="1:6">
      <c r="A2451" s="5">
        <v>1923</v>
      </c>
      <c r="B2451" s="5" t="s">
        <v>15</v>
      </c>
      <c r="C2451" s="4">
        <v>144</v>
      </c>
      <c r="D2451" s="101">
        <f t="shared" si="70"/>
        <v>147.75</v>
      </c>
      <c r="F2451" s="90">
        <f t="shared" si="69"/>
        <v>-6.8965517241379309E-3</v>
      </c>
    </row>
    <row r="2452" spans="1:6">
      <c r="A2452" s="5">
        <v>1923</v>
      </c>
      <c r="B2452" s="5" t="s">
        <v>16</v>
      </c>
      <c r="C2452" s="4">
        <v>143</v>
      </c>
      <c r="D2452" s="101">
        <f t="shared" si="70"/>
        <v>147.66666666666666</v>
      </c>
      <c r="F2452" s="90">
        <f t="shared" si="69"/>
        <v>-6.9444444444444441E-3</v>
      </c>
    </row>
    <row r="2453" spans="1:6">
      <c r="A2453" s="5">
        <v>1923</v>
      </c>
      <c r="B2453" s="5" t="s">
        <v>17</v>
      </c>
      <c r="C2453" s="4">
        <v>146</v>
      </c>
      <c r="D2453" s="101">
        <f t="shared" si="70"/>
        <v>147.75</v>
      </c>
      <c r="F2453" s="90">
        <f t="shared" ref="F2453:F2516" si="71">(C2453-C2441)/C2441</f>
        <v>6.8965517241379309E-3</v>
      </c>
    </row>
    <row r="2454" spans="1:6">
      <c r="A2454" s="5">
        <v>1923</v>
      </c>
      <c r="B2454" s="5" t="s">
        <v>18</v>
      </c>
      <c r="C2454" s="4">
        <v>145</v>
      </c>
      <c r="D2454" s="101">
        <f t="shared" si="70"/>
        <v>147.75</v>
      </c>
      <c r="F2454" s="90">
        <f t="shared" si="71"/>
        <v>0</v>
      </c>
    </row>
    <row r="2455" spans="1:6">
      <c r="A2455" s="5">
        <v>1923</v>
      </c>
      <c r="B2455" s="5" t="s">
        <v>19</v>
      </c>
      <c r="C2455" s="4">
        <v>144</v>
      </c>
      <c r="D2455" s="101">
        <f t="shared" si="70"/>
        <v>147.5</v>
      </c>
      <c r="F2455" s="90">
        <f t="shared" si="71"/>
        <v>-2.0408163265306121E-2</v>
      </c>
    </row>
    <row r="2456" spans="1:6">
      <c r="A2456" s="5">
        <v>1923</v>
      </c>
      <c r="B2456" s="5" t="s">
        <v>20</v>
      </c>
      <c r="C2456" s="4">
        <v>143</v>
      </c>
      <c r="D2456" s="101">
        <f t="shared" si="70"/>
        <v>147.16666666666666</v>
      </c>
      <c r="E2456" s="4">
        <v>147</v>
      </c>
      <c r="F2456" s="90">
        <f t="shared" si="71"/>
        <v>-2.7210884353741496E-2</v>
      </c>
    </row>
    <row r="2457" spans="1:6">
      <c r="A2457" s="5">
        <v>1924</v>
      </c>
      <c r="B2457" s="5" t="s">
        <v>9</v>
      </c>
      <c r="C2457" s="4">
        <v>145</v>
      </c>
      <c r="D2457" s="101">
        <f t="shared" si="70"/>
        <v>146.83333333333334</v>
      </c>
      <c r="F2457" s="90">
        <f t="shared" si="71"/>
        <v>-2.6845637583892617E-2</v>
      </c>
    </row>
    <row r="2458" spans="1:6">
      <c r="A2458" s="5">
        <v>1924</v>
      </c>
      <c r="B2458" s="5" t="s">
        <v>10</v>
      </c>
      <c r="C2458" s="4">
        <v>146</v>
      </c>
      <c r="D2458" s="101">
        <f t="shared" si="70"/>
        <v>146.41666666666666</v>
      </c>
      <c r="F2458" s="90">
        <f t="shared" si="71"/>
        <v>-3.3112582781456956E-2</v>
      </c>
    </row>
    <row r="2459" spans="1:6">
      <c r="A2459" s="5">
        <v>1924</v>
      </c>
      <c r="B2459" s="5" t="s">
        <v>11</v>
      </c>
      <c r="C2459" s="4">
        <v>144</v>
      </c>
      <c r="D2459" s="101">
        <f t="shared" si="70"/>
        <v>145.66666666666666</v>
      </c>
      <c r="F2459" s="90">
        <f t="shared" si="71"/>
        <v>-5.8823529411764705E-2</v>
      </c>
    </row>
    <row r="2460" spans="1:6">
      <c r="A2460" s="5">
        <v>1924</v>
      </c>
      <c r="B2460" s="5" t="s">
        <v>12</v>
      </c>
      <c r="C2460" s="4">
        <v>142</v>
      </c>
      <c r="D2460" s="101">
        <f t="shared" si="70"/>
        <v>144.83333333333334</v>
      </c>
      <c r="F2460" s="90">
        <f t="shared" si="71"/>
        <v>-6.5789473684210523E-2</v>
      </c>
    </row>
    <row r="2461" spans="1:6">
      <c r="A2461" s="5">
        <v>1924</v>
      </c>
      <c r="B2461" s="5" t="s">
        <v>13</v>
      </c>
      <c r="C2461" s="4">
        <v>140</v>
      </c>
      <c r="D2461" s="101">
        <f t="shared" si="70"/>
        <v>144.08333333333334</v>
      </c>
      <c r="F2461" s="90">
        <f t="shared" si="71"/>
        <v>-6.0402684563758392E-2</v>
      </c>
    </row>
    <row r="2462" spans="1:6">
      <c r="A2462" s="5">
        <v>1924</v>
      </c>
      <c r="B2462" s="5" t="s">
        <v>14</v>
      </c>
      <c r="C2462" s="4">
        <v>139</v>
      </c>
      <c r="D2462" s="101">
        <f t="shared" si="70"/>
        <v>143.41666666666666</v>
      </c>
      <c r="F2462" s="90">
        <f t="shared" si="71"/>
        <v>-5.4421768707482991E-2</v>
      </c>
    </row>
    <row r="2463" spans="1:6">
      <c r="A2463" s="5">
        <v>1924</v>
      </c>
      <c r="B2463" s="5" t="s">
        <v>15</v>
      </c>
      <c r="C2463" s="4">
        <v>140</v>
      </c>
      <c r="D2463" s="101">
        <f t="shared" si="70"/>
        <v>143.08333333333334</v>
      </c>
      <c r="F2463" s="90">
        <f t="shared" si="71"/>
        <v>-2.7777777777777776E-2</v>
      </c>
    </row>
    <row r="2464" spans="1:6">
      <c r="A2464" s="5">
        <v>1924</v>
      </c>
      <c r="B2464" s="5" t="s">
        <v>16</v>
      </c>
      <c r="C2464" s="4">
        <v>142</v>
      </c>
      <c r="D2464" s="101">
        <f t="shared" si="70"/>
        <v>143</v>
      </c>
      <c r="F2464" s="90">
        <f t="shared" si="71"/>
        <v>-6.993006993006993E-3</v>
      </c>
    </row>
    <row r="2465" spans="1:6">
      <c r="A2465" s="5">
        <v>1924</v>
      </c>
      <c r="B2465" s="5" t="s">
        <v>17</v>
      </c>
      <c r="C2465" s="4">
        <v>142</v>
      </c>
      <c r="D2465" s="101">
        <f t="shared" si="70"/>
        <v>142.66666666666666</v>
      </c>
      <c r="F2465" s="90">
        <f t="shared" si="71"/>
        <v>-2.7397260273972601E-2</v>
      </c>
    </row>
    <row r="2466" spans="1:6">
      <c r="A2466" s="5">
        <v>1924</v>
      </c>
      <c r="B2466" s="5" t="s">
        <v>18</v>
      </c>
      <c r="C2466" s="4">
        <v>143</v>
      </c>
      <c r="D2466" s="101">
        <f t="shared" si="70"/>
        <v>142.5</v>
      </c>
      <c r="F2466" s="90">
        <f t="shared" si="71"/>
        <v>-1.3793103448275862E-2</v>
      </c>
    </row>
    <row r="2467" spans="1:6">
      <c r="A2467" s="5">
        <v>1924</v>
      </c>
      <c r="B2467" s="5" t="s">
        <v>19</v>
      </c>
      <c r="C2467" s="4">
        <v>145</v>
      </c>
      <c r="D2467" s="101">
        <f t="shared" si="70"/>
        <v>142.58333333333334</v>
      </c>
      <c r="F2467" s="90">
        <f t="shared" si="71"/>
        <v>6.9444444444444441E-3</v>
      </c>
    </row>
    <row r="2468" spans="1:6">
      <c r="A2468" s="5">
        <v>1924</v>
      </c>
      <c r="B2468" s="5" t="s">
        <v>20</v>
      </c>
      <c r="C2468" s="4">
        <v>148</v>
      </c>
      <c r="D2468" s="101">
        <f t="shared" si="70"/>
        <v>143</v>
      </c>
      <c r="E2468" s="4">
        <v>143</v>
      </c>
      <c r="F2468" s="90">
        <f t="shared" si="71"/>
        <v>3.4965034965034968E-2</v>
      </c>
    </row>
    <row r="2469" spans="1:6">
      <c r="A2469" s="5">
        <v>1925</v>
      </c>
      <c r="B2469" s="5" t="s">
        <v>9</v>
      </c>
      <c r="C2469" s="4">
        <v>150</v>
      </c>
      <c r="D2469" s="101">
        <f t="shared" si="70"/>
        <v>143.41666666666666</v>
      </c>
      <c r="F2469" s="90">
        <f t="shared" si="71"/>
        <v>3.4482758620689655E-2</v>
      </c>
    </row>
    <row r="2470" spans="1:6">
      <c r="A2470" s="5">
        <v>1925</v>
      </c>
      <c r="B2470" s="5" t="s">
        <v>10</v>
      </c>
      <c r="C2470" s="4">
        <v>152</v>
      </c>
      <c r="D2470" s="101">
        <f t="shared" si="70"/>
        <v>143.91666666666666</v>
      </c>
      <c r="F2470" s="90">
        <f t="shared" si="71"/>
        <v>4.1095890410958902E-2</v>
      </c>
    </row>
    <row r="2471" spans="1:6">
      <c r="A2471" s="5">
        <v>1925</v>
      </c>
      <c r="B2471" s="5" t="s">
        <v>11</v>
      </c>
      <c r="C2471" s="4">
        <v>152</v>
      </c>
      <c r="D2471" s="101">
        <f t="shared" si="70"/>
        <v>144.58333333333334</v>
      </c>
      <c r="F2471" s="90">
        <f t="shared" si="71"/>
        <v>5.5555555555555552E-2</v>
      </c>
    </row>
    <row r="2472" spans="1:6">
      <c r="A2472" s="5">
        <v>1925</v>
      </c>
      <c r="B2472" s="5" t="s">
        <v>12</v>
      </c>
      <c r="C2472" s="4">
        <v>149</v>
      </c>
      <c r="D2472" s="101">
        <f t="shared" si="70"/>
        <v>145.16666666666666</v>
      </c>
      <c r="F2472" s="90">
        <f t="shared" si="71"/>
        <v>4.9295774647887321E-2</v>
      </c>
    </row>
    <row r="2473" spans="1:6">
      <c r="A2473" s="5">
        <v>1925</v>
      </c>
      <c r="B2473" s="5" t="s">
        <v>13</v>
      </c>
      <c r="C2473" s="4">
        <v>148</v>
      </c>
      <c r="D2473" s="101">
        <f t="shared" si="70"/>
        <v>145.83333333333334</v>
      </c>
      <c r="F2473" s="90">
        <f t="shared" si="71"/>
        <v>5.7142857142857141E-2</v>
      </c>
    </row>
    <row r="2474" spans="1:6">
      <c r="A2474" s="5">
        <v>1925</v>
      </c>
      <c r="B2474" s="5" t="s">
        <v>14</v>
      </c>
      <c r="C2474" s="4">
        <v>150</v>
      </c>
      <c r="D2474" s="101">
        <f t="shared" si="70"/>
        <v>146.75</v>
      </c>
      <c r="F2474" s="90">
        <f t="shared" si="71"/>
        <v>7.9136690647482008E-2</v>
      </c>
    </row>
    <row r="2475" spans="1:6">
      <c r="A2475" s="5">
        <v>1925</v>
      </c>
      <c r="B2475" s="5" t="s">
        <v>15</v>
      </c>
      <c r="C2475" s="4">
        <v>152</v>
      </c>
      <c r="D2475" s="101">
        <f t="shared" si="70"/>
        <v>147.75</v>
      </c>
      <c r="F2475" s="90">
        <f t="shared" si="71"/>
        <v>8.5714285714285715E-2</v>
      </c>
    </row>
    <row r="2476" spans="1:6">
      <c r="A2476" s="5">
        <v>1925</v>
      </c>
      <c r="B2476" s="5" t="s">
        <v>16</v>
      </c>
      <c r="C2476" s="4">
        <v>152</v>
      </c>
      <c r="D2476" s="101">
        <f t="shared" si="70"/>
        <v>148.58333333333334</v>
      </c>
      <c r="F2476" s="90">
        <f t="shared" si="71"/>
        <v>7.0422535211267609E-2</v>
      </c>
    </row>
    <row r="2477" spans="1:6">
      <c r="A2477" s="5">
        <v>1925</v>
      </c>
      <c r="B2477" s="5" t="s">
        <v>17</v>
      </c>
      <c r="C2477" s="4">
        <v>151</v>
      </c>
      <c r="D2477" s="101">
        <f t="shared" si="70"/>
        <v>149.33333333333334</v>
      </c>
      <c r="F2477" s="90">
        <f t="shared" si="71"/>
        <v>6.3380281690140844E-2</v>
      </c>
    </row>
    <row r="2478" spans="1:6">
      <c r="A2478" s="5">
        <v>1925</v>
      </c>
      <c r="B2478" s="5" t="s">
        <v>18</v>
      </c>
      <c r="C2478" s="4">
        <v>151</v>
      </c>
      <c r="D2478" s="101">
        <f t="shared" si="70"/>
        <v>150</v>
      </c>
      <c r="F2478" s="90">
        <f t="shared" si="71"/>
        <v>5.5944055944055944E-2</v>
      </c>
    </row>
    <row r="2479" spans="1:6">
      <c r="A2479" s="5">
        <v>1925</v>
      </c>
      <c r="B2479" s="5" t="s">
        <v>19</v>
      </c>
      <c r="C2479" s="4">
        <v>153</v>
      </c>
      <c r="D2479" s="101">
        <f t="shared" si="70"/>
        <v>150.66666666666666</v>
      </c>
      <c r="F2479" s="90">
        <f t="shared" si="71"/>
        <v>5.5172413793103448E-2</v>
      </c>
    </row>
    <row r="2480" spans="1:6">
      <c r="A2480" s="5">
        <v>1925</v>
      </c>
      <c r="B2480" s="5" t="s">
        <v>20</v>
      </c>
      <c r="C2480" s="4">
        <v>151</v>
      </c>
      <c r="D2480" s="101">
        <f t="shared" si="70"/>
        <v>150.91666666666666</v>
      </c>
      <c r="E2480" s="4">
        <v>151</v>
      </c>
      <c r="F2480" s="90">
        <f t="shared" si="71"/>
        <v>2.0270270270270271E-2</v>
      </c>
    </row>
    <row r="2481" spans="1:6">
      <c r="A2481" s="5">
        <v>1926</v>
      </c>
      <c r="B2481" s="5" t="s">
        <v>9</v>
      </c>
      <c r="C2481" s="4">
        <v>151</v>
      </c>
      <c r="D2481" s="101">
        <f t="shared" ref="D2481:D2544" si="72">AVERAGE(C2470:C2481)</f>
        <v>151</v>
      </c>
      <c r="F2481" s="90">
        <f t="shared" si="71"/>
        <v>6.6666666666666671E-3</v>
      </c>
    </row>
    <row r="2482" spans="1:6">
      <c r="A2482" s="5">
        <v>1926</v>
      </c>
      <c r="B2482" s="5" t="s">
        <v>10</v>
      </c>
      <c r="C2482" s="4">
        <v>149</v>
      </c>
      <c r="D2482" s="101">
        <f t="shared" si="72"/>
        <v>150.75</v>
      </c>
      <c r="F2482" s="90">
        <f t="shared" si="71"/>
        <v>-1.9736842105263157E-2</v>
      </c>
    </row>
    <row r="2483" spans="1:6">
      <c r="A2483" s="5">
        <v>1926</v>
      </c>
      <c r="B2483" s="5" t="s">
        <v>11</v>
      </c>
      <c r="C2483" s="4">
        <v>147</v>
      </c>
      <c r="D2483" s="101">
        <f t="shared" si="72"/>
        <v>150.33333333333334</v>
      </c>
      <c r="F2483" s="90">
        <f t="shared" si="71"/>
        <v>-3.2894736842105261E-2</v>
      </c>
    </row>
    <row r="2484" spans="1:6">
      <c r="A2484" s="5">
        <v>1926</v>
      </c>
      <c r="B2484" s="5" t="s">
        <v>12</v>
      </c>
      <c r="C2484" s="4">
        <v>147</v>
      </c>
      <c r="D2484" s="101">
        <f t="shared" si="72"/>
        <v>150.16666666666666</v>
      </c>
      <c r="F2484" s="90">
        <f t="shared" si="71"/>
        <v>-1.3422818791946308E-2</v>
      </c>
    </row>
    <row r="2485" spans="1:6">
      <c r="A2485" s="5">
        <v>1926</v>
      </c>
      <c r="B2485" s="5" t="s">
        <v>13</v>
      </c>
      <c r="C2485" s="4">
        <v>147</v>
      </c>
      <c r="D2485" s="101">
        <f t="shared" si="72"/>
        <v>150.08333333333334</v>
      </c>
      <c r="F2485" s="90">
        <f t="shared" si="71"/>
        <v>-6.7567567567567571E-3</v>
      </c>
    </row>
    <row r="2486" spans="1:6">
      <c r="A2486" s="5">
        <v>1926</v>
      </c>
      <c r="B2486" s="5" t="s">
        <v>14</v>
      </c>
      <c r="C2486" s="4">
        <v>147</v>
      </c>
      <c r="D2486" s="101">
        <f t="shared" si="72"/>
        <v>149.83333333333334</v>
      </c>
      <c r="F2486" s="90">
        <f t="shared" si="71"/>
        <v>-0.02</v>
      </c>
    </row>
    <row r="2487" spans="1:6">
      <c r="A2487" s="5">
        <v>1926</v>
      </c>
      <c r="B2487" s="5" t="s">
        <v>15</v>
      </c>
      <c r="C2487" s="4">
        <v>145</v>
      </c>
      <c r="D2487" s="101">
        <f t="shared" si="72"/>
        <v>149.25</v>
      </c>
      <c r="F2487" s="90">
        <f t="shared" si="71"/>
        <v>-4.6052631578947366E-2</v>
      </c>
    </row>
    <row r="2488" spans="1:6">
      <c r="A2488" s="5">
        <v>1926</v>
      </c>
      <c r="B2488" s="5" t="s">
        <v>16</v>
      </c>
      <c r="C2488" s="4">
        <v>145</v>
      </c>
      <c r="D2488" s="101">
        <f t="shared" si="72"/>
        <v>148.66666666666666</v>
      </c>
      <c r="F2488" s="90">
        <f t="shared" si="71"/>
        <v>-4.6052631578947366E-2</v>
      </c>
    </row>
    <row r="2489" spans="1:6">
      <c r="A2489" s="5">
        <v>1926</v>
      </c>
      <c r="B2489" s="5" t="s">
        <v>17</v>
      </c>
      <c r="C2489" s="4">
        <v>146</v>
      </c>
      <c r="D2489" s="101">
        <f t="shared" si="72"/>
        <v>148.25</v>
      </c>
      <c r="F2489" s="90">
        <f t="shared" si="71"/>
        <v>-3.3112582781456956E-2</v>
      </c>
    </row>
    <row r="2490" spans="1:6">
      <c r="A2490" s="5">
        <v>1926</v>
      </c>
      <c r="B2490" s="5" t="s">
        <v>18</v>
      </c>
      <c r="C2490" s="4">
        <v>145</v>
      </c>
      <c r="D2490" s="101">
        <f t="shared" si="72"/>
        <v>147.75</v>
      </c>
      <c r="F2490" s="90">
        <f t="shared" si="71"/>
        <v>-3.9735099337748346E-2</v>
      </c>
    </row>
    <row r="2491" spans="1:6">
      <c r="A2491" s="5">
        <v>1926</v>
      </c>
      <c r="B2491" s="5" t="s">
        <v>19</v>
      </c>
      <c r="C2491" s="4">
        <v>144</v>
      </c>
      <c r="D2491" s="101">
        <f t="shared" si="72"/>
        <v>147</v>
      </c>
      <c r="F2491" s="90">
        <f t="shared" si="71"/>
        <v>-5.8823529411764705E-2</v>
      </c>
    </row>
    <row r="2492" spans="1:6">
      <c r="A2492" s="5">
        <v>1926</v>
      </c>
      <c r="B2492" s="5" t="s">
        <v>20</v>
      </c>
      <c r="C2492" s="4">
        <v>143</v>
      </c>
      <c r="D2492" s="101">
        <f t="shared" si="72"/>
        <v>146.33333333333334</v>
      </c>
      <c r="E2492" s="4">
        <v>146</v>
      </c>
      <c r="F2492" s="90">
        <f t="shared" si="71"/>
        <v>-5.2980132450331126E-2</v>
      </c>
    </row>
    <row r="2493" spans="1:6">
      <c r="A2493" s="5">
        <v>1927</v>
      </c>
      <c r="B2493" s="5" t="s">
        <v>9</v>
      </c>
      <c r="C2493" s="4">
        <v>141</v>
      </c>
      <c r="D2493" s="101">
        <f t="shared" si="72"/>
        <v>145.5</v>
      </c>
      <c r="F2493" s="90">
        <f t="shared" si="71"/>
        <v>-6.6225165562913912E-2</v>
      </c>
    </row>
    <row r="2494" spans="1:6">
      <c r="A2494" s="5">
        <v>1927</v>
      </c>
      <c r="B2494" s="5" t="s">
        <v>10</v>
      </c>
      <c r="C2494" s="4">
        <v>140</v>
      </c>
      <c r="D2494" s="101">
        <f t="shared" si="72"/>
        <v>144.75</v>
      </c>
      <c r="F2494" s="90">
        <f t="shared" si="71"/>
        <v>-6.0402684563758392E-2</v>
      </c>
    </row>
    <row r="2495" spans="1:6">
      <c r="A2495" s="5">
        <v>1927</v>
      </c>
      <c r="B2495" s="5" t="s">
        <v>11</v>
      </c>
      <c r="C2495" s="4">
        <v>138</v>
      </c>
      <c r="D2495" s="101">
        <f t="shared" si="72"/>
        <v>144</v>
      </c>
      <c r="F2495" s="90">
        <f t="shared" si="71"/>
        <v>-6.1224489795918366E-2</v>
      </c>
    </row>
    <row r="2496" spans="1:6">
      <c r="A2496" s="5">
        <v>1927</v>
      </c>
      <c r="B2496" s="5" t="s">
        <v>12</v>
      </c>
      <c r="C2496" s="4">
        <v>137</v>
      </c>
      <c r="D2496" s="101">
        <f t="shared" si="72"/>
        <v>143.16666666666666</v>
      </c>
      <c r="F2496" s="90">
        <f t="shared" si="71"/>
        <v>-6.8027210884353748E-2</v>
      </c>
    </row>
    <row r="2497" spans="1:6">
      <c r="A2497" s="5">
        <v>1927</v>
      </c>
      <c r="B2497" s="5" t="s">
        <v>13</v>
      </c>
      <c r="C2497" s="4">
        <v>138</v>
      </c>
      <c r="D2497" s="101">
        <f t="shared" si="72"/>
        <v>142.41666666666666</v>
      </c>
      <c r="F2497" s="90">
        <f t="shared" si="71"/>
        <v>-6.1224489795918366E-2</v>
      </c>
    </row>
    <row r="2498" spans="1:6">
      <c r="A2498" s="5">
        <v>1927</v>
      </c>
      <c r="B2498" s="5" t="s">
        <v>14</v>
      </c>
      <c r="C2498" s="4">
        <v>137</v>
      </c>
      <c r="D2498" s="101">
        <f t="shared" si="72"/>
        <v>141.58333333333334</v>
      </c>
      <c r="F2498" s="90">
        <f t="shared" si="71"/>
        <v>-6.8027210884353748E-2</v>
      </c>
    </row>
    <row r="2499" spans="1:6">
      <c r="A2499" s="5">
        <v>1927</v>
      </c>
      <c r="B2499" s="5" t="s">
        <v>15</v>
      </c>
      <c r="C2499" s="4">
        <v>138</v>
      </c>
      <c r="D2499" s="101">
        <f t="shared" si="72"/>
        <v>141</v>
      </c>
      <c r="F2499" s="90">
        <f t="shared" si="71"/>
        <v>-4.8275862068965517E-2</v>
      </c>
    </row>
    <row r="2500" spans="1:6">
      <c r="A2500" s="5">
        <v>1927</v>
      </c>
      <c r="B2500" s="5" t="s">
        <v>16</v>
      </c>
      <c r="C2500" s="4">
        <v>139</v>
      </c>
      <c r="D2500" s="101">
        <f t="shared" si="72"/>
        <v>140.5</v>
      </c>
      <c r="F2500" s="90">
        <f t="shared" si="71"/>
        <v>-4.1379310344827586E-2</v>
      </c>
    </row>
    <row r="2501" spans="1:6">
      <c r="A2501" s="5">
        <v>1927</v>
      </c>
      <c r="B2501" s="5" t="s">
        <v>17</v>
      </c>
      <c r="C2501" s="4">
        <v>141</v>
      </c>
      <c r="D2501" s="101">
        <f t="shared" si="72"/>
        <v>140.08333333333334</v>
      </c>
      <c r="F2501" s="90">
        <f t="shared" si="71"/>
        <v>-3.4246575342465752E-2</v>
      </c>
    </row>
    <row r="2502" spans="1:6">
      <c r="A2502" s="5">
        <v>1927</v>
      </c>
      <c r="B2502" s="5" t="s">
        <v>18</v>
      </c>
      <c r="C2502" s="4">
        <v>141</v>
      </c>
      <c r="D2502" s="101">
        <f t="shared" si="72"/>
        <v>139.75</v>
      </c>
      <c r="F2502" s="90">
        <f t="shared" si="71"/>
        <v>-2.7586206896551724E-2</v>
      </c>
    </row>
    <row r="2503" spans="1:6">
      <c r="A2503" s="5">
        <v>1927</v>
      </c>
      <c r="B2503" s="5" t="s">
        <v>19</v>
      </c>
      <c r="C2503" s="4">
        <v>141</v>
      </c>
      <c r="D2503" s="101">
        <f t="shared" si="72"/>
        <v>139.5</v>
      </c>
      <c r="F2503" s="90">
        <f t="shared" si="71"/>
        <v>-2.0833333333333332E-2</v>
      </c>
    </row>
    <row r="2504" spans="1:6">
      <c r="A2504" s="5">
        <v>1927</v>
      </c>
      <c r="B2504" s="5" t="s">
        <v>20</v>
      </c>
      <c r="C2504" s="4">
        <v>141</v>
      </c>
      <c r="D2504" s="101">
        <f t="shared" si="72"/>
        <v>139.33333333333334</v>
      </c>
      <c r="E2504" s="4">
        <v>139</v>
      </c>
      <c r="F2504" s="90">
        <f t="shared" si="71"/>
        <v>-1.3986013986013986E-2</v>
      </c>
    </row>
    <row r="2505" spans="1:6">
      <c r="A2505" s="5">
        <v>1928</v>
      </c>
      <c r="B2505" s="5" t="s">
        <v>9</v>
      </c>
      <c r="C2505" s="4">
        <v>141</v>
      </c>
      <c r="D2505" s="101">
        <f t="shared" si="72"/>
        <v>139.33333333333334</v>
      </c>
      <c r="F2505" s="90">
        <f t="shared" si="71"/>
        <v>0</v>
      </c>
    </row>
    <row r="2506" spans="1:6">
      <c r="A2506" s="5">
        <v>1928</v>
      </c>
      <c r="B2506" s="5" t="s">
        <v>10</v>
      </c>
      <c r="C2506" s="4">
        <v>140</v>
      </c>
      <c r="D2506" s="101">
        <f t="shared" si="72"/>
        <v>139.33333333333334</v>
      </c>
      <c r="F2506" s="90">
        <f t="shared" si="71"/>
        <v>0</v>
      </c>
    </row>
    <row r="2507" spans="1:6">
      <c r="A2507" s="5">
        <v>1928</v>
      </c>
      <c r="B2507" s="5" t="s">
        <v>11</v>
      </c>
      <c r="C2507" s="4">
        <v>139</v>
      </c>
      <c r="D2507" s="101">
        <f t="shared" si="72"/>
        <v>139.41666666666666</v>
      </c>
      <c r="F2507" s="90">
        <f t="shared" si="71"/>
        <v>7.246376811594203E-3</v>
      </c>
    </row>
    <row r="2508" spans="1:6">
      <c r="A2508" s="5">
        <v>1928</v>
      </c>
      <c r="B2508" s="5" t="s">
        <v>12</v>
      </c>
      <c r="C2508" s="4">
        <v>141</v>
      </c>
      <c r="D2508" s="101">
        <f t="shared" si="72"/>
        <v>139.75</v>
      </c>
      <c r="F2508" s="90">
        <f t="shared" si="71"/>
        <v>2.9197080291970802E-2</v>
      </c>
    </row>
    <row r="2509" spans="1:6">
      <c r="A2509" s="5">
        <v>1928</v>
      </c>
      <c r="B2509" s="5" t="s">
        <v>13</v>
      </c>
      <c r="C2509" s="4">
        <v>142</v>
      </c>
      <c r="D2509" s="101">
        <f t="shared" si="72"/>
        <v>140.08333333333334</v>
      </c>
      <c r="F2509" s="90">
        <f t="shared" si="71"/>
        <v>2.8985507246376812E-2</v>
      </c>
    </row>
    <row r="2510" spans="1:6">
      <c r="A2510" s="5">
        <v>1928</v>
      </c>
      <c r="B2510" s="5" t="s">
        <v>14</v>
      </c>
      <c r="C2510" s="4">
        <v>141</v>
      </c>
      <c r="D2510" s="101">
        <f t="shared" si="72"/>
        <v>140.41666666666666</v>
      </c>
      <c r="F2510" s="90">
        <f t="shared" si="71"/>
        <v>2.9197080291970802E-2</v>
      </c>
    </row>
    <row r="2511" spans="1:6">
      <c r="A2511" s="5">
        <v>1928</v>
      </c>
      <c r="B2511" s="5" t="s">
        <v>15</v>
      </c>
      <c r="C2511" s="4">
        <v>142</v>
      </c>
      <c r="D2511" s="101">
        <f t="shared" si="72"/>
        <v>140.75</v>
      </c>
      <c r="F2511" s="90">
        <f t="shared" si="71"/>
        <v>2.8985507246376812E-2</v>
      </c>
    </row>
    <row r="2512" spans="1:6">
      <c r="A2512" s="5">
        <v>1928</v>
      </c>
      <c r="B2512" s="5" t="s">
        <v>16</v>
      </c>
      <c r="C2512" s="4">
        <v>143</v>
      </c>
      <c r="D2512" s="101">
        <f t="shared" si="72"/>
        <v>141.08333333333334</v>
      </c>
      <c r="F2512" s="90">
        <f t="shared" si="71"/>
        <v>2.8776978417266189E-2</v>
      </c>
    </row>
    <row r="2513" spans="1:6">
      <c r="A2513" s="5">
        <v>1928</v>
      </c>
      <c r="B2513" s="5" t="s">
        <v>17</v>
      </c>
      <c r="C2513" s="4">
        <v>144</v>
      </c>
      <c r="D2513" s="101">
        <f t="shared" si="72"/>
        <v>141.33333333333334</v>
      </c>
      <c r="F2513" s="90">
        <f t="shared" si="71"/>
        <v>2.1276595744680851E-2</v>
      </c>
    </row>
    <row r="2514" spans="1:6">
      <c r="A2514" s="5">
        <v>1928</v>
      </c>
      <c r="B2514" s="5" t="s">
        <v>18</v>
      </c>
      <c r="C2514" s="4">
        <v>141</v>
      </c>
      <c r="D2514" s="101">
        <f t="shared" si="72"/>
        <v>141.33333333333334</v>
      </c>
      <c r="F2514" s="90">
        <f t="shared" si="71"/>
        <v>0</v>
      </c>
    </row>
    <row r="2515" spans="1:6">
      <c r="A2515" s="5">
        <v>1928</v>
      </c>
      <c r="B2515" s="5" t="s">
        <v>19</v>
      </c>
      <c r="C2515" s="4">
        <v>140</v>
      </c>
      <c r="D2515" s="101">
        <f t="shared" si="72"/>
        <v>141.25</v>
      </c>
      <c r="F2515" s="90">
        <f t="shared" si="71"/>
        <v>-7.0921985815602835E-3</v>
      </c>
    </row>
    <row r="2516" spans="1:6">
      <c r="A2516" s="5">
        <v>1928</v>
      </c>
      <c r="B2516" s="5" t="s">
        <v>20</v>
      </c>
      <c r="C2516" s="4">
        <v>140</v>
      </c>
      <c r="D2516" s="101">
        <f t="shared" si="72"/>
        <v>141.16666666666666</v>
      </c>
      <c r="E2516" s="4">
        <v>141</v>
      </c>
      <c r="F2516" s="90">
        <f t="shared" si="71"/>
        <v>-7.0921985815602835E-3</v>
      </c>
    </row>
    <row r="2517" spans="1:6">
      <c r="A2517" s="5">
        <v>1929</v>
      </c>
      <c r="B2517" s="5" t="s">
        <v>9</v>
      </c>
      <c r="C2517" s="4">
        <v>140</v>
      </c>
      <c r="D2517" s="101">
        <f t="shared" si="72"/>
        <v>141.08333333333334</v>
      </c>
      <c r="F2517" s="90">
        <f t="shared" ref="F2517:F2564" si="73">(C2517-C2505)/C2505</f>
        <v>-7.0921985815602835E-3</v>
      </c>
    </row>
    <row r="2518" spans="1:6">
      <c r="A2518" s="5">
        <v>1929</v>
      </c>
      <c r="B2518" s="5" t="s">
        <v>10</v>
      </c>
      <c r="C2518" s="4">
        <v>139</v>
      </c>
      <c r="D2518" s="101">
        <f t="shared" si="72"/>
        <v>141</v>
      </c>
      <c r="F2518" s="90">
        <f t="shared" si="73"/>
        <v>-7.1428571428571426E-3</v>
      </c>
    </row>
    <row r="2519" spans="1:6">
      <c r="A2519" s="5">
        <v>1929</v>
      </c>
      <c r="B2519" s="5" t="s">
        <v>11</v>
      </c>
      <c r="C2519" s="4">
        <v>140</v>
      </c>
      <c r="D2519" s="101">
        <f t="shared" si="72"/>
        <v>141.08333333333334</v>
      </c>
      <c r="F2519" s="90">
        <f t="shared" si="73"/>
        <v>7.1942446043165471E-3</v>
      </c>
    </row>
    <row r="2520" spans="1:6">
      <c r="A2520" s="5">
        <v>1929</v>
      </c>
      <c r="B2520" s="5" t="s">
        <v>12</v>
      </c>
      <c r="C2520" s="4">
        <v>139</v>
      </c>
      <c r="D2520" s="101">
        <f t="shared" si="72"/>
        <v>140.91666666666666</v>
      </c>
      <c r="F2520" s="90">
        <f t="shared" si="73"/>
        <v>-1.4184397163120567E-2</v>
      </c>
    </row>
    <row r="2521" spans="1:6">
      <c r="A2521" s="5">
        <v>1929</v>
      </c>
      <c r="B2521" s="5" t="s">
        <v>13</v>
      </c>
      <c r="C2521" s="4">
        <v>138</v>
      </c>
      <c r="D2521" s="101">
        <f t="shared" si="72"/>
        <v>140.58333333333334</v>
      </c>
      <c r="F2521" s="90">
        <f t="shared" si="73"/>
        <v>-2.8169014084507043E-2</v>
      </c>
    </row>
    <row r="2522" spans="1:6">
      <c r="A2522" s="5">
        <v>1929</v>
      </c>
      <c r="B2522" s="5" t="s">
        <v>14</v>
      </c>
      <c r="C2522" s="4">
        <v>139</v>
      </c>
      <c r="D2522" s="101">
        <f t="shared" si="72"/>
        <v>140.41666666666666</v>
      </c>
      <c r="F2522" s="90">
        <f t="shared" si="73"/>
        <v>-1.4184397163120567E-2</v>
      </c>
    </row>
    <row r="2523" spans="1:6">
      <c r="A2523" s="5">
        <v>1929</v>
      </c>
      <c r="B2523" s="5" t="s">
        <v>15</v>
      </c>
      <c r="C2523" s="4">
        <v>141</v>
      </c>
      <c r="D2523" s="101">
        <f t="shared" si="72"/>
        <v>140.33333333333334</v>
      </c>
      <c r="F2523" s="90">
        <f t="shared" si="73"/>
        <v>-7.0422535211267607E-3</v>
      </c>
    </row>
    <row r="2524" spans="1:6">
      <c r="A2524" s="5">
        <v>1929</v>
      </c>
      <c r="B2524" s="5" t="s">
        <v>16</v>
      </c>
      <c r="C2524" s="4">
        <v>141</v>
      </c>
      <c r="D2524" s="101">
        <f t="shared" si="72"/>
        <v>140.16666666666666</v>
      </c>
      <c r="F2524" s="90">
        <f t="shared" si="73"/>
        <v>-1.3986013986013986E-2</v>
      </c>
    </row>
    <row r="2525" spans="1:6">
      <c r="A2525" s="5">
        <v>1929</v>
      </c>
      <c r="B2525" s="5" t="s">
        <v>17</v>
      </c>
      <c r="C2525" s="4">
        <v>140</v>
      </c>
      <c r="D2525" s="101">
        <f t="shared" si="72"/>
        <v>139.83333333333334</v>
      </c>
      <c r="F2525" s="90">
        <f t="shared" si="73"/>
        <v>-2.7777777777777776E-2</v>
      </c>
    </row>
    <row r="2526" spans="1:6">
      <c r="A2526" s="5">
        <v>1929</v>
      </c>
      <c r="B2526" s="5" t="s">
        <v>18</v>
      </c>
      <c r="C2526" s="4">
        <v>139</v>
      </c>
      <c r="D2526" s="101">
        <f t="shared" si="72"/>
        <v>139.66666666666666</v>
      </c>
      <c r="F2526" s="90">
        <f t="shared" si="73"/>
        <v>-1.4184397163120567E-2</v>
      </c>
    </row>
    <row r="2527" spans="1:6">
      <c r="A2527" s="5">
        <v>1929</v>
      </c>
      <c r="B2527" s="5" t="s">
        <v>19</v>
      </c>
      <c r="C2527" s="4">
        <v>137</v>
      </c>
      <c r="D2527" s="101">
        <f t="shared" si="72"/>
        <v>139.41666666666666</v>
      </c>
      <c r="F2527" s="90">
        <f t="shared" si="73"/>
        <v>-2.1428571428571429E-2</v>
      </c>
    </row>
    <row r="2528" spans="1:6">
      <c r="A2528" s="5">
        <v>1929</v>
      </c>
      <c r="B2528" s="5" t="s">
        <v>20</v>
      </c>
      <c r="C2528" s="4">
        <v>136</v>
      </c>
      <c r="D2528" s="101">
        <f t="shared" si="72"/>
        <v>139.08333333333334</v>
      </c>
      <c r="E2528" s="4">
        <v>139</v>
      </c>
      <c r="F2528" s="90">
        <f t="shared" si="73"/>
        <v>-2.8571428571428571E-2</v>
      </c>
    </row>
    <row r="2529" spans="1:6">
      <c r="A2529" s="5">
        <v>1930</v>
      </c>
      <c r="B2529" s="5" t="s">
        <v>9</v>
      </c>
      <c r="C2529" s="4">
        <v>135</v>
      </c>
      <c r="D2529" s="101">
        <f t="shared" si="72"/>
        <v>138.66666666666666</v>
      </c>
      <c r="F2529" s="90">
        <f t="shared" si="73"/>
        <v>-3.5714285714285712E-2</v>
      </c>
    </row>
    <row r="2530" spans="1:6">
      <c r="A2530" s="5">
        <v>1930</v>
      </c>
      <c r="B2530" s="5" t="s">
        <v>10</v>
      </c>
      <c r="C2530" s="4">
        <v>134</v>
      </c>
      <c r="D2530" s="101">
        <f t="shared" si="72"/>
        <v>138.25</v>
      </c>
      <c r="F2530" s="90">
        <f t="shared" si="73"/>
        <v>-3.5971223021582732E-2</v>
      </c>
    </row>
    <row r="2531" spans="1:6">
      <c r="A2531" s="5">
        <v>1930</v>
      </c>
      <c r="B2531" s="5" t="s">
        <v>11</v>
      </c>
      <c r="C2531" s="4">
        <v>132</v>
      </c>
      <c r="D2531" s="101">
        <f t="shared" si="72"/>
        <v>137.58333333333334</v>
      </c>
      <c r="F2531" s="90">
        <f t="shared" si="73"/>
        <v>-5.7142857142857141E-2</v>
      </c>
    </row>
    <row r="2532" spans="1:6">
      <c r="A2532" s="5">
        <v>1930</v>
      </c>
      <c r="B2532" s="5" t="s">
        <v>12</v>
      </c>
      <c r="C2532" s="4">
        <v>131</v>
      </c>
      <c r="D2532" s="101">
        <f t="shared" si="72"/>
        <v>136.91666666666666</v>
      </c>
      <c r="F2532" s="90">
        <f t="shared" si="73"/>
        <v>-5.7553956834532377E-2</v>
      </c>
    </row>
    <row r="2533" spans="1:6">
      <c r="A2533" s="5">
        <v>1930</v>
      </c>
      <c r="B2533" s="5" t="s">
        <v>13</v>
      </c>
      <c r="C2533" s="4">
        <v>130</v>
      </c>
      <c r="D2533" s="101">
        <f t="shared" si="72"/>
        <v>136.25</v>
      </c>
      <c r="F2533" s="90">
        <f t="shared" si="73"/>
        <v>-5.7971014492753624E-2</v>
      </c>
    </row>
    <row r="2534" spans="1:6">
      <c r="A2534" s="5">
        <v>1930</v>
      </c>
      <c r="B2534" s="5" t="s">
        <v>14</v>
      </c>
      <c r="C2534" s="4">
        <v>127</v>
      </c>
      <c r="D2534" s="101">
        <f t="shared" si="72"/>
        <v>135.25</v>
      </c>
      <c r="F2534" s="90">
        <f t="shared" si="73"/>
        <v>-8.6330935251798566E-2</v>
      </c>
    </row>
    <row r="2535" spans="1:6">
      <c r="A2535" s="5">
        <v>1930</v>
      </c>
      <c r="B2535" s="5" t="s">
        <v>15</v>
      </c>
      <c r="C2535" s="4">
        <v>123</v>
      </c>
      <c r="D2535" s="101">
        <f t="shared" si="72"/>
        <v>133.75</v>
      </c>
      <c r="F2535" s="90">
        <f t="shared" si="73"/>
        <v>-0.1276595744680851</v>
      </c>
    </row>
    <row r="2536" spans="1:6">
      <c r="A2536" s="5">
        <v>1930</v>
      </c>
      <c r="B2536" s="5" t="s">
        <v>16</v>
      </c>
      <c r="C2536" s="4">
        <v>123</v>
      </c>
      <c r="D2536" s="101">
        <f t="shared" si="72"/>
        <v>132.25</v>
      </c>
      <c r="F2536" s="90">
        <f t="shared" si="73"/>
        <v>-0.1276595744680851</v>
      </c>
    </row>
    <row r="2537" spans="1:6">
      <c r="A2537" s="5">
        <v>1930</v>
      </c>
      <c r="B2537" s="5" t="s">
        <v>17</v>
      </c>
      <c r="C2537" s="4">
        <v>123</v>
      </c>
      <c r="D2537" s="101">
        <f t="shared" si="72"/>
        <v>130.83333333333334</v>
      </c>
      <c r="F2537" s="90">
        <f t="shared" si="73"/>
        <v>-0.12142857142857143</v>
      </c>
    </row>
    <row r="2538" spans="1:6">
      <c r="A2538" s="5">
        <v>1930</v>
      </c>
      <c r="B2538" s="5" t="s">
        <v>18</v>
      </c>
      <c r="C2538" s="4">
        <v>121</v>
      </c>
      <c r="D2538" s="101">
        <f t="shared" si="72"/>
        <v>129.33333333333334</v>
      </c>
      <c r="F2538" s="90">
        <f t="shared" si="73"/>
        <v>-0.12949640287769784</v>
      </c>
    </row>
    <row r="2539" spans="1:6">
      <c r="A2539" s="5">
        <v>1930</v>
      </c>
      <c r="B2539" s="5" t="s">
        <v>19</v>
      </c>
      <c r="C2539" s="4">
        <v>119</v>
      </c>
      <c r="D2539" s="101">
        <f t="shared" si="72"/>
        <v>127.83333333333333</v>
      </c>
      <c r="F2539" s="90">
        <f t="shared" si="73"/>
        <v>-0.13138686131386862</v>
      </c>
    </row>
    <row r="2540" spans="1:6">
      <c r="A2540" s="5">
        <v>1930</v>
      </c>
      <c r="B2540" s="5" t="s">
        <v>20</v>
      </c>
      <c r="C2540" s="4">
        <v>116</v>
      </c>
      <c r="D2540" s="101">
        <f t="shared" si="72"/>
        <v>126.16666666666667</v>
      </c>
      <c r="E2540" s="4">
        <v>126</v>
      </c>
      <c r="F2540" s="90">
        <f t="shared" si="73"/>
        <v>-0.14705882352941177</v>
      </c>
    </row>
    <row r="2541" spans="1:6">
      <c r="A2541" s="5">
        <v>1931</v>
      </c>
      <c r="B2541" s="5" t="s">
        <v>9</v>
      </c>
      <c r="C2541" s="4">
        <v>114</v>
      </c>
      <c r="D2541" s="101">
        <f t="shared" si="72"/>
        <v>124.41666666666667</v>
      </c>
      <c r="F2541" s="90">
        <f t="shared" si="73"/>
        <v>-0.15555555555555556</v>
      </c>
    </row>
    <row r="2542" spans="1:6">
      <c r="A2542" s="5">
        <v>1931</v>
      </c>
      <c r="B2542" s="5" t="s">
        <v>10</v>
      </c>
      <c r="C2542" s="4">
        <v>112</v>
      </c>
      <c r="D2542" s="101">
        <f t="shared" si="72"/>
        <v>122.58333333333333</v>
      </c>
      <c r="F2542" s="90">
        <f t="shared" si="73"/>
        <v>-0.16417910447761194</v>
      </c>
    </row>
    <row r="2543" spans="1:6">
      <c r="A2543" s="5">
        <v>1931</v>
      </c>
      <c r="B2543" s="5" t="s">
        <v>11</v>
      </c>
      <c r="C2543" s="4">
        <v>111</v>
      </c>
      <c r="D2543" s="101">
        <f t="shared" si="72"/>
        <v>120.83333333333333</v>
      </c>
      <c r="F2543" s="90">
        <f t="shared" si="73"/>
        <v>-0.15909090909090909</v>
      </c>
    </row>
    <row r="2544" spans="1:6">
      <c r="A2544" s="5">
        <v>1931</v>
      </c>
      <c r="B2544" s="5" t="s">
        <v>12</v>
      </c>
      <c r="C2544" s="4">
        <v>109</v>
      </c>
      <c r="D2544" s="101">
        <f t="shared" si="72"/>
        <v>119</v>
      </c>
      <c r="F2544" s="90">
        <f t="shared" si="73"/>
        <v>-0.16793893129770993</v>
      </c>
    </row>
    <row r="2545" spans="1:6">
      <c r="A2545" s="5">
        <v>1931</v>
      </c>
      <c r="B2545" s="5" t="s">
        <v>13</v>
      </c>
      <c r="C2545" s="4">
        <v>107</v>
      </c>
      <c r="D2545" s="101">
        <f t="shared" ref="D2545:D2564" si="74">AVERAGE(C2534:C2545)</f>
        <v>117.08333333333333</v>
      </c>
      <c r="F2545" s="90">
        <f t="shared" si="73"/>
        <v>-0.17692307692307693</v>
      </c>
    </row>
    <row r="2546" spans="1:6">
      <c r="A2546" s="5">
        <v>1931</v>
      </c>
      <c r="B2546" s="5" t="s">
        <v>14</v>
      </c>
      <c r="C2546" s="4">
        <v>105</v>
      </c>
      <c r="D2546" s="101">
        <f t="shared" si="74"/>
        <v>115.25</v>
      </c>
      <c r="F2546" s="90">
        <f t="shared" si="73"/>
        <v>-0.17322834645669291</v>
      </c>
    </row>
    <row r="2547" spans="1:6">
      <c r="A2547" s="5">
        <v>1931</v>
      </c>
      <c r="B2547" s="5" t="s">
        <v>15</v>
      </c>
      <c r="C2547" s="4">
        <v>105</v>
      </c>
      <c r="D2547" s="101">
        <f t="shared" si="74"/>
        <v>113.75</v>
      </c>
      <c r="F2547" s="90">
        <f t="shared" si="73"/>
        <v>-0.14634146341463414</v>
      </c>
    </row>
    <row r="2548" spans="1:6">
      <c r="A2548" s="5">
        <v>1931</v>
      </c>
      <c r="B2548" s="5" t="s">
        <v>16</v>
      </c>
      <c r="C2548" s="4">
        <v>105</v>
      </c>
      <c r="D2548" s="101">
        <f t="shared" si="74"/>
        <v>112.25</v>
      </c>
      <c r="F2548" s="90">
        <f t="shared" si="73"/>
        <v>-0.14634146341463414</v>
      </c>
    </row>
    <row r="2549" spans="1:6">
      <c r="A2549" s="5">
        <v>1931</v>
      </c>
      <c r="B2549" s="5" t="s">
        <v>17</v>
      </c>
      <c r="C2549" s="4">
        <v>104</v>
      </c>
      <c r="D2549" s="101">
        <f t="shared" si="74"/>
        <v>110.66666666666667</v>
      </c>
      <c r="F2549" s="90">
        <f t="shared" si="73"/>
        <v>-0.15447154471544716</v>
      </c>
    </row>
    <row r="2550" spans="1:6">
      <c r="A2550" s="5">
        <v>1931</v>
      </c>
      <c r="B2550" s="5" t="s">
        <v>18</v>
      </c>
      <c r="C2550" s="4">
        <v>103</v>
      </c>
      <c r="D2550" s="101">
        <f t="shared" si="74"/>
        <v>109.16666666666667</v>
      </c>
      <c r="F2550" s="90">
        <f t="shared" si="73"/>
        <v>-0.1487603305785124</v>
      </c>
    </row>
    <row r="2551" spans="1:6">
      <c r="A2551" s="5">
        <v>1931</v>
      </c>
      <c r="B2551" s="5" t="s">
        <v>19</v>
      </c>
      <c r="C2551" s="4">
        <v>103</v>
      </c>
      <c r="D2551" s="101">
        <f t="shared" si="74"/>
        <v>107.83333333333333</v>
      </c>
      <c r="F2551" s="90">
        <f t="shared" si="73"/>
        <v>-0.13445378151260504</v>
      </c>
    </row>
    <row r="2552" spans="1:6">
      <c r="A2552" s="5">
        <v>1931</v>
      </c>
      <c r="B2552" s="5" t="s">
        <v>20</v>
      </c>
      <c r="C2552" s="4">
        <v>100</v>
      </c>
      <c r="D2552" s="101">
        <f t="shared" si="74"/>
        <v>106.5</v>
      </c>
      <c r="E2552" s="4">
        <v>107</v>
      </c>
      <c r="F2552" s="90">
        <f t="shared" si="73"/>
        <v>-0.13793103448275862</v>
      </c>
    </row>
    <row r="2553" spans="1:6">
      <c r="A2553" s="5">
        <v>1932</v>
      </c>
      <c r="B2553" s="5" t="s">
        <v>9</v>
      </c>
      <c r="C2553" s="4">
        <v>98</v>
      </c>
      <c r="D2553" s="101">
        <f t="shared" si="74"/>
        <v>105.16666666666667</v>
      </c>
      <c r="F2553" s="90">
        <f t="shared" si="73"/>
        <v>-0.14035087719298245</v>
      </c>
    </row>
    <row r="2554" spans="1:6">
      <c r="A2554" s="5">
        <v>1932</v>
      </c>
      <c r="B2554" s="5" t="s">
        <v>10</v>
      </c>
      <c r="C2554" s="4">
        <v>97</v>
      </c>
      <c r="D2554" s="101">
        <f t="shared" si="74"/>
        <v>103.91666666666667</v>
      </c>
      <c r="F2554" s="90">
        <f t="shared" si="73"/>
        <v>-0.13392857142857142</v>
      </c>
    </row>
    <row r="2555" spans="1:6">
      <c r="A2555" s="5">
        <v>1932</v>
      </c>
      <c r="B2555" s="5" t="s">
        <v>11</v>
      </c>
      <c r="C2555" s="4">
        <v>96</v>
      </c>
      <c r="D2555" s="101">
        <f t="shared" si="74"/>
        <v>102.66666666666667</v>
      </c>
      <c r="F2555" s="90">
        <f t="shared" si="73"/>
        <v>-0.13513513513513514</v>
      </c>
    </row>
    <row r="2556" spans="1:6">
      <c r="A2556" s="5">
        <v>1932</v>
      </c>
      <c r="B2556" s="5" t="s">
        <v>12</v>
      </c>
      <c r="C2556" s="4">
        <v>96</v>
      </c>
      <c r="D2556" s="101">
        <f t="shared" si="74"/>
        <v>101.58333333333333</v>
      </c>
      <c r="F2556" s="90">
        <f t="shared" si="73"/>
        <v>-0.11926605504587157</v>
      </c>
    </row>
    <row r="2557" spans="1:6">
      <c r="A2557" s="5">
        <v>1932</v>
      </c>
      <c r="B2557" s="5" t="s">
        <v>13</v>
      </c>
      <c r="C2557" s="4">
        <v>94</v>
      </c>
      <c r="D2557" s="101">
        <f t="shared" si="74"/>
        <v>100.5</v>
      </c>
      <c r="F2557" s="90">
        <f t="shared" si="73"/>
        <v>-0.12149532710280374</v>
      </c>
    </row>
    <row r="2558" spans="1:6">
      <c r="A2558" s="5">
        <v>1932</v>
      </c>
      <c r="B2558" s="5" t="s">
        <v>14</v>
      </c>
      <c r="C2558" s="4">
        <v>93</v>
      </c>
      <c r="D2558" s="101">
        <f t="shared" si="74"/>
        <v>99.5</v>
      </c>
      <c r="F2558" s="90">
        <f t="shared" si="73"/>
        <v>-0.11428571428571428</v>
      </c>
    </row>
    <row r="2559" spans="1:6">
      <c r="A2559" s="5">
        <v>1932</v>
      </c>
      <c r="B2559" s="5" t="s">
        <v>15</v>
      </c>
      <c r="C2559" s="4">
        <v>94</v>
      </c>
      <c r="D2559" s="101">
        <f t="shared" si="74"/>
        <v>98.583333333333329</v>
      </c>
      <c r="F2559" s="90">
        <f t="shared" si="73"/>
        <v>-0.10476190476190476</v>
      </c>
    </row>
    <row r="2560" spans="1:6">
      <c r="A2560" s="5">
        <v>1932</v>
      </c>
      <c r="B2560" s="5" t="s">
        <v>16</v>
      </c>
      <c r="C2560" s="4">
        <v>95</v>
      </c>
      <c r="D2560" s="101">
        <f t="shared" si="74"/>
        <v>97.75</v>
      </c>
      <c r="F2560" s="90">
        <f t="shared" si="73"/>
        <v>-9.5238095238095233E-2</v>
      </c>
    </row>
    <row r="2561" spans="1:6">
      <c r="A2561" s="5">
        <v>1932</v>
      </c>
      <c r="B2561" s="5" t="s">
        <v>17</v>
      </c>
      <c r="C2561" s="4">
        <v>95</v>
      </c>
      <c r="D2561" s="101">
        <f t="shared" si="74"/>
        <v>97</v>
      </c>
      <c r="F2561" s="90">
        <f t="shared" si="73"/>
        <v>-8.6538461538461536E-2</v>
      </c>
    </row>
    <row r="2562" spans="1:6">
      <c r="A2562" s="5">
        <v>1932</v>
      </c>
      <c r="B2562" s="5" t="s">
        <v>18</v>
      </c>
      <c r="C2562" s="4">
        <v>94</v>
      </c>
      <c r="D2562" s="101">
        <f t="shared" si="74"/>
        <v>96.25</v>
      </c>
      <c r="F2562" s="90">
        <f t="shared" si="73"/>
        <v>-8.7378640776699032E-2</v>
      </c>
    </row>
    <row r="2563" spans="1:6">
      <c r="A2563" s="5">
        <v>1932</v>
      </c>
      <c r="B2563" s="5" t="s">
        <v>19</v>
      </c>
      <c r="C2563" s="4">
        <v>93</v>
      </c>
      <c r="D2563" s="101">
        <f t="shared" si="74"/>
        <v>95.416666666666671</v>
      </c>
      <c r="F2563" s="90">
        <f t="shared" si="73"/>
        <v>-9.7087378640776698E-2</v>
      </c>
    </row>
    <row r="2564" spans="1:6">
      <c r="A2564" s="5">
        <v>1932</v>
      </c>
      <c r="B2564" s="5" t="s">
        <v>20</v>
      </c>
      <c r="C2564" s="4">
        <v>91</v>
      </c>
      <c r="D2564" s="101">
        <f t="shared" si="74"/>
        <v>94.666666666666671</v>
      </c>
      <c r="E2564" s="4">
        <v>95</v>
      </c>
      <c r="F2564" s="90">
        <f t="shared" si="73"/>
        <v>-0.09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90"/>
  <sheetViews>
    <sheetView workbookViewId="0">
      <selection activeCell="C22" sqref="C22"/>
    </sheetView>
  </sheetViews>
  <sheetFormatPr baseColWidth="10" defaultColWidth="8.83203125" defaultRowHeight="15" x14ac:dyDescent="0"/>
  <cols>
    <col min="1" max="2" width="20.6640625" customWidth="1"/>
  </cols>
  <sheetData>
    <row r="1" spans="1:2">
      <c r="A1" s="6" t="s">
        <v>21</v>
      </c>
      <c r="B1" s="6" t="s">
        <v>138</v>
      </c>
    </row>
    <row r="2" spans="1:2">
      <c r="A2" s="6" t="s">
        <v>23</v>
      </c>
      <c r="B2" s="6" t="s">
        <v>139</v>
      </c>
    </row>
    <row r="3" spans="1:2">
      <c r="A3" s="6" t="s">
        <v>25</v>
      </c>
      <c r="B3" s="6" t="s">
        <v>140</v>
      </c>
    </row>
    <row r="4" spans="1:2">
      <c r="A4" s="6" t="s">
        <v>27</v>
      </c>
      <c r="B4" s="6" t="s">
        <v>141</v>
      </c>
    </row>
    <row r="5" spans="1:2">
      <c r="A5" s="6" t="s">
        <v>29</v>
      </c>
      <c r="B5" s="6" t="s">
        <v>30</v>
      </c>
    </row>
    <row r="6" spans="1:2">
      <c r="A6" s="6" t="s">
        <v>31</v>
      </c>
      <c r="B6" s="6" t="s">
        <v>142</v>
      </c>
    </row>
    <row r="7" spans="1:2">
      <c r="A7" s="6" t="s">
        <v>33</v>
      </c>
      <c r="B7" s="6" t="s">
        <v>143</v>
      </c>
    </row>
    <row r="8" spans="1:2">
      <c r="A8" s="6" t="s">
        <v>35</v>
      </c>
      <c r="B8" s="6" t="s">
        <v>144</v>
      </c>
    </row>
    <row r="9" spans="1:2">
      <c r="A9" s="6" t="s">
        <v>37</v>
      </c>
      <c r="B9" s="6" t="s">
        <v>145</v>
      </c>
    </row>
    <row r="10" spans="1:2">
      <c r="A10" s="6" t="s">
        <v>39</v>
      </c>
      <c r="B10" s="6" t="s">
        <v>146</v>
      </c>
    </row>
    <row r="11" spans="1:2">
      <c r="B11" s="6" t="s">
        <v>147</v>
      </c>
    </row>
    <row r="12" spans="1:2">
      <c r="B12" s="6" t="s">
        <v>148</v>
      </c>
    </row>
    <row r="13" spans="1:2">
      <c r="B13" s="6" t="s">
        <v>149</v>
      </c>
    </row>
    <row r="14" spans="1:2">
      <c r="B14" s="6" t="s">
        <v>150</v>
      </c>
    </row>
    <row r="15" spans="1:2">
      <c r="B15" s="6" t="s">
        <v>151</v>
      </c>
    </row>
    <row r="16" spans="1:2">
      <c r="B16" s="6" t="s">
        <v>152</v>
      </c>
    </row>
    <row r="17" spans="1:2">
      <c r="B17" s="6" t="s">
        <v>40</v>
      </c>
    </row>
    <row r="18" spans="1:2">
      <c r="B18" s="6" t="s">
        <v>153</v>
      </c>
    </row>
    <row r="19" spans="1:2">
      <c r="B19" s="6" t="s">
        <v>154</v>
      </c>
    </row>
    <row r="20" spans="1:2">
      <c r="B20" s="6" t="s">
        <v>40</v>
      </c>
    </row>
    <row r="21" spans="1:2">
      <c r="B21" s="6" t="s">
        <v>155</v>
      </c>
    </row>
    <row r="23" spans="1:2">
      <c r="A23" s="6" t="s">
        <v>41</v>
      </c>
      <c r="B23" s="6" t="s">
        <v>42</v>
      </c>
    </row>
    <row r="24" spans="1:2">
      <c r="A24" s="52" t="s">
        <v>156</v>
      </c>
      <c r="B24" s="53">
        <v>6.89</v>
      </c>
    </row>
    <row r="25" spans="1:2">
      <c r="A25" s="52" t="s">
        <v>157</v>
      </c>
      <c r="B25" s="53">
        <v>6.9640000000000004</v>
      </c>
    </row>
    <row r="26" spans="1:2">
      <c r="A26" s="52" t="s">
        <v>158</v>
      </c>
      <c r="B26" s="53">
        <v>6.8789999999999996</v>
      </c>
    </row>
    <row r="27" spans="1:2">
      <c r="A27" s="52" t="s">
        <v>159</v>
      </c>
      <c r="B27" s="53">
        <v>6.89</v>
      </c>
    </row>
    <row r="28" spans="1:2">
      <c r="A28" s="52" t="s">
        <v>160</v>
      </c>
      <c r="B28" s="53">
        <v>6.9969999999999999</v>
      </c>
    </row>
    <row r="29" spans="1:2">
      <c r="A29" s="52" t="s">
        <v>161</v>
      </c>
      <c r="B29" s="53">
        <v>7.0919999999999996</v>
      </c>
    </row>
    <row r="30" spans="1:2">
      <c r="A30" s="52" t="s">
        <v>162</v>
      </c>
      <c r="B30" s="53">
        <v>7.2140000000000004</v>
      </c>
    </row>
    <row r="31" spans="1:2">
      <c r="A31" s="52" t="s">
        <v>163</v>
      </c>
      <c r="B31" s="53">
        <v>7.4580000000000002</v>
      </c>
    </row>
    <row r="32" spans="1:2">
      <c r="A32" s="52" t="s">
        <v>164</v>
      </c>
      <c r="B32" s="53">
        <v>7.64</v>
      </c>
    </row>
    <row r="33" spans="1:2">
      <c r="A33" s="52" t="s">
        <v>165</v>
      </c>
      <c r="B33" s="53">
        <v>7.7169999999999996</v>
      </c>
    </row>
    <row r="34" spans="1:2">
      <c r="A34" s="52" t="s">
        <v>166</v>
      </c>
      <c r="B34" s="53">
        <v>7.9779999999999998</v>
      </c>
    </row>
    <row r="35" spans="1:2">
      <c r="A35" s="52" t="s">
        <v>167</v>
      </c>
      <c r="B35" s="53">
        <v>8.0169999999999995</v>
      </c>
    </row>
    <row r="36" spans="1:2">
      <c r="A36" s="7">
        <v>1</v>
      </c>
      <c r="B36" s="53">
        <v>8.2309999999999999</v>
      </c>
    </row>
    <row r="37" spans="1:2">
      <c r="A37" s="7">
        <v>32</v>
      </c>
      <c r="B37" s="53">
        <v>8.2219999999999995</v>
      </c>
    </row>
    <row r="38" spans="1:2">
      <c r="A38" s="7">
        <v>61</v>
      </c>
      <c r="B38" s="53">
        <v>8.1280000000000001</v>
      </c>
    </row>
    <row r="39" spans="1:2">
      <c r="A39" s="7">
        <v>92</v>
      </c>
      <c r="B39" s="53">
        <v>7.9939999999999998</v>
      </c>
    </row>
    <row r="40" spans="1:2">
      <c r="A40" s="7">
        <v>122</v>
      </c>
      <c r="B40" s="53">
        <v>7.8090000000000002</v>
      </c>
    </row>
    <row r="41" spans="1:2">
      <c r="A41" s="7">
        <v>153</v>
      </c>
      <c r="B41" s="53">
        <v>7.7220000000000004</v>
      </c>
    </row>
    <row r="42" spans="1:2">
      <c r="A42" s="7">
        <v>183</v>
      </c>
      <c r="B42" s="53">
        <v>7.7309999999999999</v>
      </c>
    </row>
    <row r="43" spans="1:2">
      <c r="A43" s="7">
        <v>214</v>
      </c>
      <c r="B43" s="53">
        <v>7.6580000000000004</v>
      </c>
    </row>
    <row r="44" spans="1:2">
      <c r="A44" s="7">
        <v>245</v>
      </c>
      <c r="B44" s="53">
        <v>7.7510000000000003</v>
      </c>
    </row>
    <row r="45" spans="1:2">
      <c r="A45" s="7">
        <v>275</v>
      </c>
      <c r="B45" s="53">
        <v>7.6470000000000002</v>
      </c>
    </row>
    <row r="46" spans="1:2">
      <c r="A46" s="7">
        <v>306</v>
      </c>
      <c r="B46" s="53">
        <v>7.6980000000000004</v>
      </c>
    </row>
    <row r="47" spans="1:2">
      <c r="A47" s="7">
        <v>336</v>
      </c>
      <c r="B47" s="53">
        <v>7.5670000000000002</v>
      </c>
    </row>
    <row r="48" spans="1:2">
      <c r="A48" s="7">
        <v>367</v>
      </c>
      <c r="B48" s="53">
        <v>7.5679999999999996</v>
      </c>
    </row>
    <row r="49" spans="1:2">
      <c r="A49" s="7">
        <v>398</v>
      </c>
      <c r="B49" s="53">
        <v>7.5540000000000003</v>
      </c>
    </row>
    <row r="50" spans="1:2">
      <c r="A50" s="7">
        <v>426</v>
      </c>
      <c r="B50" s="53">
        <v>7.5259999999999998</v>
      </c>
    </row>
    <row r="51" spans="1:2">
      <c r="A51" s="7">
        <v>457</v>
      </c>
      <c r="B51" s="53">
        <v>7.431</v>
      </c>
    </row>
    <row r="52" spans="1:2">
      <c r="A52" s="7">
        <v>487</v>
      </c>
      <c r="B52" s="53">
        <v>7.4180000000000001</v>
      </c>
    </row>
    <row r="53" spans="1:2">
      <c r="A53" s="7">
        <v>518</v>
      </c>
      <c r="B53" s="53">
        <v>7.5149999999999997</v>
      </c>
    </row>
    <row r="54" spans="1:2">
      <c r="A54" s="7">
        <v>548</v>
      </c>
      <c r="B54" s="53">
        <v>7.5860000000000003</v>
      </c>
    </row>
    <row r="55" spans="1:2">
      <c r="A55" s="7">
        <v>579</v>
      </c>
      <c r="B55" s="53">
        <v>7.6050000000000004</v>
      </c>
    </row>
    <row r="56" spans="1:2">
      <c r="A56" s="7">
        <v>610</v>
      </c>
      <c r="B56" s="53">
        <v>7.7279999999999998</v>
      </c>
    </row>
    <row r="57" spans="1:2">
      <c r="A57" s="7">
        <v>640</v>
      </c>
      <c r="B57" s="53">
        <v>7.6710000000000003</v>
      </c>
    </row>
    <row r="58" spans="1:2">
      <c r="A58" s="7">
        <v>671</v>
      </c>
      <c r="B58" s="53">
        <v>7.7279999999999998</v>
      </c>
    </row>
    <row r="59" spans="1:2">
      <c r="A59" s="7">
        <v>701</v>
      </c>
      <c r="B59" s="53">
        <v>7.66</v>
      </c>
    </row>
    <row r="60" spans="1:2">
      <c r="A60" s="7">
        <v>732</v>
      </c>
      <c r="B60" s="53">
        <v>7.6879999999999997</v>
      </c>
    </row>
    <row r="61" spans="1:2">
      <c r="A61" s="7">
        <v>763</v>
      </c>
      <c r="B61" s="53">
        <v>7.7629999999999999</v>
      </c>
    </row>
    <row r="62" spans="1:2">
      <c r="A62" s="7">
        <v>791</v>
      </c>
      <c r="B62" s="53">
        <v>7.7839999999999998</v>
      </c>
    </row>
    <row r="63" spans="1:2">
      <c r="A63" s="7">
        <v>822</v>
      </c>
      <c r="B63" s="53">
        <v>7.883</v>
      </c>
    </row>
    <row r="64" spans="1:2">
      <c r="A64" s="7">
        <v>852</v>
      </c>
      <c r="B64" s="53">
        <v>7.87</v>
      </c>
    </row>
    <row r="65" spans="1:2">
      <c r="A65" s="7">
        <v>883</v>
      </c>
      <c r="B65" s="53">
        <v>7.8380000000000001</v>
      </c>
    </row>
    <row r="66" spans="1:2">
      <c r="A66" s="7">
        <v>913</v>
      </c>
      <c r="B66" s="53">
        <v>7.875</v>
      </c>
    </row>
    <row r="67" spans="1:2">
      <c r="A67" s="7">
        <v>944</v>
      </c>
      <c r="B67" s="53">
        <v>7.9269999999999996</v>
      </c>
    </row>
    <row r="68" spans="1:2">
      <c r="A68" s="7">
        <v>975</v>
      </c>
      <c r="B68" s="53">
        <v>7.992</v>
      </c>
    </row>
    <row r="69" spans="1:2">
      <c r="A69" s="7">
        <v>1005</v>
      </c>
      <c r="B69" s="53">
        <v>8.0890000000000004</v>
      </c>
    </row>
    <row r="70" spans="1:2">
      <c r="A70" s="7">
        <v>1036</v>
      </c>
      <c r="B70" s="53">
        <v>8.141</v>
      </c>
    </row>
    <row r="71" spans="1:2">
      <c r="A71" s="7">
        <v>1066</v>
      </c>
      <c r="B71" s="53">
        <v>8.0790000000000006</v>
      </c>
    </row>
    <row r="72" spans="1:2">
      <c r="A72" s="7">
        <v>1097</v>
      </c>
      <c r="B72" s="53">
        <v>8.0820000000000007</v>
      </c>
    </row>
    <row r="73" spans="1:2">
      <c r="A73" s="7">
        <v>1128</v>
      </c>
      <c r="B73" s="53">
        <v>8.1300000000000008</v>
      </c>
    </row>
    <row r="74" spans="1:2">
      <c r="A74" s="7">
        <v>1156</v>
      </c>
      <c r="B74" s="53">
        <v>8.125</v>
      </c>
    </row>
    <row r="75" spans="1:2">
      <c r="A75" s="7">
        <v>1187</v>
      </c>
      <c r="B75" s="53">
        <v>7.9569999999999999</v>
      </c>
    </row>
    <row r="76" spans="1:2">
      <c r="A76" s="7">
        <v>1217</v>
      </c>
      <c r="B76" s="53">
        <v>7.875</v>
      </c>
    </row>
    <row r="77" spans="1:2">
      <c r="A77" s="7">
        <v>1248</v>
      </c>
      <c r="B77" s="53">
        <v>7.8710000000000004</v>
      </c>
    </row>
    <row r="78" spans="1:2">
      <c r="A78" s="7">
        <v>1278</v>
      </c>
      <c r="B78" s="53">
        <v>7.7469999999999999</v>
      </c>
    </row>
    <row r="79" spans="1:2">
      <c r="A79" s="7">
        <v>1309</v>
      </c>
      <c r="B79" s="53">
        <v>7.758</v>
      </c>
    </row>
    <row r="80" spans="1:2">
      <c r="A80" s="7">
        <v>1340</v>
      </c>
      <c r="B80" s="53">
        <v>7.9080000000000004</v>
      </c>
    </row>
    <row r="81" spans="1:2">
      <c r="A81" s="7">
        <v>1370</v>
      </c>
      <c r="B81" s="53">
        <v>7.867</v>
      </c>
    </row>
    <row r="82" spans="1:2">
      <c r="A82" s="7">
        <v>1401</v>
      </c>
      <c r="B82" s="53">
        <v>7.8380000000000001</v>
      </c>
    </row>
    <row r="83" spans="1:2">
      <c r="A83" s="7">
        <v>1431</v>
      </c>
      <c r="B83" s="53">
        <v>7.9880000000000004</v>
      </c>
    </row>
    <row r="84" spans="1:2">
      <c r="A84" s="7">
        <v>1462</v>
      </c>
      <c r="B84" s="53">
        <v>8.0969999999999995</v>
      </c>
    </row>
    <row r="85" spans="1:2">
      <c r="A85" s="7">
        <v>1493</v>
      </c>
      <c r="B85" s="53">
        <v>8.0879999999999992</v>
      </c>
    </row>
    <row r="86" spans="1:2">
      <c r="A86" s="7">
        <v>1522</v>
      </c>
      <c r="B86" s="53">
        <v>7.9690000000000003</v>
      </c>
    </row>
    <row r="87" spans="1:2">
      <c r="A87" s="7">
        <v>1553</v>
      </c>
      <c r="B87" s="53">
        <v>7.9349999999999996</v>
      </c>
    </row>
    <row r="88" spans="1:2">
      <c r="A88" s="7">
        <v>1583</v>
      </c>
      <c r="B88" s="53">
        <v>7.7880000000000003</v>
      </c>
    </row>
    <row r="89" spans="1:2">
      <c r="A89" s="7">
        <v>1614</v>
      </c>
      <c r="B89" s="53">
        <v>7.6319999999999997</v>
      </c>
    </row>
    <row r="90" spans="1:2">
      <c r="A90" s="7">
        <v>1644</v>
      </c>
      <c r="B90" s="53">
        <v>7.7619999999999996</v>
      </c>
    </row>
    <row r="91" spans="1:2">
      <c r="A91" s="7">
        <v>1675</v>
      </c>
      <c r="B91" s="53">
        <v>7.7839999999999998</v>
      </c>
    </row>
    <row r="92" spans="1:2">
      <c r="A92" s="7">
        <v>1706</v>
      </c>
      <c r="B92" s="53">
        <v>7.9210000000000003</v>
      </c>
    </row>
    <row r="93" spans="1:2">
      <c r="A93" s="7">
        <v>1736</v>
      </c>
      <c r="B93" s="53">
        <v>8.0020000000000007</v>
      </c>
    </row>
    <row r="94" spans="1:2">
      <c r="A94" s="7">
        <v>1767</v>
      </c>
      <c r="B94" s="53">
        <v>8.0579999999999998</v>
      </c>
    </row>
    <row r="95" spans="1:2">
      <c r="A95" s="7">
        <v>1797</v>
      </c>
      <c r="B95" s="53">
        <v>8.0830000000000002</v>
      </c>
    </row>
    <row r="96" spans="1:2">
      <c r="A96" s="7">
        <v>1828</v>
      </c>
      <c r="B96" s="53">
        <v>8.08</v>
      </c>
    </row>
    <row r="97" spans="1:2">
      <c r="A97" s="7">
        <v>1859</v>
      </c>
      <c r="B97" s="53">
        <v>8.0980000000000008</v>
      </c>
    </row>
    <row r="98" spans="1:2">
      <c r="A98" s="7">
        <v>1887</v>
      </c>
      <c r="B98" s="53">
        <v>8</v>
      </c>
    </row>
    <row r="99" spans="1:2">
      <c r="A99" s="7">
        <v>1918</v>
      </c>
      <c r="B99" s="53">
        <v>7.97</v>
      </c>
    </row>
    <row r="100" spans="1:2">
      <c r="A100" s="7">
        <v>1948</v>
      </c>
      <c r="B100" s="53">
        <v>7.907</v>
      </c>
    </row>
    <row r="101" spans="1:2">
      <c r="A101" s="7">
        <v>1979</v>
      </c>
      <c r="B101" s="53">
        <v>7.9160000000000004</v>
      </c>
    </row>
    <row r="102" spans="1:2">
      <c r="A102" s="7">
        <v>2009</v>
      </c>
      <c r="B102" s="53">
        <v>8.1110000000000007</v>
      </c>
    </row>
    <row r="103" spans="1:2">
      <c r="A103" s="7">
        <v>2040</v>
      </c>
      <c r="B103" s="53">
        <v>8.2799999999999994</v>
      </c>
    </row>
    <row r="104" spans="1:2">
      <c r="A104" s="7">
        <v>2071</v>
      </c>
      <c r="B104" s="53">
        <v>8.23</v>
      </c>
    </row>
    <row r="105" spans="1:2">
      <c r="A105" s="7">
        <v>2101</v>
      </c>
      <c r="B105" s="53">
        <v>8.2100000000000009</v>
      </c>
    </row>
    <row r="106" spans="1:2">
      <c r="A106" s="7">
        <v>2132</v>
      </c>
      <c r="B106" s="53">
        <v>8.3010000000000002</v>
      </c>
    </row>
    <row r="107" spans="1:2">
      <c r="A107" s="7">
        <v>2162</v>
      </c>
      <c r="B107" s="53">
        <v>8.3290000000000006</v>
      </c>
    </row>
    <row r="108" spans="1:2">
      <c r="A108" s="7">
        <v>2193</v>
      </c>
      <c r="B108" s="53">
        <v>8.2420000000000009</v>
      </c>
    </row>
    <row r="109" spans="1:2">
      <c r="A109" s="7">
        <v>2224</v>
      </c>
      <c r="B109" s="53">
        <v>8.2319999999999993</v>
      </c>
    </row>
    <row r="110" spans="1:2">
      <c r="A110" s="7">
        <v>2252</v>
      </c>
      <c r="B110" s="53">
        <v>8.2989999999999995</v>
      </c>
    </row>
    <row r="111" spans="1:2">
      <c r="A111" s="7">
        <v>2283</v>
      </c>
      <c r="B111" s="53">
        <v>8.3049999999999997</v>
      </c>
    </row>
    <row r="112" spans="1:2">
      <c r="A112" s="7">
        <v>2313</v>
      </c>
      <c r="B112" s="53">
        <v>8.32</v>
      </c>
    </row>
    <row r="113" spans="1:2">
      <c r="A113" s="7">
        <v>2344</v>
      </c>
      <c r="B113" s="53">
        <v>8.2840000000000007</v>
      </c>
    </row>
    <row r="114" spans="1:2">
      <c r="A114" s="7">
        <v>2374</v>
      </c>
      <c r="B114" s="53">
        <v>8.3379999999999992</v>
      </c>
    </row>
    <row r="115" spans="1:2">
      <c r="A115" s="7">
        <v>2405</v>
      </c>
      <c r="B115" s="53">
        <v>8.4529999999999994</v>
      </c>
    </row>
    <row r="116" spans="1:2">
      <c r="A116" s="7">
        <v>2436</v>
      </c>
      <c r="B116" s="53">
        <v>8.5579999999999998</v>
      </c>
    </row>
    <row r="117" spans="1:2">
      <c r="A117" s="7">
        <v>2466</v>
      </c>
      <c r="B117" s="53">
        <v>8.7509999999999994</v>
      </c>
    </row>
    <row r="118" spans="1:2">
      <c r="A118" s="7">
        <v>2497</v>
      </c>
      <c r="B118" s="53">
        <v>8.9019999999999992</v>
      </c>
    </row>
    <row r="119" spans="1:2">
      <c r="A119" s="7">
        <v>2527</v>
      </c>
      <c r="B119" s="53">
        <v>8.9169999999999998</v>
      </c>
    </row>
    <row r="120" spans="1:2">
      <c r="A120" s="7">
        <v>2558</v>
      </c>
      <c r="B120" s="53">
        <v>8.9949999999999992</v>
      </c>
    </row>
    <row r="121" spans="1:2">
      <c r="A121" s="7">
        <v>2589</v>
      </c>
      <c r="B121" s="53">
        <v>9.1289999999999996</v>
      </c>
    </row>
    <row r="122" spans="1:2">
      <c r="A122" s="7">
        <v>2617</v>
      </c>
      <c r="B122" s="53">
        <v>8.9640000000000004</v>
      </c>
    </row>
    <row r="123" spans="1:2">
      <c r="A123" s="7">
        <v>2648</v>
      </c>
      <c r="B123" s="53">
        <v>8.9359999999999999</v>
      </c>
    </row>
    <row r="124" spans="1:2">
      <c r="A124" s="7">
        <v>2678</v>
      </c>
      <c r="B124" s="53">
        <v>8.99</v>
      </c>
    </row>
    <row r="125" spans="1:2">
      <c r="A125" s="7">
        <v>2709</v>
      </c>
      <c r="B125" s="53">
        <v>9.0410000000000004</v>
      </c>
    </row>
    <row r="126" spans="1:2">
      <c r="A126" s="7">
        <v>2739</v>
      </c>
      <c r="B126" s="53">
        <v>8.93</v>
      </c>
    </row>
    <row r="127" spans="1:2">
      <c r="A127" s="7">
        <v>2770</v>
      </c>
      <c r="B127" s="53">
        <v>8.83</v>
      </c>
    </row>
    <row r="128" spans="1:2">
      <c r="A128" s="7">
        <v>2801</v>
      </c>
      <c r="B128" s="53">
        <v>8.8510000000000009</v>
      </c>
    </row>
    <row r="129" spans="1:2">
      <c r="A129" s="7">
        <v>2831</v>
      </c>
      <c r="B129" s="53">
        <v>8.7469999999999999</v>
      </c>
    </row>
    <row r="130" spans="1:2">
      <c r="A130" s="7">
        <v>2862</v>
      </c>
      <c r="B130" s="53">
        <v>8.5250000000000004</v>
      </c>
    </row>
    <row r="131" spans="1:2">
      <c r="A131" s="7">
        <v>2892</v>
      </c>
      <c r="B131" s="53">
        <v>8.2949999999999999</v>
      </c>
    </row>
    <row r="132" spans="1:2">
      <c r="A132" s="7">
        <v>2923</v>
      </c>
      <c r="B132" s="53">
        <v>8.1289999999999996</v>
      </c>
    </row>
    <row r="133" spans="1:2">
      <c r="A133" s="7">
        <v>2954</v>
      </c>
      <c r="B133" s="53">
        <v>7.9859999999999998</v>
      </c>
    </row>
    <row r="134" spans="1:2">
      <c r="A134" s="7">
        <v>2983</v>
      </c>
      <c r="B134" s="53">
        <v>8.0649999999999995</v>
      </c>
    </row>
    <row r="135" spans="1:2">
      <c r="A135" s="7">
        <v>3014</v>
      </c>
      <c r="B135" s="53">
        <v>7.9630000000000001</v>
      </c>
    </row>
    <row r="136" spans="1:2">
      <c r="A136" s="7">
        <v>3044</v>
      </c>
      <c r="B136" s="53">
        <v>7.7229999999999999</v>
      </c>
    </row>
    <row r="137" spans="1:2">
      <c r="A137" s="7">
        <v>3075</v>
      </c>
      <c r="B137" s="53">
        <v>7.8220000000000001</v>
      </c>
    </row>
    <row r="138" spans="1:2">
      <c r="A138" s="7">
        <v>3105</v>
      </c>
      <c r="B138" s="53">
        <v>7.9329999999999998</v>
      </c>
    </row>
    <row r="139" spans="1:2">
      <c r="A139" s="7">
        <v>3136</v>
      </c>
      <c r="B139" s="53">
        <v>7.9050000000000002</v>
      </c>
    </row>
    <row r="140" spans="1:2">
      <c r="A140" s="7">
        <v>3167</v>
      </c>
      <c r="B140" s="53">
        <v>8.0139999999999993</v>
      </c>
    </row>
    <row r="141" spans="1:2">
      <c r="A141" s="7">
        <v>3197</v>
      </c>
      <c r="B141" s="53">
        <v>8.0670000000000002</v>
      </c>
    </row>
    <row r="142" spans="1:2">
      <c r="A142" s="7">
        <v>3228</v>
      </c>
      <c r="B142" s="53">
        <v>8.2129999999999992</v>
      </c>
    </row>
    <row r="143" spans="1:2">
      <c r="A143" s="7">
        <v>3258</v>
      </c>
      <c r="B143" s="53">
        <v>8.2629999999999999</v>
      </c>
    </row>
    <row r="144" spans="1:2">
      <c r="A144" s="7">
        <v>3289</v>
      </c>
      <c r="B144" s="53">
        <v>8.3019999999999996</v>
      </c>
    </row>
    <row r="145" spans="1:2">
      <c r="A145" s="7">
        <v>3320</v>
      </c>
      <c r="B145" s="53">
        <v>8.2170000000000005</v>
      </c>
    </row>
    <row r="146" spans="1:2">
      <c r="A146" s="7">
        <v>3348</v>
      </c>
      <c r="B146" s="53">
        <v>8.3160000000000007</v>
      </c>
    </row>
    <row r="147" spans="1:2">
      <c r="A147" s="7">
        <v>3379</v>
      </c>
      <c r="B147" s="53">
        <v>8.3019999999999996</v>
      </c>
    </row>
    <row r="148" spans="1:2">
      <c r="A148" s="7">
        <v>3409</v>
      </c>
      <c r="B148" s="53">
        <v>8.3960000000000008</v>
      </c>
    </row>
    <row r="149" spans="1:2">
      <c r="A149" s="7">
        <v>3440</v>
      </c>
      <c r="B149" s="53">
        <v>8.4570000000000007</v>
      </c>
    </row>
    <row r="150" spans="1:2">
      <c r="A150" s="7">
        <v>3470</v>
      </c>
      <c r="B150" s="53">
        <v>8.5039999999999996</v>
      </c>
    </row>
    <row r="151" spans="1:2">
      <c r="A151" s="7">
        <v>3501</v>
      </c>
      <c r="B151" s="53">
        <v>8.5909999999999993</v>
      </c>
    </row>
    <row r="152" spans="1:2">
      <c r="A152" s="7">
        <v>3532</v>
      </c>
      <c r="B152" s="53">
        <v>8.7479999999999993</v>
      </c>
    </row>
    <row r="153" spans="1:2">
      <c r="A153" s="7">
        <v>3562</v>
      </c>
      <c r="B153" s="53">
        <v>8.9640000000000004</v>
      </c>
    </row>
    <row r="154" spans="1:2">
      <c r="A154" s="7">
        <v>3593</v>
      </c>
      <c r="B154" s="53">
        <v>9.1259999999999994</v>
      </c>
    </row>
    <row r="155" spans="1:2">
      <c r="A155" s="7">
        <v>3623</v>
      </c>
      <c r="B155" s="53">
        <v>9.2309999999999999</v>
      </c>
    </row>
    <row r="156" spans="1:2">
      <c r="A156" s="7">
        <v>3654</v>
      </c>
      <c r="B156" s="53">
        <v>9.0730000000000004</v>
      </c>
    </row>
    <row r="157" spans="1:2">
      <c r="A157" s="7">
        <v>3685</v>
      </c>
      <c r="B157" s="53">
        <v>9.1110000000000007</v>
      </c>
    </row>
    <row r="158" spans="1:2">
      <c r="A158" s="7">
        <v>3713</v>
      </c>
      <c r="B158" s="53">
        <v>9.1999999999999993</v>
      </c>
    </row>
    <row r="159" spans="1:2">
      <c r="A159" s="7">
        <v>3744</v>
      </c>
      <c r="B159" s="53">
        <v>9.0380000000000003</v>
      </c>
    </row>
    <row r="160" spans="1:2">
      <c r="A160" s="7">
        <v>3774</v>
      </c>
      <c r="B160" s="53">
        <v>8.91</v>
      </c>
    </row>
    <row r="161" spans="1:2">
      <c r="A161" s="7">
        <v>3805</v>
      </c>
      <c r="B161" s="53">
        <v>8.9250000000000007</v>
      </c>
    </row>
    <row r="162" spans="1:2">
      <c r="A162" s="7">
        <v>3835</v>
      </c>
      <c r="B162" s="53">
        <v>8.8219999999999992</v>
      </c>
    </row>
    <row r="163" spans="1:2">
      <c r="A163" s="7">
        <v>3866</v>
      </c>
      <c r="B163" s="53">
        <v>8.952</v>
      </c>
    </row>
    <row r="164" spans="1:2">
      <c r="A164" s="7">
        <v>3897</v>
      </c>
      <c r="B164" s="53">
        <v>8.9269999999999996</v>
      </c>
    </row>
    <row r="165" spans="1:2">
      <c r="A165" s="7">
        <v>3927</v>
      </c>
      <c r="B165" s="53">
        <v>8.8840000000000003</v>
      </c>
    </row>
    <row r="166" spans="1:2">
      <c r="A166" s="7">
        <v>3958</v>
      </c>
      <c r="B166" s="53">
        <v>8.7840000000000007</v>
      </c>
    </row>
    <row r="167" spans="1:2">
      <c r="A167" s="7">
        <v>3988</v>
      </c>
      <c r="B167" s="53">
        <v>8.8360000000000003</v>
      </c>
    </row>
    <row r="168" spans="1:2">
      <c r="A168" s="7">
        <v>4019</v>
      </c>
      <c r="B168" s="53">
        <v>8.766</v>
      </c>
    </row>
    <row r="169" spans="1:2">
      <c r="A169" s="7">
        <v>4050</v>
      </c>
      <c r="B169" s="53">
        <v>8.6920000000000002</v>
      </c>
    </row>
    <row r="170" spans="1:2">
      <c r="A170" s="7">
        <v>4078</v>
      </c>
      <c r="B170" s="53">
        <v>8.5220000000000002</v>
      </c>
    </row>
    <row r="171" spans="1:2">
      <c r="A171" s="7">
        <v>4109</v>
      </c>
      <c r="B171" s="53">
        <v>8.4589999999999996</v>
      </c>
    </row>
    <row r="172" spans="1:2">
      <c r="A172" s="7">
        <v>4139</v>
      </c>
      <c r="B172" s="53">
        <v>8.5289999999999999</v>
      </c>
    </row>
    <row r="173" spans="1:2">
      <c r="A173" s="7">
        <v>4170</v>
      </c>
      <c r="B173" s="53">
        <v>8.5939999999999994</v>
      </c>
    </row>
    <row r="174" spans="1:2">
      <c r="A174" s="7">
        <v>4200</v>
      </c>
      <c r="B174" s="53">
        <v>8.657</v>
      </c>
    </row>
    <row r="175" spans="1:2">
      <c r="A175" s="7">
        <v>4231</v>
      </c>
      <c r="B175" s="53">
        <v>8.8190000000000008</v>
      </c>
    </row>
    <row r="176" spans="1:2">
      <c r="A176" s="7">
        <v>4262</v>
      </c>
      <c r="B176" s="53">
        <v>8.8059999999999992</v>
      </c>
    </row>
    <row r="177" spans="1:2">
      <c r="A177" s="7">
        <v>4292</v>
      </c>
      <c r="B177" s="53">
        <v>8.8919999999999995</v>
      </c>
    </row>
    <row r="178" spans="1:2">
      <c r="A178" s="7">
        <v>4323</v>
      </c>
      <c r="B178" s="53">
        <v>8.9819999999999993</v>
      </c>
    </row>
    <row r="179" spans="1:2">
      <c r="A179" s="7">
        <v>4353</v>
      </c>
      <c r="B179" s="53">
        <v>8.9489999999999998</v>
      </c>
    </row>
    <row r="180" spans="1:2">
      <c r="A180" s="7">
        <v>4384</v>
      </c>
      <c r="B180" s="53">
        <v>8.9580000000000002</v>
      </c>
    </row>
    <row r="181" spans="1:2">
      <c r="A181" s="7">
        <v>4415</v>
      </c>
      <c r="B181" s="53">
        <v>8.9019999999999992</v>
      </c>
    </row>
    <row r="182" spans="1:2">
      <c r="A182" s="7">
        <v>4444</v>
      </c>
      <c r="B182" s="53">
        <v>9.048</v>
      </c>
    </row>
    <row r="183" spans="1:2">
      <c r="A183" s="7">
        <v>4475</v>
      </c>
      <c r="B183" s="53">
        <v>9.27</v>
      </c>
    </row>
    <row r="184" spans="1:2">
      <c r="A184" s="7">
        <v>4505</v>
      </c>
      <c r="B184" s="53">
        <v>9.1020000000000003</v>
      </c>
    </row>
    <row r="185" spans="1:2">
      <c r="A185" s="7">
        <v>4536</v>
      </c>
      <c r="B185" s="53">
        <v>9.1120000000000001</v>
      </c>
    </row>
    <row r="186" spans="1:2">
      <c r="A186" s="7">
        <v>4566</v>
      </c>
      <c r="B186" s="53">
        <v>9.16</v>
      </c>
    </row>
    <row r="187" spans="1:2">
      <c r="A187" s="7">
        <v>4597</v>
      </c>
      <c r="B187" s="53">
        <v>9.2159999999999993</v>
      </c>
    </row>
    <row r="188" spans="1:2">
      <c r="A188" s="7">
        <v>4628</v>
      </c>
      <c r="B188" s="53">
        <v>9.452</v>
      </c>
    </row>
    <row r="189" spans="1:2">
      <c r="A189" s="7">
        <v>4658</v>
      </c>
      <c r="B189" s="53">
        <v>9.4779999999999998</v>
      </c>
    </row>
    <row r="190" spans="1:2">
      <c r="A190" s="7">
        <v>4689</v>
      </c>
      <c r="B190" s="53">
        <v>9.5459999999999994</v>
      </c>
    </row>
    <row r="191" spans="1:2">
      <c r="A191" s="7">
        <v>4719</v>
      </c>
      <c r="B191" s="53">
        <v>9.4939999999999998</v>
      </c>
    </row>
    <row r="192" spans="1:2">
      <c r="A192" s="7">
        <v>4750</v>
      </c>
      <c r="B192" s="53">
        <v>9.4589999999999996</v>
      </c>
    </row>
    <row r="193" spans="1:2">
      <c r="A193" s="7">
        <v>4781</v>
      </c>
      <c r="B193" s="53">
        <v>9.4049999999999994</v>
      </c>
    </row>
    <row r="194" spans="1:2">
      <c r="A194" s="7">
        <v>4809</v>
      </c>
      <c r="B194" s="53">
        <v>9.298</v>
      </c>
    </row>
    <row r="195" spans="1:2">
      <c r="A195" s="7">
        <v>4840</v>
      </c>
      <c r="B195" s="53">
        <v>9.1389999999999993</v>
      </c>
    </row>
    <row r="196" spans="1:2">
      <c r="A196" s="7">
        <v>4870</v>
      </c>
      <c r="B196" s="53">
        <v>9.0719999999999992</v>
      </c>
    </row>
    <row r="197" spans="1:2">
      <c r="A197" s="7">
        <v>4901</v>
      </c>
      <c r="B197" s="53">
        <v>8.952</v>
      </c>
    </row>
    <row r="198" spans="1:2">
      <c r="A198" s="7">
        <v>4931</v>
      </c>
      <c r="B198" s="53">
        <v>9.0120000000000005</v>
      </c>
    </row>
    <row r="199" spans="1:2">
      <c r="A199" s="7">
        <v>4962</v>
      </c>
      <c r="B199" s="53">
        <v>9.1010000000000009</v>
      </c>
    </row>
    <row r="200" spans="1:2">
      <c r="A200" s="7">
        <v>4993</v>
      </c>
      <c r="B200" s="53">
        <v>9.1530000000000005</v>
      </c>
    </row>
    <row r="201" spans="1:2">
      <c r="A201" s="7">
        <v>5023</v>
      </c>
      <c r="B201" s="53">
        <v>9.2249999999999996</v>
      </c>
    </row>
    <row r="202" spans="1:2">
      <c r="A202" s="7">
        <v>5054</v>
      </c>
      <c r="B202" s="53">
        <v>9.2289999999999992</v>
      </c>
    </row>
    <row r="203" spans="1:2">
      <c r="A203" s="7">
        <v>5084</v>
      </c>
      <c r="B203" s="53">
        <v>8.8859999999999992</v>
      </c>
    </row>
    <row r="204" spans="1:2">
      <c r="A204" s="7">
        <v>5115</v>
      </c>
      <c r="B204" s="53">
        <v>8.8620000000000001</v>
      </c>
    </row>
    <row r="205" spans="1:2">
      <c r="A205" s="7">
        <v>5146</v>
      </c>
      <c r="B205" s="53">
        <v>8.8320000000000007</v>
      </c>
    </row>
    <row r="206" spans="1:2">
      <c r="A206" s="7">
        <v>5174</v>
      </c>
      <c r="B206" s="53">
        <v>8.7560000000000002</v>
      </c>
    </row>
    <row r="207" spans="1:2">
      <c r="A207" s="7">
        <v>5205</v>
      </c>
      <c r="B207" s="53">
        <v>8.6219999999999999</v>
      </c>
    </row>
    <row r="208" spans="1:2">
      <c r="A208" s="7">
        <v>5235</v>
      </c>
      <c r="B208" s="53">
        <v>8.6219999999999999</v>
      </c>
    </row>
    <row r="209" spans="1:2">
      <c r="A209" s="7">
        <v>5266</v>
      </c>
      <c r="B209" s="53">
        <v>8.657</v>
      </c>
    </row>
    <row r="210" spans="1:2">
      <c r="A210" s="7">
        <v>5296</v>
      </c>
      <c r="B210" s="53">
        <v>8.7089999999999996</v>
      </c>
    </row>
    <row r="211" spans="1:2">
      <c r="A211" s="7">
        <v>5327</v>
      </c>
      <c r="B211" s="53">
        <v>9.7569999999999997</v>
      </c>
    </row>
    <row r="212" spans="1:2">
      <c r="A212" s="7">
        <v>5358</v>
      </c>
      <c r="B212" s="53">
        <v>9.2420000000000009</v>
      </c>
    </row>
    <row r="213" spans="1:2">
      <c r="A213" s="7">
        <v>5388</v>
      </c>
      <c r="B213" s="53">
        <v>8.8620000000000001</v>
      </c>
    </row>
    <row r="214" spans="1:2">
      <c r="A214" s="7">
        <v>5419</v>
      </c>
      <c r="B214" s="53">
        <v>9.0350000000000001</v>
      </c>
    </row>
    <row r="215" spans="1:2">
      <c r="A215" s="7">
        <v>5449</v>
      </c>
      <c r="B215" s="53">
        <v>9.1430000000000007</v>
      </c>
    </row>
    <row r="216" spans="1:2">
      <c r="A216" s="7">
        <v>5480</v>
      </c>
      <c r="B216" s="53">
        <v>9.6620000000000008</v>
      </c>
    </row>
    <row r="217" spans="1:2">
      <c r="A217" s="7">
        <v>5511</v>
      </c>
      <c r="B217" s="53">
        <v>9.6199999999999992</v>
      </c>
    </row>
    <row r="218" spans="1:2">
      <c r="A218" s="7">
        <v>5539</v>
      </c>
      <c r="B218" s="53">
        <v>9.7750000000000004</v>
      </c>
    </row>
    <row r="219" spans="1:2">
      <c r="A219" s="7">
        <v>5570</v>
      </c>
      <c r="B219" s="53">
        <v>9.798</v>
      </c>
    </row>
    <row r="220" spans="1:2">
      <c r="A220" s="7">
        <v>5600</v>
      </c>
      <c r="B220" s="53">
        <v>9.7430000000000003</v>
      </c>
    </row>
    <row r="221" spans="1:2">
      <c r="A221" s="7">
        <v>5631</v>
      </c>
      <c r="B221" s="53">
        <v>9.8699999999999992</v>
      </c>
    </row>
    <row r="222" spans="1:2">
      <c r="A222" s="7">
        <v>5661</v>
      </c>
      <c r="B222" s="53">
        <v>9.8209999999999997</v>
      </c>
    </row>
    <row r="223" spans="1:2">
      <c r="A223" s="7">
        <v>5692</v>
      </c>
      <c r="B223" s="53">
        <v>9.8030000000000008</v>
      </c>
    </row>
    <row r="224" spans="1:2">
      <c r="A224" s="7">
        <v>5723</v>
      </c>
      <c r="B224" s="53">
        <v>9.9770000000000003</v>
      </c>
    </row>
    <row r="225" spans="1:2">
      <c r="A225" s="7">
        <v>5753</v>
      </c>
      <c r="B225" s="53">
        <v>10.377000000000001</v>
      </c>
    </row>
    <row r="226" spans="1:2">
      <c r="A226" s="7">
        <v>5784</v>
      </c>
      <c r="B226" s="53">
        <v>10.647</v>
      </c>
    </row>
    <row r="227" spans="1:2">
      <c r="A227" s="7">
        <v>5814</v>
      </c>
      <c r="B227" s="53">
        <v>10.916</v>
      </c>
    </row>
    <row r="228" spans="1:2">
      <c r="A228" s="7">
        <v>5845</v>
      </c>
      <c r="B228" s="53">
        <v>11.141999999999999</v>
      </c>
    </row>
    <row r="229" spans="1:2">
      <c r="A229" s="7">
        <v>5876</v>
      </c>
      <c r="B229" s="53">
        <v>11.375999999999999</v>
      </c>
    </row>
    <row r="230" spans="1:2">
      <c r="A230" s="7">
        <v>5905</v>
      </c>
      <c r="B230" s="53">
        <v>11.76</v>
      </c>
    </row>
    <row r="231" spans="1:2">
      <c r="A231" s="7">
        <v>5936</v>
      </c>
      <c r="B231" s="53">
        <v>11.747999999999999</v>
      </c>
    </row>
    <row r="232" spans="1:2">
      <c r="A232" s="7">
        <v>5966</v>
      </c>
      <c r="B232" s="53">
        <v>11.689</v>
      </c>
    </row>
    <row r="233" spans="1:2">
      <c r="A233" s="7">
        <v>5997</v>
      </c>
      <c r="B233" s="53">
        <v>11.529</v>
      </c>
    </row>
    <row r="234" spans="1:2">
      <c r="A234" s="7">
        <v>6027</v>
      </c>
      <c r="B234" s="53">
        <v>11.441000000000001</v>
      </c>
    </row>
    <row r="235" spans="1:2">
      <c r="A235" s="7">
        <v>6058</v>
      </c>
      <c r="B235" s="53">
        <v>11.78</v>
      </c>
    </row>
    <row r="236" spans="1:2">
      <c r="A236" s="7">
        <v>6089</v>
      </c>
      <c r="B236" s="53">
        <v>12.04</v>
      </c>
    </row>
    <row r="237" spans="1:2">
      <c r="A237" s="7">
        <v>6119</v>
      </c>
      <c r="B237" s="53">
        <v>12.798999999999999</v>
      </c>
    </row>
    <row r="238" spans="1:2">
      <c r="A238" s="7">
        <v>6150</v>
      </c>
      <c r="B238" s="53">
        <v>13.663</v>
      </c>
    </row>
    <row r="239" spans="1:2">
      <c r="A239" s="7">
        <v>6180</v>
      </c>
      <c r="B239" s="53">
        <v>13.728</v>
      </c>
    </row>
    <row r="240" spans="1:2">
      <c r="A240" s="7">
        <v>6211</v>
      </c>
      <c r="B240" s="53">
        <v>13.943</v>
      </c>
    </row>
    <row r="241" spans="1:2">
      <c r="A241" s="7">
        <v>6242</v>
      </c>
      <c r="B241" s="53">
        <v>14.135999999999999</v>
      </c>
    </row>
    <row r="242" spans="1:2">
      <c r="A242" s="7">
        <v>6270</v>
      </c>
      <c r="B242" s="53">
        <v>14.577</v>
      </c>
    </row>
    <row r="243" spans="1:2">
      <c r="A243" s="7">
        <v>6301</v>
      </c>
      <c r="B243" s="53">
        <v>15.12</v>
      </c>
    </row>
    <row r="244" spans="1:2">
      <c r="A244" s="7">
        <v>6331</v>
      </c>
      <c r="B244" s="53">
        <v>15.468</v>
      </c>
    </row>
    <row r="245" spans="1:2">
      <c r="A245" s="7">
        <v>6362</v>
      </c>
      <c r="B245" s="53">
        <v>16.068000000000001</v>
      </c>
    </row>
    <row r="246" spans="1:2">
      <c r="A246" s="7">
        <v>6392</v>
      </c>
      <c r="B246" s="53">
        <v>16.398</v>
      </c>
    </row>
    <row r="247" spans="1:2">
      <c r="A247" s="7">
        <v>6423</v>
      </c>
      <c r="B247" s="53">
        <v>16.643999999999998</v>
      </c>
    </row>
    <row r="248" spans="1:2">
      <c r="A248" s="7">
        <v>6454</v>
      </c>
      <c r="B248" s="53">
        <v>16.914000000000001</v>
      </c>
    </row>
    <row r="249" spans="1:2">
      <c r="A249" s="7">
        <v>6484</v>
      </c>
      <c r="B249" s="53">
        <v>17.07</v>
      </c>
    </row>
    <row r="250" spans="1:2">
      <c r="A250" s="7">
        <v>6515</v>
      </c>
      <c r="B250" s="53">
        <v>17.597000000000001</v>
      </c>
    </row>
    <row r="251" spans="1:2">
      <c r="A251" s="7">
        <v>6545</v>
      </c>
      <c r="B251" s="53">
        <v>17.943999999999999</v>
      </c>
    </row>
    <row r="252" spans="1:2">
      <c r="A252" s="7">
        <v>6576</v>
      </c>
      <c r="B252" s="53">
        <v>18.050999999999998</v>
      </c>
    </row>
    <row r="253" spans="1:2">
      <c r="A253" s="7">
        <v>6607</v>
      </c>
      <c r="B253" s="53">
        <v>18.050999999999998</v>
      </c>
    </row>
    <row r="254" spans="1:2">
      <c r="A254" s="7">
        <v>6635</v>
      </c>
      <c r="B254" s="53">
        <v>18.443000000000001</v>
      </c>
    </row>
    <row r="255" spans="1:2">
      <c r="A255" s="7">
        <v>6666</v>
      </c>
      <c r="B255" s="53">
        <v>18.890999999999998</v>
      </c>
    </row>
    <row r="256" spans="1:2">
      <c r="A256" s="7">
        <v>6696</v>
      </c>
      <c r="B256" s="53">
        <v>18.981999999999999</v>
      </c>
    </row>
    <row r="257" spans="1:2">
      <c r="A257" s="7">
        <v>6727</v>
      </c>
      <c r="B257" s="53">
        <v>19.161999999999999</v>
      </c>
    </row>
    <row r="258" spans="1:2">
      <c r="A258" s="7">
        <v>6757</v>
      </c>
      <c r="B258" s="53">
        <v>19.094000000000001</v>
      </c>
    </row>
    <row r="259" spans="1:2">
      <c r="A259" s="7">
        <v>6788</v>
      </c>
      <c r="B259" s="53">
        <v>19.026</v>
      </c>
    </row>
    <row r="260" spans="1:2">
      <c r="A260" s="7">
        <v>6819</v>
      </c>
      <c r="B260" s="53">
        <v>18.994</v>
      </c>
    </row>
    <row r="261" spans="1:2">
      <c r="A261" s="7">
        <v>6849</v>
      </c>
      <c r="B261" s="53">
        <v>18.888000000000002</v>
      </c>
    </row>
    <row r="262" spans="1:2">
      <c r="A262" s="7">
        <v>6880</v>
      </c>
      <c r="B262" s="53">
        <v>19.015000000000001</v>
      </c>
    </row>
    <row r="263" spans="1:2">
      <c r="A263" s="7">
        <v>6910</v>
      </c>
      <c r="B263" s="53">
        <v>18.535</v>
      </c>
    </row>
    <row r="264" spans="1:2">
      <c r="A264" s="7">
        <v>6941</v>
      </c>
      <c r="B264" s="53">
        <v>17.634</v>
      </c>
    </row>
    <row r="265" spans="1:2">
      <c r="A265" s="7">
        <v>6972</v>
      </c>
      <c r="B265" s="53">
        <v>17.224</v>
      </c>
    </row>
    <row r="266" spans="1:2">
      <c r="A266" s="7">
        <v>7000</v>
      </c>
      <c r="B266" s="53">
        <v>17.28</v>
      </c>
    </row>
    <row r="267" spans="1:2">
      <c r="A267" s="7">
        <v>7031</v>
      </c>
      <c r="B267" s="53">
        <v>17.238</v>
      </c>
    </row>
    <row r="268" spans="1:2">
      <c r="A268" s="7">
        <v>7061</v>
      </c>
      <c r="B268" s="53">
        <v>18.09</v>
      </c>
    </row>
    <row r="269" spans="1:2">
      <c r="A269" s="7">
        <v>7092</v>
      </c>
      <c r="B269" s="53">
        <v>18.896000000000001</v>
      </c>
    </row>
    <row r="270" spans="1:2">
      <c r="A270" s="7">
        <v>7122</v>
      </c>
      <c r="B270" s="53">
        <v>20.001999999999999</v>
      </c>
    </row>
    <row r="271" spans="1:2">
      <c r="A271" s="7">
        <v>7153</v>
      </c>
      <c r="B271" s="53">
        <v>19.472000000000001</v>
      </c>
    </row>
    <row r="272" spans="1:2">
      <c r="A272" s="7">
        <v>7184</v>
      </c>
      <c r="B272" s="53">
        <v>19.521999999999998</v>
      </c>
    </row>
    <row r="273" spans="1:2">
      <c r="A273" s="7">
        <v>7214</v>
      </c>
      <c r="B273" s="53">
        <v>19.902999999999999</v>
      </c>
    </row>
    <row r="274" spans="1:2">
      <c r="A274" s="7">
        <v>7245</v>
      </c>
      <c r="B274" s="53">
        <v>20.175999999999998</v>
      </c>
    </row>
    <row r="275" spans="1:2">
      <c r="A275" s="7">
        <v>7275</v>
      </c>
      <c r="B275" s="53">
        <v>20.364000000000001</v>
      </c>
    </row>
    <row r="276" spans="1:2">
      <c r="A276" s="7">
        <v>7306</v>
      </c>
      <c r="B276" s="53">
        <v>20.869</v>
      </c>
    </row>
    <row r="277" spans="1:2">
      <c r="A277" s="7">
        <v>7337</v>
      </c>
      <c r="B277" s="53">
        <v>20.795000000000002</v>
      </c>
    </row>
    <row r="278" spans="1:2">
      <c r="A278" s="7">
        <v>7366</v>
      </c>
      <c r="B278" s="53">
        <v>20.712</v>
      </c>
    </row>
    <row r="279" spans="1:2">
      <c r="A279" s="7">
        <v>7397</v>
      </c>
      <c r="B279" s="53">
        <v>20.734000000000002</v>
      </c>
    </row>
    <row r="280" spans="1:2">
      <c r="A280" s="7">
        <v>7427</v>
      </c>
      <c r="B280" s="53">
        <v>19.875</v>
      </c>
    </row>
    <row r="281" spans="1:2">
      <c r="A281" s="7">
        <v>7458</v>
      </c>
      <c r="B281" s="53">
        <v>19.353000000000002</v>
      </c>
    </row>
    <row r="282" spans="1:2">
      <c r="A282" s="7">
        <v>7488</v>
      </c>
      <c r="B282" s="53">
        <v>18.827000000000002</v>
      </c>
    </row>
    <row r="283" spans="1:2">
      <c r="A283" s="7">
        <v>7519</v>
      </c>
      <c r="B283" s="53">
        <v>17.975000000000001</v>
      </c>
    </row>
    <row r="284" spans="1:2">
      <c r="A284" s="7">
        <v>7550</v>
      </c>
      <c r="B284" s="53">
        <v>16.908999999999999</v>
      </c>
    </row>
    <row r="285" spans="1:2">
      <c r="A285" s="7">
        <v>7580</v>
      </c>
      <c r="B285" s="53">
        <v>15.675000000000001</v>
      </c>
    </row>
    <row r="286" spans="1:2">
      <c r="A286" s="7">
        <v>7611</v>
      </c>
      <c r="B286" s="53">
        <v>13.625999999999999</v>
      </c>
    </row>
    <row r="287" spans="1:2">
      <c r="A287" s="7">
        <v>7641</v>
      </c>
      <c r="B287" s="53">
        <v>12.663</v>
      </c>
    </row>
    <row r="288" spans="1:2">
      <c r="A288" s="7">
        <v>7672</v>
      </c>
      <c r="B288" s="53">
        <v>12.369</v>
      </c>
    </row>
    <row r="289" spans="1:2">
      <c r="A289" s="7">
        <v>7703</v>
      </c>
      <c r="B289" s="53">
        <v>11.865</v>
      </c>
    </row>
    <row r="290" spans="1:2">
      <c r="A290" s="7">
        <v>7731</v>
      </c>
      <c r="B290" s="53">
        <v>11.375</v>
      </c>
    </row>
    <row r="291" spans="1:2">
      <c r="A291" s="7">
        <v>7762</v>
      </c>
      <c r="B291" s="53">
        <v>10.821</v>
      </c>
    </row>
    <row r="292" spans="1:2">
      <c r="A292" s="7">
        <v>7792</v>
      </c>
      <c r="B292" s="53">
        <v>10.617000000000001</v>
      </c>
    </row>
    <row r="293" spans="1:2">
      <c r="A293" s="7">
        <v>7823</v>
      </c>
      <c r="B293" s="53">
        <v>10.728</v>
      </c>
    </row>
    <row r="294" spans="1:2">
      <c r="A294" s="7">
        <v>7853</v>
      </c>
      <c r="B294" s="53">
        <v>11.058</v>
      </c>
    </row>
    <row r="295" spans="1:2">
      <c r="A295" s="7">
        <v>7884</v>
      </c>
      <c r="B295" s="53">
        <v>11.087</v>
      </c>
    </row>
    <row r="296" spans="1:2">
      <c r="A296" s="7">
        <v>7915</v>
      </c>
      <c r="B296" s="53">
        <v>11.188000000000001</v>
      </c>
    </row>
    <row r="297" spans="1:2">
      <c r="A297" s="7">
        <v>7945</v>
      </c>
      <c r="B297" s="53">
        <v>11.351000000000001</v>
      </c>
    </row>
    <row r="298" spans="1:2">
      <c r="A298" s="7">
        <v>7976</v>
      </c>
      <c r="B298" s="53">
        <v>11.313000000000001</v>
      </c>
    </row>
    <row r="299" spans="1:2">
      <c r="A299" s="7">
        <v>8006</v>
      </c>
      <c r="B299" s="53">
        <v>11.372</v>
      </c>
    </row>
    <row r="300" spans="1:2">
      <c r="A300" s="7">
        <v>8037</v>
      </c>
      <c r="B300" s="53">
        <v>11.419</v>
      </c>
    </row>
    <row r="301" spans="1:2">
      <c r="A301" s="7">
        <v>8068</v>
      </c>
      <c r="B301" s="53">
        <v>11.6</v>
      </c>
    </row>
    <row r="302" spans="1:2">
      <c r="A302" s="7">
        <v>8096</v>
      </c>
      <c r="B302" s="53">
        <v>11.532</v>
      </c>
    </row>
    <row r="303" spans="1:2">
      <c r="A303" s="7">
        <v>8127</v>
      </c>
      <c r="B303" s="53">
        <v>11.704000000000001</v>
      </c>
    </row>
    <row r="304" spans="1:2">
      <c r="A304" s="7">
        <v>8157</v>
      </c>
      <c r="B304" s="53">
        <v>11.903</v>
      </c>
    </row>
    <row r="305" spans="1:2">
      <c r="A305" s="7">
        <v>8188</v>
      </c>
      <c r="B305" s="53">
        <v>12.106999999999999</v>
      </c>
    </row>
    <row r="306" spans="1:2">
      <c r="A306" s="7">
        <v>8218</v>
      </c>
      <c r="B306" s="53">
        <v>12.069000000000001</v>
      </c>
    </row>
    <row r="307" spans="1:2">
      <c r="A307" s="7">
        <v>8249</v>
      </c>
      <c r="B307" s="53">
        <v>12.079000000000001</v>
      </c>
    </row>
    <row r="308" spans="1:2">
      <c r="A308" s="7">
        <v>8280</v>
      </c>
      <c r="B308" s="53">
        <v>12.504</v>
      </c>
    </row>
    <row r="309" spans="1:2">
      <c r="A309" s="7">
        <v>8310</v>
      </c>
      <c r="B309" s="53">
        <v>13.348000000000001</v>
      </c>
    </row>
    <row r="310" spans="1:2">
      <c r="A310" s="7">
        <v>8341</v>
      </c>
      <c r="B310" s="53">
        <v>13.784000000000001</v>
      </c>
    </row>
    <row r="311" spans="1:2">
      <c r="A311" s="7">
        <v>8371</v>
      </c>
      <c r="B311" s="53">
        <v>13.701000000000001</v>
      </c>
    </row>
    <row r="312" spans="1:2">
      <c r="A312" s="7">
        <v>8402</v>
      </c>
      <c r="B312" s="53">
        <v>13.724</v>
      </c>
    </row>
    <row r="313" spans="1:2">
      <c r="A313" s="7">
        <v>8433</v>
      </c>
      <c r="B313" s="53">
        <v>13.933</v>
      </c>
    </row>
    <row r="314" spans="1:2">
      <c r="A314" s="7">
        <v>8461</v>
      </c>
      <c r="B314" s="53">
        <v>13.93</v>
      </c>
    </row>
    <row r="315" spans="1:2">
      <c r="A315" s="7">
        <v>8492</v>
      </c>
      <c r="B315" s="53">
        <v>13.666</v>
      </c>
    </row>
    <row r="316" spans="1:2">
      <c r="A316" s="7">
        <v>8522</v>
      </c>
      <c r="B316" s="53">
        <v>13.384</v>
      </c>
    </row>
    <row r="317" spans="1:2">
      <c r="A317" s="7">
        <v>8553</v>
      </c>
      <c r="B317" s="53">
        <v>13.09</v>
      </c>
    </row>
    <row r="318" spans="1:2">
      <c r="A318" s="7">
        <v>8583</v>
      </c>
      <c r="B318" s="53">
        <v>12.82</v>
      </c>
    </row>
    <row r="319" spans="1:2">
      <c r="A319" s="7">
        <v>8614</v>
      </c>
      <c r="B319" s="53">
        <v>12.914</v>
      </c>
    </row>
    <row r="320" spans="1:2">
      <c r="A320" s="7">
        <v>8645</v>
      </c>
      <c r="B320" s="53">
        <v>13.097</v>
      </c>
    </row>
    <row r="321" spans="1:2">
      <c r="A321" s="7">
        <v>8675</v>
      </c>
      <c r="B321" s="53">
        <v>13.138</v>
      </c>
    </row>
    <row r="322" spans="1:2">
      <c r="A322" s="7">
        <v>8706</v>
      </c>
      <c r="B322" s="53">
        <v>13.436</v>
      </c>
    </row>
    <row r="323" spans="1:2">
      <c r="A323" s="7">
        <v>8736</v>
      </c>
      <c r="B323" s="53">
        <v>13.271000000000001</v>
      </c>
    </row>
    <row r="324" spans="1:2">
      <c r="A324" s="7">
        <v>8767</v>
      </c>
      <c r="B324" s="53">
        <v>13.196999999999999</v>
      </c>
    </row>
    <row r="325" spans="1:2">
      <c r="A325" s="7">
        <v>8798</v>
      </c>
      <c r="B325" s="53">
        <v>12.896000000000001</v>
      </c>
    </row>
    <row r="326" spans="1:2">
      <c r="A326" s="7">
        <v>8827</v>
      </c>
      <c r="B326" s="53">
        <v>12.657</v>
      </c>
    </row>
    <row r="327" spans="1:2">
      <c r="A327" s="7">
        <v>8858</v>
      </c>
      <c r="B327" s="53">
        <v>12.557</v>
      </c>
    </row>
    <row r="328" spans="1:2">
      <c r="A328" s="7">
        <v>8888</v>
      </c>
      <c r="B328" s="53">
        <v>12.292999999999999</v>
      </c>
    </row>
    <row r="329" spans="1:2">
      <c r="A329" s="7">
        <v>8919</v>
      </c>
      <c r="B329" s="53">
        <v>12.226000000000001</v>
      </c>
    </row>
    <row r="330" spans="1:2">
      <c r="A330" s="7">
        <v>8949</v>
      </c>
      <c r="B330" s="53">
        <v>12.622999999999999</v>
      </c>
    </row>
    <row r="331" spans="1:2">
      <c r="A331" s="7">
        <v>8980</v>
      </c>
      <c r="B331" s="53">
        <v>12.81</v>
      </c>
    </row>
    <row r="332" spans="1:2">
      <c r="A332" s="7">
        <v>9011</v>
      </c>
      <c r="B332" s="53">
        <v>12.999000000000001</v>
      </c>
    </row>
    <row r="333" spans="1:2">
      <c r="A333" s="7">
        <v>9041</v>
      </c>
      <c r="B333" s="53">
        <v>13.35</v>
      </c>
    </row>
    <row r="334" spans="1:2">
      <c r="A334" s="7">
        <v>9072</v>
      </c>
      <c r="B334" s="53">
        <v>13.529</v>
      </c>
    </row>
    <row r="335" spans="1:2">
      <c r="A335" s="7">
        <v>9102</v>
      </c>
      <c r="B335" s="53">
        <v>13.935</v>
      </c>
    </row>
    <row r="336" spans="1:2">
      <c r="A336" s="7">
        <v>9133</v>
      </c>
      <c r="B336" s="53">
        <v>13.885</v>
      </c>
    </row>
    <row r="337" spans="1:2">
      <c r="A337" s="7">
        <v>9164</v>
      </c>
      <c r="B337" s="53">
        <v>13.835000000000001</v>
      </c>
    </row>
    <row r="338" spans="1:2">
      <c r="A338" s="7">
        <v>9192</v>
      </c>
      <c r="B338" s="53">
        <v>13.685</v>
      </c>
    </row>
    <row r="339" spans="1:2">
      <c r="A339" s="7">
        <v>9223</v>
      </c>
      <c r="B339" s="53">
        <v>13.317</v>
      </c>
    </row>
    <row r="340" spans="1:2">
      <c r="A340" s="7">
        <v>9253</v>
      </c>
      <c r="B340" s="53">
        <v>13.618</v>
      </c>
    </row>
    <row r="341" spans="1:2">
      <c r="A341" s="7">
        <v>9284</v>
      </c>
      <c r="B341" s="53">
        <v>13.853</v>
      </c>
    </row>
    <row r="342" spans="1:2">
      <c r="A342" s="7">
        <v>9314</v>
      </c>
      <c r="B342" s="53">
        <v>14.244</v>
      </c>
    </row>
    <row r="343" spans="1:2">
      <c r="A343" s="7">
        <v>9345</v>
      </c>
      <c r="B343" s="53">
        <v>14.087999999999999</v>
      </c>
    </row>
    <row r="344" spans="1:2">
      <c r="A344" s="7">
        <v>9376</v>
      </c>
      <c r="B344" s="53">
        <v>14.151999999999999</v>
      </c>
    </row>
    <row r="345" spans="1:2">
      <c r="A345" s="7">
        <v>9406</v>
      </c>
      <c r="B345" s="53">
        <v>14.317</v>
      </c>
    </row>
    <row r="346" spans="1:2">
      <c r="A346" s="7">
        <v>9437</v>
      </c>
      <c r="B346" s="53">
        <v>14.404999999999999</v>
      </c>
    </row>
    <row r="347" spans="1:2">
      <c r="A347" s="7">
        <v>9467</v>
      </c>
      <c r="B347" s="53">
        <v>14.015000000000001</v>
      </c>
    </row>
    <row r="348" spans="1:2">
      <c r="A348" s="7">
        <v>9498</v>
      </c>
      <c r="B348" s="53">
        <v>13.723000000000001</v>
      </c>
    </row>
    <row r="349" spans="1:2">
      <c r="A349" s="7">
        <v>9529</v>
      </c>
      <c r="B349" s="53">
        <v>13.398</v>
      </c>
    </row>
    <row r="350" spans="1:2">
      <c r="A350" s="7">
        <v>9557</v>
      </c>
      <c r="B350" s="53">
        <v>13.106</v>
      </c>
    </row>
    <row r="351" spans="1:2">
      <c r="A351" s="7">
        <v>9588</v>
      </c>
      <c r="B351" s="53">
        <v>12.862</v>
      </c>
    </row>
    <row r="352" spans="1:2">
      <c r="A352" s="7">
        <v>9618</v>
      </c>
      <c r="B352" s="53">
        <v>12.759</v>
      </c>
    </row>
    <row r="353" spans="1:2">
      <c r="A353" s="7">
        <v>9649</v>
      </c>
      <c r="B353" s="53">
        <v>12.738</v>
      </c>
    </row>
    <row r="354" spans="1:2">
      <c r="A354" s="7">
        <v>9679</v>
      </c>
      <c r="B354" s="53">
        <v>12.644</v>
      </c>
    </row>
    <row r="355" spans="1:2">
      <c r="A355" s="7">
        <v>9710</v>
      </c>
      <c r="B355" s="53">
        <v>12.696999999999999</v>
      </c>
    </row>
    <row r="356" spans="1:2">
      <c r="A356" s="7">
        <v>9741</v>
      </c>
      <c r="B356" s="53">
        <v>12.786</v>
      </c>
    </row>
    <row r="357" spans="1:2">
      <c r="A357" s="7">
        <v>9771</v>
      </c>
      <c r="B357" s="53">
        <v>12.737</v>
      </c>
    </row>
    <row r="358" spans="1:2">
      <c r="A358" s="7">
        <v>9802</v>
      </c>
      <c r="B358" s="53">
        <v>12.784000000000001</v>
      </c>
    </row>
    <row r="359" spans="1:2">
      <c r="A359" s="7">
        <v>9832</v>
      </c>
      <c r="B359" s="53">
        <v>12.82</v>
      </c>
    </row>
    <row r="360" spans="1:2">
      <c r="A360" s="7">
        <v>9863</v>
      </c>
      <c r="B360" s="53">
        <v>12.515000000000001</v>
      </c>
    </row>
    <row r="361" spans="1:2">
      <c r="A361" s="7">
        <v>9894</v>
      </c>
      <c r="B361" s="53">
        <v>12.554</v>
      </c>
    </row>
    <row r="362" spans="1:2">
      <c r="A362" s="7">
        <v>9922</v>
      </c>
      <c r="B362" s="53">
        <v>12.531000000000001</v>
      </c>
    </row>
    <row r="363" spans="1:2">
      <c r="A363" s="7">
        <v>9953</v>
      </c>
      <c r="B363" s="53">
        <v>12.44</v>
      </c>
    </row>
    <row r="364" spans="1:2">
      <c r="A364" s="7">
        <v>9983</v>
      </c>
      <c r="B364" s="53">
        <v>12.426</v>
      </c>
    </row>
    <row r="365" spans="1:2">
      <c r="A365" s="7">
        <v>10014</v>
      </c>
      <c r="B365" s="53">
        <v>12.38</v>
      </c>
    </row>
    <row r="366" spans="1:2">
      <c r="A366" s="7">
        <v>10044</v>
      </c>
      <c r="B366" s="53">
        <v>12.583</v>
      </c>
    </row>
    <row r="367" spans="1:2">
      <c r="A367" s="7">
        <v>10075</v>
      </c>
      <c r="B367" s="53">
        <v>12.901999999999999</v>
      </c>
    </row>
    <row r="368" spans="1:2">
      <c r="A368" s="7">
        <v>10106</v>
      </c>
      <c r="B368" s="53">
        <v>13.265000000000001</v>
      </c>
    </row>
    <row r="369" spans="1:2">
      <c r="A369" s="7">
        <v>10136</v>
      </c>
      <c r="B369" s="53">
        <v>13.394</v>
      </c>
    </row>
    <row r="370" spans="1:2">
      <c r="A370" s="7">
        <v>10167</v>
      </c>
      <c r="B370" s="53">
        <v>13.535</v>
      </c>
    </row>
    <row r="371" spans="1:2">
      <c r="A371" s="7">
        <v>10197</v>
      </c>
      <c r="B371" s="53">
        <v>13.573</v>
      </c>
    </row>
    <row r="372" spans="1:2">
      <c r="A372" s="7">
        <v>10228</v>
      </c>
      <c r="B372" s="53">
        <v>13.526</v>
      </c>
    </row>
    <row r="373" spans="1:2">
      <c r="A373" s="7">
        <v>10259</v>
      </c>
      <c r="B373" s="53">
        <v>13.340999999999999</v>
      </c>
    </row>
    <row r="374" spans="1:2">
      <c r="A374" s="7">
        <v>10288</v>
      </c>
      <c r="B374" s="53">
        <v>13.416</v>
      </c>
    </row>
    <row r="375" spans="1:2">
      <c r="A375" s="7">
        <v>10319</v>
      </c>
      <c r="B375" s="53">
        <v>13.438000000000001</v>
      </c>
    </row>
    <row r="376" spans="1:2">
      <c r="A376" s="7">
        <v>10349</v>
      </c>
      <c r="B376" s="53">
        <v>13.191000000000001</v>
      </c>
    </row>
    <row r="377" spans="1:2">
      <c r="A377" s="7">
        <v>10380</v>
      </c>
      <c r="B377" s="53">
        <v>13.141999999999999</v>
      </c>
    </row>
    <row r="378" spans="1:2">
      <c r="A378" s="7">
        <v>10410</v>
      </c>
      <c r="B378" s="53">
        <v>13.19</v>
      </c>
    </row>
    <row r="379" spans="1:2">
      <c r="A379" s="7">
        <v>10441</v>
      </c>
      <c r="B379" s="53">
        <v>13.281000000000001</v>
      </c>
    </row>
    <row r="380" spans="1:2">
      <c r="A380" s="7">
        <v>10472</v>
      </c>
      <c r="B380" s="53">
        <v>13.128</v>
      </c>
    </row>
    <row r="381" spans="1:2">
      <c r="A381" s="7">
        <v>10502</v>
      </c>
      <c r="B381" s="53">
        <v>13.013</v>
      </c>
    </row>
    <row r="382" spans="1:2">
      <c r="A382" s="7">
        <v>10533</v>
      </c>
      <c r="B382" s="53">
        <v>13.148</v>
      </c>
    </row>
    <row r="383" spans="1:2">
      <c r="A383" s="7">
        <v>10563</v>
      </c>
      <c r="B383" s="53">
        <v>12.965</v>
      </c>
    </row>
    <row r="384" spans="1:2">
      <c r="A384" s="7">
        <v>10594</v>
      </c>
      <c r="B384" s="53">
        <v>12.983000000000001</v>
      </c>
    </row>
    <row r="385" spans="1:2">
      <c r="A385" s="7">
        <v>10625</v>
      </c>
      <c r="B385" s="53">
        <v>13</v>
      </c>
    </row>
    <row r="386" spans="1:2">
      <c r="A386" s="7">
        <v>10653</v>
      </c>
      <c r="B386" s="53">
        <v>12.869</v>
      </c>
    </row>
    <row r="387" spans="1:2">
      <c r="A387" s="7">
        <v>10684</v>
      </c>
      <c r="B387" s="53">
        <v>12.676</v>
      </c>
    </row>
    <row r="388" spans="1:2">
      <c r="A388" s="7">
        <v>10714</v>
      </c>
      <c r="B388" s="53">
        <v>12.456</v>
      </c>
    </row>
    <row r="389" spans="1:2">
      <c r="A389" s="7">
        <v>10745</v>
      </c>
      <c r="B389" s="53">
        <v>12.484999999999999</v>
      </c>
    </row>
    <row r="390" spans="1:2">
      <c r="A390" s="7">
        <v>10775</v>
      </c>
      <c r="B390" s="53">
        <v>12.631</v>
      </c>
    </row>
    <row r="391" spans="1:2">
      <c r="A391" s="7">
        <v>10806</v>
      </c>
      <c r="B391" s="53">
        <v>12.666</v>
      </c>
    </row>
    <row r="392" spans="1:2">
      <c r="A392" s="7">
        <v>10837</v>
      </c>
      <c r="B392" s="53">
        <v>12.702999999999999</v>
      </c>
    </row>
    <row r="393" spans="1:2">
      <c r="A393" s="7">
        <v>10867</v>
      </c>
      <c r="B393" s="53">
        <v>12.401</v>
      </c>
    </row>
    <row r="394" spans="1:2">
      <c r="A394" s="7">
        <v>10898</v>
      </c>
      <c r="B394" s="53">
        <v>12.237</v>
      </c>
    </row>
    <row r="395" spans="1:2">
      <c r="A395" s="7">
        <v>10928</v>
      </c>
      <c r="B395" s="53">
        <v>11.68</v>
      </c>
    </row>
    <row r="396" spans="1:2">
      <c r="A396" s="7">
        <v>10959</v>
      </c>
      <c r="B396" s="53">
        <v>11.513999999999999</v>
      </c>
    </row>
    <row r="397" spans="1:2">
      <c r="A397" s="7">
        <v>10990</v>
      </c>
      <c r="B397" s="53">
        <v>11.224</v>
      </c>
    </row>
    <row r="398" spans="1:2">
      <c r="A398" s="7">
        <v>11018</v>
      </c>
      <c r="B398" s="53">
        <v>11.183</v>
      </c>
    </row>
    <row r="399" spans="1:2">
      <c r="A399" s="7">
        <v>11049</v>
      </c>
      <c r="B399" s="53">
        <v>10.939</v>
      </c>
    </row>
    <row r="400" spans="1:2">
      <c r="A400" s="7">
        <v>11079</v>
      </c>
      <c r="B400" s="53">
        <v>10.773999999999999</v>
      </c>
    </row>
    <row r="401" spans="1:2">
      <c r="A401" s="7">
        <v>11110</v>
      </c>
      <c r="B401" s="53">
        <v>10.561</v>
      </c>
    </row>
    <row r="402" spans="1:2">
      <c r="A402" s="7">
        <v>11140</v>
      </c>
      <c r="B402" s="53">
        <v>10.45</v>
      </c>
    </row>
    <row r="403" spans="1:2">
      <c r="A403" s="7">
        <v>11171</v>
      </c>
      <c r="B403" s="53">
        <v>10.425000000000001</v>
      </c>
    </row>
    <row r="404" spans="1:2">
      <c r="A404" s="7">
        <v>11202</v>
      </c>
      <c r="B404" s="53">
        <v>10.3</v>
      </c>
    </row>
    <row r="405" spans="1:2">
      <c r="A405" s="7">
        <v>11232</v>
      </c>
      <c r="B405" s="53">
        <v>10.057</v>
      </c>
    </row>
    <row r="406" spans="1:2">
      <c r="A406" s="7">
        <v>11263</v>
      </c>
      <c r="B406" s="53">
        <v>9.8350000000000009</v>
      </c>
    </row>
    <row r="407" spans="1:2">
      <c r="A407" s="7">
        <v>11293</v>
      </c>
      <c r="B407" s="53">
        <v>9.5079999999999991</v>
      </c>
    </row>
    <row r="408" spans="1:2">
      <c r="A408" s="7">
        <v>11324</v>
      </c>
      <c r="B408" s="53">
        <v>9.3089999999999993</v>
      </c>
    </row>
    <row r="409" spans="1:2">
      <c r="A409" s="7">
        <v>11355</v>
      </c>
      <c r="B409" s="53">
        <v>9.1690000000000005</v>
      </c>
    </row>
    <row r="410" spans="1:2">
      <c r="A410" s="7">
        <v>11383</v>
      </c>
      <c r="B410" s="53">
        <v>9.2289999999999992</v>
      </c>
    </row>
    <row r="411" spans="1:2">
      <c r="A411" s="7">
        <v>11414</v>
      </c>
      <c r="B411" s="53">
        <v>8.9130000000000003</v>
      </c>
    </row>
    <row r="412" spans="1:2">
      <c r="A412" s="7">
        <v>11444</v>
      </c>
      <c r="B412" s="53">
        <v>8.6419999999999995</v>
      </c>
    </row>
    <row r="413" spans="1:2">
      <c r="A413" s="7">
        <v>11475</v>
      </c>
      <c r="B413" s="53">
        <v>8.7759999999999998</v>
      </c>
    </row>
    <row r="414" spans="1:2">
      <c r="A414" s="7">
        <v>11505</v>
      </c>
      <c r="B414" s="53">
        <v>8.7929999999999993</v>
      </c>
    </row>
    <row r="415" spans="1:2">
      <c r="A415" s="7">
        <v>11536</v>
      </c>
      <c r="B415" s="53">
        <v>8.4909999999999997</v>
      </c>
    </row>
    <row r="416" spans="1:2">
      <c r="A416" s="7">
        <v>11567</v>
      </c>
      <c r="B416" s="53">
        <v>8.2959999999999994</v>
      </c>
    </row>
    <row r="417" spans="1:2">
      <c r="A417" s="7">
        <v>11597</v>
      </c>
      <c r="B417" s="53">
        <v>8.0879999999999992</v>
      </c>
    </row>
    <row r="418" spans="1:2">
      <c r="A418" s="7">
        <v>11628</v>
      </c>
      <c r="B418" s="53">
        <v>7.9119999999999999</v>
      </c>
    </row>
    <row r="419" spans="1:2">
      <c r="A419" s="7">
        <v>11658</v>
      </c>
      <c r="B419" s="53">
        <v>7.7320000000000002</v>
      </c>
    </row>
    <row r="420" spans="1:2">
      <c r="A420" s="7">
        <v>11689</v>
      </c>
      <c r="B420" s="53">
        <v>7.524</v>
      </c>
    </row>
    <row r="421" spans="1:2">
      <c r="A421" s="7">
        <v>11720</v>
      </c>
      <c r="B421" s="53">
        <v>7.319</v>
      </c>
    </row>
    <row r="422" spans="1:2">
      <c r="A422" s="7">
        <v>11749</v>
      </c>
      <c r="B422" s="53">
        <v>7.1520000000000001</v>
      </c>
    </row>
    <row r="423" spans="1:2">
      <c r="A423" s="7">
        <v>11780</v>
      </c>
      <c r="B423" s="53">
        <v>6.9180000000000001</v>
      </c>
    </row>
    <row r="424" spans="1:2">
      <c r="A424" s="7">
        <v>11810</v>
      </c>
      <c r="B424" s="53">
        <v>6.6820000000000004</v>
      </c>
    </row>
    <row r="425" spans="1:2">
      <c r="A425" s="7">
        <v>11841</v>
      </c>
      <c r="B425" s="53">
        <v>6.7270000000000003</v>
      </c>
    </row>
    <row r="426" spans="1:2">
      <c r="A426" s="7">
        <v>11871</v>
      </c>
      <c r="B426" s="53">
        <v>6.7949999999999999</v>
      </c>
    </row>
    <row r="427" spans="1:2">
      <c r="A427" s="7">
        <v>11902</v>
      </c>
      <c r="B427" s="53">
        <v>7.1719999999999997</v>
      </c>
    </row>
    <row r="428" spans="1:2">
      <c r="A428" s="7">
        <v>11933</v>
      </c>
      <c r="B428" s="53">
        <v>7.2750000000000004</v>
      </c>
    </row>
    <row r="429" spans="1:2">
      <c r="A429" s="7">
        <v>11963</v>
      </c>
      <c r="B429" s="53">
        <v>6.9660000000000002</v>
      </c>
    </row>
    <row r="430" spans="1:2">
      <c r="A430" s="7">
        <v>11994</v>
      </c>
      <c r="B430" s="53">
        <v>6.8860000000000001</v>
      </c>
    </row>
    <row r="431" spans="1:2">
      <c r="A431" s="7">
        <v>12024</v>
      </c>
      <c r="B431" s="53">
        <v>6.7910000000000004</v>
      </c>
    </row>
    <row r="432" spans="1:2">
      <c r="A432" s="7">
        <v>12055</v>
      </c>
      <c r="B432" s="53">
        <v>6.532</v>
      </c>
    </row>
    <row r="433" spans="1:2">
      <c r="A433" s="7">
        <v>12086</v>
      </c>
      <c r="B433" s="53">
        <v>6.3529999999999998</v>
      </c>
    </row>
    <row r="434" spans="1:2">
      <c r="A434" s="7">
        <v>12114</v>
      </c>
      <c r="B434" s="53">
        <v>6.5359999999999996</v>
      </c>
    </row>
    <row r="435" spans="1:2">
      <c r="A435" s="7">
        <v>12145</v>
      </c>
      <c r="B435" s="53">
        <v>6.984</v>
      </c>
    </row>
    <row r="436" spans="1:2">
      <c r="A436" s="7">
        <v>12175</v>
      </c>
      <c r="B436" s="53">
        <v>8.0210000000000008</v>
      </c>
    </row>
    <row r="437" spans="1:2">
      <c r="A437" s="7">
        <v>12206</v>
      </c>
      <c r="B437" s="53">
        <v>8.3369999999999997</v>
      </c>
    </row>
    <row r="438" spans="1:2">
      <c r="A438" s="7">
        <v>12236</v>
      </c>
      <c r="B438" s="53">
        <v>9.01</v>
      </c>
    </row>
    <row r="439" spans="1:2">
      <c r="A439" s="7">
        <v>12267</v>
      </c>
      <c r="B439" s="53">
        <v>8.9920000000000009</v>
      </c>
    </row>
    <row r="440" spans="1:2">
      <c r="A440" s="7">
        <v>12298</v>
      </c>
      <c r="B440" s="53">
        <v>9.0510000000000002</v>
      </c>
    </row>
    <row r="441" spans="1:2">
      <c r="A441" s="7">
        <v>12328</v>
      </c>
      <c r="B441" s="53">
        <v>8.8480000000000008</v>
      </c>
    </row>
    <row r="442" spans="1:2">
      <c r="A442" s="7">
        <v>12359</v>
      </c>
      <c r="B442" s="53">
        <v>8.8130000000000006</v>
      </c>
    </row>
    <row r="443" spans="1:2">
      <c r="A443" s="7">
        <v>12389</v>
      </c>
      <c r="B443" s="53">
        <v>8.8330000000000002</v>
      </c>
    </row>
    <row r="444" spans="1:2">
      <c r="A444" s="7">
        <v>12420</v>
      </c>
      <c r="B444" s="53">
        <v>9.0109999999999992</v>
      </c>
    </row>
    <row r="445" spans="1:2">
      <c r="A445" s="7">
        <v>12451</v>
      </c>
      <c r="B445" s="53">
        <v>9.2769999999999992</v>
      </c>
    </row>
    <row r="446" spans="1:2">
      <c r="A446" s="7">
        <v>12479</v>
      </c>
      <c r="B446" s="53">
        <v>9.17</v>
      </c>
    </row>
    <row r="447" spans="1:2">
      <c r="A447" s="7">
        <v>12510</v>
      </c>
      <c r="B447" s="53">
        <v>9.1549999999999994</v>
      </c>
    </row>
    <row r="448" spans="1:2">
      <c r="A448" s="7">
        <v>12540</v>
      </c>
      <c r="B448" s="53">
        <v>9.14</v>
      </c>
    </row>
    <row r="449" spans="1:2">
      <c r="A449" s="7">
        <v>12571</v>
      </c>
      <c r="B449" s="53">
        <v>9.2349999999999994</v>
      </c>
    </row>
    <row r="450" spans="1:2">
      <c r="A450" s="7">
        <v>12601</v>
      </c>
      <c r="B450" s="53">
        <v>9.3219999999999992</v>
      </c>
    </row>
    <row r="451" spans="1:2">
      <c r="A451" s="7">
        <v>12632</v>
      </c>
      <c r="B451" s="53">
        <v>9.4779999999999998</v>
      </c>
    </row>
    <row r="452" spans="1:2">
      <c r="A452" s="7">
        <v>12663</v>
      </c>
      <c r="B452" s="53">
        <v>9.4570000000000007</v>
      </c>
    </row>
    <row r="453" spans="1:2">
      <c r="A453" s="7">
        <v>12693</v>
      </c>
      <c r="B453" s="53">
        <v>9.2789999999999999</v>
      </c>
    </row>
    <row r="454" spans="1:2">
      <c r="A454" s="7">
        <v>12724</v>
      </c>
      <c r="B454" s="53">
        <v>9.2910000000000004</v>
      </c>
    </row>
    <row r="455" spans="1:2">
      <c r="A455" s="7">
        <v>12754</v>
      </c>
      <c r="B455" s="53">
        <v>9.4920000000000009</v>
      </c>
    </row>
    <row r="456" spans="1:2">
      <c r="A456" s="7">
        <v>12785</v>
      </c>
      <c r="B456" s="53">
        <v>9.7799999999999994</v>
      </c>
    </row>
    <row r="457" spans="1:2">
      <c r="A457" s="7">
        <v>12816</v>
      </c>
      <c r="B457" s="53">
        <v>9.7949999999999999</v>
      </c>
    </row>
    <row r="458" spans="1:2">
      <c r="A458" s="7">
        <v>12844</v>
      </c>
      <c r="B458" s="53">
        <v>9.6639999999999997</v>
      </c>
    </row>
    <row r="459" spans="1:2">
      <c r="A459" s="7">
        <v>12875</v>
      </c>
      <c r="B459" s="53">
        <v>9.7959999999999994</v>
      </c>
    </row>
    <row r="460" spans="1:2">
      <c r="A460" s="7">
        <v>12905</v>
      </c>
      <c r="B460" s="53">
        <v>9.907</v>
      </c>
    </row>
    <row r="461" spans="1:2">
      <c r="A461" s="7">
        <v>12936</v>
      </c>
      <c r="B461" s="53">
        <v>9.8420000000000005</v>
      </c>
    </row>
    <row r="462" spans="1:2">
      <c r="A462" s="7">
        <v>12966</v>
      </c>
      <c r="B462" s="53">
        <v>9.9179999999999993</v>
      </c>
    </row>
    <row r="463" spans="1:2">
      <c r="A463" s="7">
        <v>12997</v>
      </c>
      <c r="B463" s="53">
        <v>10.007999999999999</v>
      </c>
    </row>
    <row r="464" spans="1:2">
      <c r="A464" s="7">
        <v>13028</v>
      </c>
      <c r="B464" s="53">
        <v>10.176</v>
      </c>
    </row>
    <row r="465" spans="1:2">
      <c r="A465" s="7">
        <v>13058</v>
      </c>
      <c r="B465" s="53">
        <v>10.282999999999999</v>
      </c>
    </row>
    <row r="466" spans="1:2">
      <c r="A466" s="7">
        <v>13089</v>
      </c>
      <c r="B466" s="53">
        <v>10.403</v>
      </c>
    </row>
    <row r="467" spans="1:2">
      <c r="A467" s="7">
        <v>13119</v>
      </c>
      <c r="B467" s="53">
        <v>10.364000000000001</v>
      </c>
    </row>
    <row r="468" spans="1:2">
      <c r="A468" s="7">
        <v>13150</v>
      </c>
      <c r="B468" s="53">
        <v>10.02</v>
      </c>
    </row>
    <row r="469" spans="1:2">
      <c r="A469" s="7">
        <v>13181</v>
      </c>
      <c r="B469" s="53">
        <v>9.92</v>
      </c>
    </row>
    <row r="470" spans="1:2">
      <c r="A470" s="7">
        <v>13210</v>
      </c>
      <c r="B470" s="53">
        <v>9.8539999999999992</v>
      </c>
    </row>
    <row r="471" spans="1:2">
      <c r="A471" s="7">
        <v>13241</v>
      </c>
      <c r="B471" s="53">
        <v>9.8190000000000008</v>
      </c>
    </row>
    <row r="472" spans="1:2">
      <c r="A472" s="7">
        <v>13271</v>
      </c>
      <c r="B472" s="53">
        <v>9.7370000000000001</v>
      </c>
    </row>
    <row r="473" spans="1:2">
      <c r="A473" s="7">
        <v>13302</v>
      </c>
      <c r="B473" s="53">
        <v>9.8539999999999992</v>
      </c>
    </row>
    <row r="474" spans="1:2">
      <c r="A474" s="7">
        <v>13332</v>
      </c>
      <c r="B474" s="53">
        <v>10.144</v>
      </c>
    </row>
    <row r="475" spans="1:2">
      <c r="A475" s="7">
        <v>13363</v>
      </c>
      <c r="B475" s="53">
        <v>10.191000000000001</v>
      </c>
    </row>
    <row r="476" spans="1:2">
      <c r="A476" s="7">
        <v>13394</v>
      </c>
      <c r="B476" s="53">
        <v>10.272</v>
      </c>
    </row>
    <row r="477" spans="1:2">
      <c r="A477" s="7">
        <v>13424</v>
      </c>
      <c r="B477" s="53">
        <v>10.221</v>
      </c>
    </row>
    <row r="478" spans="1:2">
      <c r="A478" s="7">
        <v>13455</v>
      </c>
      <c r="B478" s="53">
        <v>10.79</v>
      </c>
    </row>
    <row r="479" spans="1:2">
      <c r="A479" s="7">
        <v>13485</v>
      </c>
      <c r="B479" s="53">
        <v>11.135999999999999</v>
      </c>
    </row>
    <row r="480" spans="1:2">
      <c r="A480" s="7">
        <v>13516</v>
      </c>
      <c r="B480" s="53">
        <v>11.231999999999999</v>
      </c>
    </row>
    <row r="481" spans="1:2">
      <c r="A481" s="7">
        <v>13547</v>
      </c>
      <c r="B481" s="53">
        <v>11.349</v>
      </c>
    </row>
    <row r="482" spans="1:2">
      <c r="A482" s="7">
        <v>13575</v>
      </c>
      <c r="B482" s="53">
        <v>11.815</v>
      </c>
    </row>
    <row r="483" spans="1:2">
      <c r="A483" s="7">
        <v>13606</v>
      </c>
      <c r="B483" s="53">
        <v>11.516</v>
      </c>
    </row>
    <row r="484" spans="1:2">
      <c r="A484" s="7">
        <v>13636</v>
      </c>
      <c r="B484" s="53">
        <v>11.337</v>
      </c>
    </row>
    <row r="485" spans="1:2">
      <c r="A485" s="7">
        <v>13667</v>
      </c>
      <c r="B485" s="53">
        <v>11.273</v>
      </c>
    </row>
    <row r="486" spans="1:2">
      <c r="A486" s="7">
        <v>13697</v>
      </c>
      <c r="B486" s="53">
        <v>11.193</v>
      </c>
    </row>
    <row r="487" spans="1:2">
      <c r="A487" s="7">
        <v>13728</v>
      </c>
      <c r="B487" s="53">
        <v>10.958</v>
      </c>
    </row>
    <row r="488" spans="1:2">
      <c r="A488" s="7">
        <v>13759</v>
      </c>
      <c r="B488" s="53">
        <v>10.848000000000001</v>
      </c>
    </row>
    <row r="489" spans="1:2">
      <c r="A489" s="7">
        <v>13789</v>
      </c>
      <c r="B489" s="53">
        <v>10.348000000000001</v>
      </c>
    </row>
    <row r="490" spans="1:2">
      <c r="A490" s="7">
        <v>13820</v>
      </c>
      <c r="B490" s="53">
        <v>9.7710000000000008</v>
      </c>
    </row>
  </sheetData>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15"/>
  <sheetViews>
    <sheetView workbookViewId="0">
      <pane xSplit="1" ySplit="12" topLeftCell="B13" activePane="bottomRight" state="frozen"/>
      <selection pane="topRight" activeCell="B1" sqref="B1"/>
      <selection pane="bottomLeft" activeCell="A13" sqref="A13"/>
      <selection pane="bottomRight" activeCell="E22" sqref="E22"/>
    </sheetView>
  </sheetViews>
  <sheetFormatPr baseColWidth="10" defaultColWidth="8.83203125" defaultRowHeight="15" x14ac:dyDescent="0"/>
  <cols>
    <col min="1" max="2" width="20.6640625" customWidth="1"/>
  </cols>
  <sheetData>
    <row r="1" spans="1:2">
      <c r="A1" s="6" t="s">
        <v>21</v>
      </c>
      <c r="B1" s="6" t="s">
        <v>22</v>
      </c>
    </row>
    <row r="2" spans="1:2">
      <c r="A2" s="6" t="s">
        <v>23</v>
      </c>
      <c r="B2" s="6" t="s">
        <v>24</v>
      </c>
    </row>
    <row r="3" spans="1:2">
      <c r="A3" s="6" t="s">
        <v>25</v>
      </c>
      <c r="B3" s="6" t="s">
        <v>26</v>
      </c>
    </row>
    <row r="4" spans="1:2">
      <c r="A4" s="6" t="s">
        <v>27</v>
      </c>
      <c r="B4" s="6" t="s">
        <v>28</v>
      </c>
    </row>
    <row r="5" spans="1:2">
      <c r="A5" s="6" t="s">
        <v>29</v>
      </c>
      <c r="B5" s="6" t="s">
        <v>30</v>
      </c>
    </row>
    <row r="6" spans="1:2">
      <c r="A6" s="6" t="s">
        <v>31</v>
      </c>
      <c r="B6" s="6" t="s">
        <v>32</v>
      </c>
    </row>
    <row r="7" spans="1:2">
      <c r="A7" s="6" t="s">
        <v>33</v>
      </c>
      <c r="B7" s="6" t="s">
        <v>34</v>
      </c>
    </row>
    <row r="8" spans="1:2">
      <c r="A8" s="6" t="s">
        <v>35</v>
      </c>
      <c r="B8" s="6" t="s">
        <v>36</v>
      </c>
    </row>
    <row r="9" spans="1:2">
      <c r="A9" s="6" t="s">
        <v>37</v>
      </c>
      <c r="B9" s="6" t="s">
        <v>38</v>
      </c>
    </row>
    <row r="10" spans="1:2">
      <c r="A10" s="6" t="s">
        <v>39</v>
      </c>
      <c r="B10" s="6" t="s">
        <v>40</v>
      </c>
    </row>
    <row r="12" spans="1:2">
      <c r="A12" s="6" t="s">
        <v>41</v>
      </c>
      <c r="B12" s="6" t="s">
        <v>42</v>
      </c>
    </row>
    <row r="13" spans="1:2">
      <c r="A13" s="7">
        <v>4750</v>
      </c>
      <c r="B13" s="8">
        <v>12.1</v>
      </c>
    </row>
    <row r="14" spans="1:2">
      <c r="A14" s="7">
        <v>4781</v>
      </c>
      <c r="B14" s="8">
        <v>12</v>
      </c>
    </row>
    <row r="15" spans="1:2">
      <c r="A15" s="7">
        <v>4809</v>
      </c>
      <c r="B15" s="8">
        <v>12</v>
      </c>
    </row>
    <row r="16" spans="1:2">
      <c r="A16" s="7">
        <v>4840</v>
      </c>
      <c r="B16" s="8">
        <v>12</v>
      </c>
    </row>
    <row r="17" spans="1:2">
      <c r="A17" s="7">
        <v>4870</v>
      </c>
      <c r="B17" s="8">
        <v>11.9</v>
      </c>
    </row>
    <row r="18" spans="1:2">
      <c r="A18" s="7">
        <v>4901</v>
      </c>
      <c r="B18" s="8">
        <v>11.9</v>
      </c>
    </row>
    <row r="19" spans="1:2">
      <c r="A19" s="7">
        <v>4931</v>
      </c>
      <c r="B19" s="8">
        <v>12</v>
      </c>
    </row>
    <row r="20" spans="1:2">
      <c r="A20" s="7">
        <v>4962</v>
      </c>
      <c r="B20" s="8">
        <v>12</v>
      </c>
    </row>
    <row r="21" spans="1:2">
      <c r="A21" s="7">
        <v>4993</v>
      </c>
      <c r="B21" s="8">
        <v>12.2</v>
      </c>
    </row>
    <row r="22" spans="1:2">
      <c r="A22" s="7">
        <v>5023</v>
      </c>
      <c r="B22" s="8">
        <v>12.2</v>
      </c>
    </row>
    <row r="23" spans="1:2">
      <c r="A23" s="7">
        <v>5054</v>
      </c>
      <c r="B23" s="8">
        <v>12.1</v>
      </c>
    </row>
    <row r="24" spans="1:2">
      <c r="A24" s="7">
        <v>5084</v>
      </c>
      <c r="B24" s="8">
        <v>11.9</v>
      </c>
    </row>
    <row r="25" spans="1:2">
      <c r="A25" s="7">
        <v>5115</v>
      </c>
      <c r="B25" s="8">
        <v>11.8</v>
      </c>
    </row>
    <row r="26" spans="1:2">
      <c r="A26" s="7">
        <v>5146</v>
      </c>
      <c r="B26" s="8">
        <v>11.8</v>
      </c>
    </row>
    <row r="27" spans="1:2">
      <c r="A27" s="7">
        <v>5174</v>
      </c>
      <c r="B27" s="8">
        <v>11.7</v>
      </c>
    </row>
    <row r="28" spans="1:2">
      <c r="A28" s="7">
        <v>5205</v>
      </c>
      <c r="B28" s="8">
        <v>11.7</v>
      </c>
    </row>
    <row r="29" spans="1:2">
      <c r="A29" s="7">
        <v>5235</v>
      </c>
      <c r="B29" s="8">
        <v>11.6</v>
      </c>
    </row>
    <row r="30" spans="1:2">
      <c r="A30" s="7">
        <v>5266</v>
      </c>
      <c r="B30" s="8">
        <v>11.6</v>
      </c>
    </row>
    <row r="31" spans="1:2">
      <c r="A31" s="7">
        <v>5296</v>
      </c>
      <c r="B31" s="8">
        <v>11.6</v>
      </c>
    </row>
    <row r="32" spans="1:2">
      <c r="A32" s="7">
        <v>5327</v>
      </c>
      <c r="B32" s="8">
        <v>12</v>
      </c>
    </row>
    <row r="33" spans="1:2">
      <c r="A33" s="7">
        <v>5358</v>
      </c>
      <c r="B33" s="8">
        <v>12.1</v>
      </c>
    </row>
    <row r="34" spans="1:2">
      <c r="A34" s="7">
        <v>5388</v>
      </c>
      <c r="B34" s="8">
        <v>11.7</v>
      </c>
    </row>
    <row r="35" spans="1:2">
      <c r="A35" s="7">
        <v>5419</v>
      </c>
      <c r="B35" s="8">
        <v>11.7</v>
      </c>
    </row>
    <row r="36" spans="1:2">
      <c r="A36" s="7">
        <v>5449</v>
      </c>
      <c r="B36" s="8">
        <v>11.6</v>
      </c>
    </row>
    <row r="37" spans="1:2">
      <c r="A37" s="7">
        <v>5480</v>
      </c>
      <c r="B37" s="8">
        <v>11.8</v>
      </c>
    </row>
    <row r="38" spans="1:2">
      <c r="A38" s="7">
        <v>5511</v>
      </c>
      <c r="B38" s="8">
        <v>11.8</v>
      </c>
    </row>
    <row r="39" spans="1:2">
      <c r="A39" s="7">
        <v>5539</v>
      </c>
      <c r="B39" s="8">
        <v>11.8</v>
      </c>
    </row>
    <row r="40" spans="1:2">
      <c r="A40" s="7">
        <v>5570</v>
      </c>
      <c r="B40" s="8">
        <v>11.8</v>
      </c>
    </row>
    <row r="41" spans="1:2">
      <c r="A41" s="7">
        <v>5600</v>
      </c>
      <c r="B41" s="8">
        <v>11.9</v>
      </c>
    </row>
    <row r="42" spans="1:2">
      <c r="A42" s="7">
        <v>5631</v>
      </c>
      <c r="B42" s="8">
        <v>11.8</v>
      </c>
    </row>
    <row r="43" spans="1:2">
      <c r="A43" s="7">
        <v>5661</v>
      </c>
      <c r="B43" s="8">
        <v>11.9</v>
      </c>
    </row>
    <row r="44" spans="1:2">
      <c r="A44" s="7">
        <v>5692</v>
      </c>
      <c r="B44" s="8">
        <v>11.8</v>
      </c>
    </row>
    <row r="45" spans="1:2">
      <c r="A45" s="7">
        <v>5723</v>
      </c>
      <c r="B45" s="8">
        <v>11.8</v>
      </c>
    </row>
    <row r="46" spans="1:2">
      <c r="A46" s="7">
        <v>5753</v>
      </c>
      <c r="B46" s="8">
        <v>12.1</v>
      </c>
    </row>
    <row r="47" spans="1:2">
      <c r="A47" s="7">
        <v>5784</v>
      </c>
      <c r="B47" s="8">
        <v>12.3</v>
      </c>
    </row>
    <row r="48" spans="1:2">
      <c r="A48" s="7">
        <v>5814</v>
      </c>
      <c r="B48" s="8">
        <v>12.8</v>
      </c>
    </row>
    <row r="49" spans="1:2">
      <c r="A49" s="7">
        <v>5845</v>
      </c>
      <c r="B49" s="8">
        <v>13.3</v>
      </c>
    </row>
    <row r="50" spans="1:2">
      <c r="A50" s="7">
        <v>5876</v>
      </c>
      <c r="B50" s="8">
        <v>13.5</v>
      </c>
    </row>
    <row r="51" spans="1:2">
      <c r="A51" s="7">
        <v>5905</v>
      </c>
      <c r="B51" s="8">
        <v>13.9</v>
      </c>
    </row>
    <row r="52" spans="1:2">
      <c r="A52" s="7">
        <v>5936</v>
      </c>
      <c r="B52" s="8">
        <v>14.1</v>
      </c>
    </row>
    <row r="53" spans="1:2">
      <c r="A53" s="7">
        <v>5966</v>
      </c>
      <c r="B53" s="8">
        <v>14.2</v>
      </c>
    </row>
    <row r="54" spans="1:2">
      <c r="A54" s="7">
        <v>5997</v>
      </c>
      <c r="B54" s="8">
        <v>14.3</v>
      </c>
    </row>
    <row r="55" spans="1:2">
      <c r="A55" s="7">
        <v>6027</v>
      </c>
      <c r="B55" s="8">
        <v>14.4</v>
      </c>
    </row>
    <row r="56" spans="1:2">
      <c r="A56" s="7">
        <v>6058</v>
      </c>
      <c r="B56" s="8">
        <v>14.7</v>
      </c>
    </row>
    <row r="57" spans="1:2">
      <c r="A57" s="7">
        <v>6089</v>
      </c>
      <c r="B57" s="8">
        <v>15</v>
      </c>
    </row>
    <row r="58" spans="1:2">
      <c r="A58" s="7">
        <v>6119</v>
      </c>
      <c r="B58" s="8">
        <v>15.7</v>
      </c>
    </row>
    <row r="59" spans="1:2">
      <c r="A59" s="7">
        <v>6150</v>
      </c>
      <c r="B59" s="8">
        <v>16.8</v>
      </c>
    </row>
    <row r="60" spans="1:2">
      <c r="A60" s="7">
        <v>6180</v>
      </c>
      <c r="B60" s="8">
        <v>17.100000000000001</v>
      </c>
    </row>
    <row r="61" spans="1:2">
      <c r="A61" s="7">
        <v>6211</v>
      </c>
      <c r="B61" s="8">
        <v>17.600000000000001</v>
      </c>
    </row>
    <row r="62" spans="1:2">
      <c r="A62" s="7">
        <v>6242</v>
      </c>
      <c r="B62" s="8">
        <v>18</v>
      </c>
    </row>
    <row r="63" spans="1:2">
      <c r="A63" s="7">
        <v>6270</v>
      </c>
      <c r="B63" s="8">
        <v>18.5</v>
      </c>
    </row>
    <row r="64" spans="1:2">
      <c r="A64" s="7">
        <v>6301</v>
      </c>
      <c r="B64" s="8">
        <v>19.7</v>
      </c>
    </row>
    <row r="65" spans="1:2">
      <c r="A65" s="7">
        <v>6331</v>
      </c>
      <c r="B65" s="8">
        <v>20.8</v>
      </c>
    </row>
    <row r="66" spans="1:2">
      <c r="A66" s="7">
        <v>6362</v>
      </c>
      <c r="B66" s="8">
        <v>21</v>
      </c>
    </row>
    <row r="67" spans="1:2">
      <c r="A67" s="7">
        <v>6392</v>
      </c>
      <c r="B67" s="8">
        <v>21.2</v>
      </c>
    </row>
    <row r="68" spans="1:2">
      <c r="A68" s="7">
        <v>6423</v>
      </c>
      <c r="B68" s="8">
        <v>21.5</v>
      </c>
    </row>
    <row r="69" spans="1:2">
      <c r="A69" s="7">
        <v>6454</v>
      </c>
      <c r="B69" s="8">
        <v>21.3</v>
      </c>
    </row>
    <row r="70" spans="1:2">
      <c r="A70" s="7">
        <v>6484</v>
      </c>
      <c r="B70" s="8">
        <v>21.1</v>
      </c>
    </row>
    <row r="71" spans="1:2">
      <c r="A71" s="7">
        <v>6515</v>
      </c>
      <c r="B71" s="8">
        <v>21.2</v>
      </c>
    </row>
    <row r="72" spans="1:2">
      <c r="A72" s="7">
        <v>6545</v>
      </c>
      <c r="B72" s="8">
        <v>21.2</v>
      </c>
    </row>
    <row r="73" spans="1:2">
      <c r="A73" s="7">
        <v>6576</v>
      </c>
      <c r="B73" s="8">
        <v>21.6</v>
      </c>
    </row>
    <row r="74" spans="1:2">
      <c r="A74" s="7">
        <v>6607</v>
      </c>
      <c r="B74" s="8">
        <v>21.1</v>
      </c>
    </row>
    <row r="75" spans="1:2">
      <c r="A75" s="7">
        <v>6635</v>
      </c>
      <c r="B75" s="8">
        <v>21.8</v>
      </c>
    </row>
    <row r="76" spans="1:2">
      <c r="A76" s="7">
        <v>6666</v>
      </c>
      <c r="B76" s="8">
        <v>22.1</v>
      </c>
    </row>
    <row r="77" spans="1:2">
      <c r="A77" s="7">
        <v>6696</v>
      </c>
      <c r="B77" s="8">
        <v>22.1</v>
      </c>
    </row>
    <row r="78" spans="1:2">
      <c r="A78" s="7">
        <v>6727</v>
      </c>
      <c r="B78" s="8">
        <v>22.2</v>
      </c>
    </row>
    <row r="79" spans="1:2">
      <c r="A79" s="7">
        <v>6757</v>
      </c>
      <c r="B79" s="8">
        <v>22.7</v>
      </c>
    </row>
    <row r="80" spans="1:2">
      <c r="A80" s="7">
        <v>6788</v>
      </c>
      <c r="B80" s="8">
        <v>23.2</v>
      </c>
    </row>
    <row r="81" spans="1:2">
      <c r="A81" s="7">
        <v>6819</v>
      </c>
      <c r="B81" s="8">
        <v>23.7</v>
      </c>
    </row>
    <row r="82" spans="1:2">
      <c r="A82" s="7">
        <v>6849</v>
      </c>
      <c r="B82" s="8">
        <v>23.5</v>
      </c>
    </row>
    <row r="83" spans="1:2">
      <c r="A83" s="7">
        <v>6880</v>
      </c>
      <c r="B83" s="8">
        <v>23.5</v>
      </c>
    </row>
    <row r="84" spans="1:2">
      <c r="A84" s="7">
        <v>6910</v>
      </c>
      <c r="B84" s="8">
        <v>23.5</v>
      </c>
    </row>
    <row r="85" spans="1:2">
      <c r="A85" s="7">
        <v>6941</v>
      </c>
      <c r="B85" s="8">
        <v>23.2</v>
      </c>
    </row>
    <row r="86" spans="1:2">
      <c r="A86" s="7">
        <v>6972</v>
      </c>
      <c r="B86" s="8">
        <v>22.4</v>
      </c>
    </row>
    <row r="87" spans="1:2">
      <c r="A87" s="7">
        <v>7000</v>
      </c>
      <c r="B87" s="8">
        <v>22.6</v>
      </c>
    </row>
    <row r="88" spans="1:2">
      <c r="A88" s="7">
        <v>7031</v>
      </c>
      <c r="B88" s="8">
        <v>22.9</v>
      </c>
    </row>
    <row r="89" spans="1:2">
      <c r="A89" s="7">
        <v>7061</v>
      </c>
      <c r="B89" s="8">
        <v>23.3</v>
      </c>
    </row>
    <row r="90" spans="1:2">
      <c r="A90" s="7">
        <v>7092</v>
      </c>
      <c r="B90" s="8">
        <v>23.4</v>
      </c>
    </row>
    <row r="91" spans="1:2">
      <c r="A91" s="7">
        <v>7122</v>
      </c>
      <c r="B91" s="8">
        <v>24.3</v>
      </c>
    </row>
    <row r="92" spans="1:2">
      <c r="A92" s="7">
        <v>7153</v>
      </c>
      <c r="B92" s="8">
        <v>24.9</v>
      </c>
    </row>
    <row r="93" spans="1:2">
      <c r="A93" s="7">
        <v>7184</v>
      </c>
      <c r="B93" s="8">
        <v>24.3</v>
      </c>
    </row>
    <row r="94" spans="1:2">
      <c r="A94" s="7">
        <v>7214</v>
      </c>
      <c r="B94" s="8">
        <v>24.4</v>
      </c>
    </row>
    <row r="95" spans="1:2">
      <c r="A95" s="7">
        <v>7245</v>
      </c>
      <c r="B95" s="8">
        <v>24.9</v>
      </c>
    </row>
    <row r="96" spans="1:2">
      <c r="A96" s="7">
        <v>7275</v>
      </c>
      <c r="B96" s="8">
        <v>26</v>
      </c>
    </row>
    <row r="97" spans="1:2">
      <c r="A97" s="7">
        <v>7306</v>
      </c>
      <c r="B97" s="8">
        <v>27.2</v>
      </c>
    </row>
    <row r="98" spans="1:2">
      <c r="A98" s="7">
        <v>7337</v>
      </c>
      <c r="B98" s="8">
        <v>27.1</v>
      </c>
    </row>
    <row r="99" spans="1:2">
      <c r="A99" s="7">
        <v>7366</v>
      </c>
      <c r="B99" s="8">
        <v>27.3</v>
      </c>
    </row>
    <row r="100" spans="1:2">
      <c r="A100" s="7">
        <v>7397</v>
      </c>
      <c r="B100" s="8">
        <v>28.5</v>
      </c>
    </row>
    <row r="101" spans="1:2">
      <c r="A101" s="7">
        <v>7427</v>
      </c>
      <c r="B101" s="8">
        <v>28.8</v>
      </c>
    </row>
    <row r="102" spans="1:2">
      <c r="A102" s="7">
        <v>7458</v>
      </c>
      <c r="B102" s="8">
        <v>28.7</v>
      </c>
    </row>
    <row r="103" spans="1:2">
      <c r="A103" s="7">
        <v>7488</v>
      </c>
      <c r="B103" s="8">
        <v>28.6</v>
      </c>
    </row>
    <row r="104" spans="1:2">
      <c r="A104" s="7">
        <v>7519</v>
      </c>
      <c r="B104" s="8">
        <v>27.8</v>
      </c>
    </row>
    <row r="105" spans="1:2">
      <c r="A105" s="7">
        <v>7550</v>
      </c>
      <c r="B105" s="8">
        <v>26.8</v>
      </c>
    </row>
    <row r="106" spans="1:2">
      <c r="A106" s="7">
        <v>7580</v>
      </c>
      <c r="B106" s="8">
        <v>24.9</v>
      </c>
    </row>
    <row r="107" spans="1:2">
      <c r="A107" s="7">
        <v>7611</v>
      </c>
      <c r="B107" s="8">
        <v>23</v>
      </c>
    </row>
    <row r="108" spans="1:2">
      <c r="A108" s="7">
        <v>7641</v>
      </c>
      <c r="B108" s="8">
        <v>20.8</v>
      </c>
    </row>
    <row r="109" spans="1:2">
      <c r="A109" s="7">
        <v>7672</v>
      </c>
      <c r="B109" s="8">
        <v>19.600000000000001</v>
      </c>
    </row>
    <row r="110" spans="1:2">
      <c r="A110" s="7">
        <v>7703</v>
      </c>
      <c r="B110" s="8">
        <v>18.100000000000001</v>
      </c>
    </row>
    <row r="111" spans="1:2">
      <c r="A111" s="7">
        <v>7731</v>
      </c>
      <c r="B111" s="8">
        <v>17.7</v>
      </c>
    </row>
    <row r="112" spans="1:2">
      <c r="A112" s="7">
        <v>7762</v>
      </c>
      <c r="B112" s="8">
        <v>17</v>
      </c>
    </row>
    <row r="113" spans="1:2">
      <c r="A113" s="7">
        <v>7792</v>
      </c>
      <c r="B113" s="8">
        <v>16.600000000000001</v>
      </c>
    </row>
    <row r="114" spans="1:2">
      <c r="A114" s="7">
        <v>7823</v>
      </c>
      <c r="B114" s="8">
        <v>16.100000000000001</v>
      </c>
    </row>
    <row r="115" spans="1:2">
      <c r="A115" s="7">
        <v>7853</v>
      </c>
      <c r="B115" s="8">
        <v>16.100000000000001</v>
      </c>
    </row>
    <row r="116" spans="1:2">
      <c r="A116" s="7">
        <v>7884</v>
      </c>
      <c r="B116" s="8">
        <v>16.100000000000001</v>
      </c>
    </row>
    <row r="117" spans="1:2">
      <c r="A117" s="7">
        <v>7915</v>
      </c>
      <c r="B117" s="8">
        <v>16.100000000000001</v>
      </c>
    </row>
    <row r="118" spans="1:2">
      <c r="A118" s="7">
        <v>7945</v>
      </c>
      <c r="B118" s="8">
        <v>16.2</v>
      </c>
    </row>
    <row r="119" spans="1:2">
      <c r="A119" s="7">
        <v>7976</v>
      </c>
      <c r="B119" s="8">
        <v>16.2</v>
      </c>
    </row>
    <row r="120" spans="1:2">
      <c r="A120" s="7">
        <v>8006</v>
      </c>
      <c r="B120" s="8">
        <v>16</v>
      </c>
    </row>
    <row r="121" spans="1:2">
      <c r="A121" s="7">
        <v>8037</v>
      </c>
      <c r="B121" s="8">
        <v>15.7</v>
      </c>
    </row>
    <row r="122" spans="1:2">
      <c r="A122" s="7">
        <v>8068</v>
      </c>
      <c r="B122" s="8">
        <v>16</v>
      </c>
    </row>
    <row r="123" spans="1:2">
      <c r="A123" s="7">
        <v>8096</v>
      </c>
      <c r="B123" s="8">
        <v>16</v>
      </c>
    </row>
    <row r="124" spans="1:2">
      <c r="A124" s="7">
        <v>8127</v>
      </c>
      <c r="B124" s="8">
        <v>16.100000000000001</v>
      </c>
    </row>
    <row r="125" spans="1:2">
      <c r="A125" s="7">
        <v>8157</v>
      </c>
      <c r="B125" s="8">
        <v>16.600000000000001</v>
      </c>
    </row>
    <row r="126" spans="1:2">
      <c r="A126" s="7">
        <v>8188</v>
      </c>
      <c r="B126" s="8">
        <v>16.600000000000001</v>
      </c>
    </row>
    <row r="127" spans="1:2">
      <c r="A127" s="7">
        <v>8218</v>
      </c>
      <c r="B127" s="8">
        <v>17.100000000000001</v>
      </c>
    </row>
    <row r="128" spans="1:2">
      <c r="A128" s="7">
        <v>8249</v>
      </c>
      <c r="B128" s="8">
        <v>17</v>
      </c>
    </row>
    <row r="129" spans="1:2">
      <c r="A129" s="7">
        <v>8280</v>
      </c>
      <c r="B129" s="8">
        <v>17.100000000000001</v>
      </c>
    </row>
    <row r="130" spans="1:2">
      <c r="A130" s="7">
        <v>8310</v>
      </c>
      <c r="B130" s="8">
        <v>17.2</v>
      </c>
    </row>
    <row r="131" spans="1:2">
      <c r="A131" s="7">
        <v>8341</v>
      </c>
      <c r="B131" s="8">
        <v>17.3</v>
      </c>
    </row>
    <row r="132" spans="1:2">
      <c r="A132" s="7">
        <v>8371</v>
      </c>
      <c r="B132" s="8">
        <v>17.3</v>
      </c>
    </row>
    <row r="133" spans="1:2">
      <c r="A133" s="7">
        <v>8402</v>
      </c>
      <c r="B133" s="8">
        <v>17.600000000000001</v>
      </c>
    </row>
    <row r="134" spans="1:2">
      <c r="A134" s="7">
        <v>8433</v>
      </c>
      <c r="B134" s="8">
        <v>17.8</v>
      </c>
    </row>
    <row r="135" spans="1:2">
      <c r="A135" s="7">
        <v>8461</v>
      </c>
      <c r="B135" s="8">
        <v>18</v>
      </c>
    </row>
    <row r="136" spans="1:2">
      <c r="A136" s="7">
        <v>8492</v>
      </c>
      <c r="B136" s="8">
        <v>17.899999999999999</v>
      </c>
    </row>
    <row r="137" spans="1:2">
      <c r="A137" s="7">
        <v>8522</v>
      </c>
      <c r="B137" s="8">
        <v>17.5</v>
      </c>
    </row>
    <row r="138" spans="1:2">
      <c r="A138" s="7">
        <v>8553</v>
      </c>
      <c r="B138" s="8">
        <v>17.3</v>
      </c>
    </row>
    <row r="139" spans="1:2">
      <c r="A139" s="7">
        <v>8583</v>
      </c>
      <c r="B139" s="8">
        <v>17</v>
      </c>
    </row>
    <row r="140" spans="1:2">
      <c r="A140" s="7">
        <v>8614</v>
      </c>
      <c r="B140" s="8">
        <v>16.899999999999999</v>
      </c>
    </row>
    <row r="141" spans="1:2">
      <c r="A141" s="7">
        <v>8645</v>
      </c>
      <c r="B141" s="8">
        <v>17.2</v>
      </c>
    </row>
    <row r="142" spans="1:2">
      <c r="A142" s="7">
        <v>8675</v>
      </c>
      <c r="B142" s="8">
        <v>17.100000000000001</v>
      </c>
    </row>
    <row r="143" spans="1:2">
      <c r="A143" s="7">
        <v>8706</v>
      </c>
      <c r="B143" s="8">
        <v>17</v>
      </c>
    </row>
    <row r="144" spans="1:2">
      <c r="A144" s="7">
        <v>8736</v>
      </c>
      <c r="B144" s="8">
        <v>16.899999999999999</v>
      </c>
    </row>
    <row r="145" spans="1:2">
      <c r="A145" s="7">
        <v>8767</v>
      </c>
      <c r="B145" s="8">
        <v>17.2</v>
      </c>
    </row>
    <row r="146" spans="1:2">
      <c r="A146" s="7">
        <v>8798</v>
      </c>
      <c r="B146" s="8">
        <v>17.2</v>
      </c>
    </row>
    <row r="147" spans="1:2">
      <c r="A147" s="7">
        <v>8827</v>
      </c>
      <c r="B147" s="8">
        <v>17</v>
      </c>
    </row>
    <row r="148" spans="1:2">
      <c r="A148" s="7">
        <v>8858</v>
      </c>
      <c r="B148" s="8">
        <v>16.7</v>
      </c>
    </row>
    <row r="149" spans="1:2">
      <c r="A149" s="7">
        <v>8888</v>
      </c>
      <c r="B149" s="8">
        <v>16.5</v>
      </c>
    </row>
    <row r="150" spans="1:2">
      <c r="A150" s="7">
        <v>8919</v>
      </c>
      <c r="B150" s="8">
        <v>16.399999999999999</v>
      </c>
    </row>
    <row r="151" spans="1:2">
      <c r="A151" s="7">
        <v>8949</v>
      </c>
      <c r="B151" s="8">
        <v>16.5</v>
      </c>
    </row>
    <row r="152" spans="1:2">
      <c r="A152" s="7">
        <v>8980</v>
      </c>
      <c r="B152" s="8">
        <v>16.7</v>
      </c>
    </row>
    <row r="153" spans="1:2">
      <c r="A153" s="7">
        <v>9011</v>
      </c>
      <c r="B153" s="8">
        <v>16.7</v>
      </c>
    </row>
    <row r="154" spans="1:2">
      <c r="A154" s="7">
        <v>9041</v>
      </c>
      <c r="B154" s="8">
        <v>16.899999999999999</v>
      </c>
    </row>
    <row r="155" spans="1:2">
      <c r="A155" s="7">
        <v>9072</v>
      </c>
      <c r="B155" s="8">
        <v>17.100000000000001</v>
      </c>
    </row>
    <row r="156" spans="1:2">
      <c r="A156" s="7">
        <v>9102</v>
      </c>
      <c r="B156" s="8">
        <v>17.5</v>
      </c>
    </row>
    <row r="157" spans="1:2">
      <c r="A157" s="7">
        <v>9133</v>
      </c>
      <c r="B157" s="8">
        <v>17.7</v>
      </c>
    </row>
    <row r="158" spans="1:2">
      <c r="A158" s="7">
        <v>9164</v>
      </c>
      <c r="B158" s="8">
        <v>17.899999999999999</v>
      </c>
    </row>
    <row r="159" spans="1:2">
      <c r="A159" s="7">
        <v>9192</v>
      </c>
      <c r="B159" s="8">
        <v>17.899999999999999</v>
      </c>
    </row>
    <row r="160" spans="1:2">
      <c r="A160" s="7">
        <v>9223</v>
      </c>
      <c r="B160" s="8">
        <v>17.5</v>
      </c>
    </row>
    <row r="161" spans="1:2">
      <c r="A161" s="7">
        <v>9253</v>
      </c>
      <c r="B161" s="8">
        <v>17.5</v>
      </c>
    </row>
    <row r="162" spans="1:2">
      <c r="A162" s="7">
        <v>9284</v>
      </c>
      <c r="B162" s="8">
        <v>17.7</v>
      </c>
    </row>
    <row r="163" spans="1:2">
      <c r="A163" s="7">
        <v>9314</v>
      </c>
      <c r="B163" s="8">
        <v>18</v>
      </c>
    </row>
    <row r="164" spans="1:2">
      <c r="A164" s="7">
        <v>9345</v>
      </c>
      <c r="B164" s="8">
        <v>17.899999999999999</v>
      </c>
    </row>
    <row r="165" spans="1:2">
      <c r="A165" s="7">
        <v>9376</v>
      </c>
      <c r="B165" s="8">
        <v>17.8</v>
      </c>
    </row>
    <row r="166" spans="1:2">
      <c r="A166" s="7">
        <v>9406</v>
      </c>
      <c r="B166" s="8">
        <v>17.8</v>
      </c>
    </row>
    <row r="167" spans="1:2">
      <c r="A167" s="7">
        <v>9437</v>
      </c>
      <c r="B167" s="8">
        <v>18</v>
      </c>
    </row>
    <row r="168" spans="1:2">
      <c r="A168" s="7">
        <v>9467</v>
      </c>
      <c r="B168" s="8">
        <v>17.8</v>
      </c>
    </row>
    <row r="169" spans="1:2">
      <c r="A169" s="7">
        <v>9498</v>
      </c>
      <c r="B169" s="8">
        <v>17.8</v>
      </c>
    </row>
    <row r="170" spans="1:2">
      <c r="A170" s="7">
        <v>9529</v>
      </c>
      <c r="B170" s="8">
        <v>17.600000000000001</v>
      </c>
    </row>
    <row r="171" spans="1:2">
      <c r="A171" s="7">
        <v>9557</v>
      </c>
      <c r="B171" s="8">
        <v>17.3</v>
      </c>
    </row>
    <row r="172" spans="1:2">
      <c r="A172" s="7">
        <v>9588</v>
      </c>
      <c r="B172" s="8">
        <v>17.3</v>
      </c>
    </row>
    <row r="173" spans="1:2">
      <c r="A173" s="7">
        <v>9618</v>
      </c>
      <c r="B173" s="8">
        <v>17.3</v>
      </c>
    </row>
    <row r="174" spans="1:2">
      <c r="A174" s="7">
        <v>9649</v>
      </c>
      <c r="B174" s="8">
        <v>17.3</v>
      </c>
    </row>
    <row r="175" spans="1:2">
      <c r="A175" s="7">
        <v>9679</v>
      </c>
      <c r="B175" s="8">
        <v>17.100000000000001</v>
      </c>
    </row>
    <row r="176" spans="1:2">
      <c r="A176" s="7">
        <v>9710</v>
      </c>
      <c r="B176" s="8">
        <v>17.100000000000001</v>
      </c>
    </row>
    <row r="177" spans="1:2">
      <c r="A177" s="7">
        <v>9741</v>
      </c>
      <c r="B177" s="8">
        <v>17.2</v>
      </c>
    </row>
    <row r="178" spans="1:2">
      <c r="A178" s="7">
        <v>9771</v>
      </c>
      <c r="B178" s="8">
        <v>17.100000000000001</v>
      </c>
    </row>
    <row r="179" spans="1:2">
      <c r="A179" s="7">
        <v>9802</v>
      </c>
      <c r="B179" s="8">
        <v>17</v>
      </c>
    </row>
    <row r="180" spans="1:2">
      <c r="A180" s="7">
        <v>9832</v>
      </c>
      <c r="B180" s="8">
        <v>16.899999999999999</v>
      </c>
    </row>
    <row r="181" spans="1:2">
      <c r="A181" s="7">
        <v>9863</v>
      </c>
      <c r="B181" s="8">
        <v>16.399999999999999</v>
      </c>
    </row>
    <row r="182" spans="1:2">
      <c r="A182" s="7">
        <v>9894</v>
      </c>
      <c r="B182" s="8">
        <v>16.600000000000001</v>
      </c>
    </row>
    <row r="183" spans="1:2">
      <c r="A183" s="7">
        <v>9922</v>
      </c>
      <c r="B183" s="8">
        <v>16.5</v>
      </c>
    </row>
    <row r="184" spans="1:2">
      <c r="A184" s="7">
        <v>9953</v>
      </c>
      <c r="B184" s="8">
        <v>16.3</v>
      </c>
    </row>
    <row r="185" spans="1:2">
      <c r="A185" s="7">
        <v>9983</v>
      </c>
      <c r="B185" s="8">
        <v>16.2</v>
      </c>
    </row>
    <row r="186" spans="1:2">
      <c r="A186" s="7">
        <v>10014</v>
      </c>
      <c r="B186" s="8">
        <v>16.2</v>
      </c>
    </row>
    <row r="187" spans="1:2">
      <c r="A187" s="7">
        <v>10044</v>
      </c>
      <c r="B187" s="8">
        <v>16.2</v>
      </c>
    </row>
    <row r="188" spans="1:2">
      <c r="A188" s="7">
        <v>10075</v>
      </c>
      <c r="B188" s="8">
        <v>16.399999999999999</v>
      </c>
    </row>
    <row r="189" spans="1:2">
      <c r="A189" s="7">
        <v>10106</v>
      </c>
      <c r="B189" s="8">
        <v>16.600000000000001</v>
      </c>
    </row>
    <row r="190" spans="1:2">
      <c r="A190" s="7">
        <v>10136</v>
      </c>
      <c r="B190" s="8">
        <v>16.7</v>
      </c>
    </row>
    <row r="191" spans="1:2">
      <c r="A191" s="7">
        <v>10167</v>
      </c>
      <c r="B191" s="8">
        <v>16.600000000000001</v>
      </c>
    </row>
    <row r="192" spans="1:2">
      <c r="A192" s="7">
        <v>10197</v>
      </c>
      <c r="B192" s="8">
        <v>16.600000000000001</v>
      </c>
    </row>
    <row r="193" spans="1:2">
      <c r="A193" s="7">
        <v>10228</v>
      </c>
      <c r="B193" s="8">
        <v>16.600000000000001</v>
      </c>
    </row>
    <row r="194" spans="1:2">
      <c r="A194" s="7">
        <v>10259</v>
      </c>
      <c r="B194" s="8">
        <v>16.5</v>
      </c>
    </row>
    <row r="195" spans="1:2">
      <c r="A195" s="7">
        <v>10288</v>
      </c>
      <c r="B195" s="8">
        <v>16.5</v>
      </c>
    </row>
    <row r="196" spans="1:2">
      <c r="A196" s="7">
        <v>10319</v>
      </c>
      <c r="B196" s="8">
        <v>16.7</v>
      </c>
    </row>
    <row r="197" spans="1:2">
      <c r="A197" s="7">
        <v>10349</v>
      </c>
      <c r="B197" s="8">
        <v>16.8</v>
      </c>
    </row>
    <row r="198" spans="1:2">
      <c r="A198" s="7">
        <v>10380</v>
      </c>
      <c r="B198" s="8">
        <v>16.7</v>
      </c>
    </row>
    <row r="199" spans="1:2">
      <c r="A199" s="7">
        <v>10410</v>
      </c>
      <c r="B199" s="8">
        <v>16.8</v>
      </c>
    </row>
    <row r="200" spans="1:2">
      <c r="A200" s="7">
        <v>10441</v>
      </c>
      <c r="B200" s="8">
        <v>16.8</v>
      </c>
    </row>
    <row r="201" spans="1:2">
      <c r="A201" s="7">
        <v>10472</v>
      </c>
      <c r="B201" s="8">
        <v>17</v>
      </c>
    </row>
    <row r="202" spans="1:2">
      <c r="A202" s="7">
        <v>10502</v>
      </c>
      <c r="B202" s="8">
        <v>16.7</v>
      </c>
    </row>
    <row r="203" spans="1:2">
      <c r="A203" s="7">
        <v>10533</v>
      </c>
      <c r="B203" s="8">
        <v>16.5</v>
      </c>
    </row>
    <row r="204" spans="1:2">
      <c r="A204" s="7">
        <v>10563</v>
      </c>
      <c r="B204" s="8">
        <v>16.5</v>
      </c>
    </row>
    <row r="205" spans="1:2">
      <c r="A205" s="7">
        <v>10594</v>
      </c>
      <c r="B205" s="8">
        <v>16.5</v>
      </c>
    </row>
    <row r="206" spans="1:2">
      <c r="A206" s="7">
        <v>10625</v>
      </c>
      <c r="B206" s="8">
        <v>16.399999999999999</v>
      </c>
    </row>
    <row r="207" spans="1:2">
      <c r="A207" s="7">
        <v>10653</v>
      </c>
      <c r="B207" s="8">
        <v>16.600000000000001</v>
      </c>
    </row>
    <row r="208" spans="1:2">
      <c r="A208" s="7">
        <v>10684</v>
      </c>
      <c r="B208" s="8">
        <v>16.5</v>
      </c>
    </row>
    <row r="209" spans="1:2">
      <c r="A209" s="7">
        <v>10714</v>
      </c>
      <c r="B209" s="8">
        <v>16.3</v>
      </c>
    </row>
    <row r="210" spans="1:2">
      <c r="A210" s="7">
        <v>10745</v>
      </c>
      <c r="B210" s="8">
        <v>16.399999999999999</v>
      </c>
    </row>
    <row r="211" spans="1:2">
      <c r="A211" s="7">
        <v>10775</v>
      </c>
      <c r="B211" s="8">
        <v>16.600000000000001</v>
      </c>
    </row>
    <row r="212" spans="1:2">
      <c r="A212" s="7">
        <v>10806</v>
      </c>
      <c r="B212" s="8">
        <v>16.600000000000001</v>
      </c>
    </row>
    <row r="213" spans="1:2">
      <c r="A213" s="7">
        <v>10837</v>
      </c>
      <c r="B213" s="8">
        <v>16.600000000000001</v>
      </c>
    </row>
    <row r="214" spans="1:2">
      <c r="A214" s="7">
        <v>10867</v>
      </c>
      <c r="B214" s="8">
        <v>16.399999999999999</v>
      </c>
    </row>
    <row r="215" spans="1:2">
      <c r="A215" s="7">
        <v>10898</v>
      </c>
      <c r="B215" s="8">
        <v>16.100000000000001</v>
      </c>
    </row>
    <row r="216" spans="1:2">
      <c r="A216" s="7">
        <v>10928</v>
      </c>
      <c r="B216" s="8">
        <v>16.100000000000001</v>
      </c>
    </row>
    <row r="217" spans="1:2">
      <c r="A217" s="7">
        <v>10959</v>
      </c>
      <c r="B217" s="8">
        <v>15.9</v>
      </c>
    </row>
    <row r="218" spans="1:2">
      <c r="A218" s="7">
        <v>10990</v>
      </c>
      <c r="B218" s="8">
        <v>15.7</v>
      </c>
    </row>
    <row r="219" spans="1:2">
      <c r="A219" s="7">
        <v>11018</v>
      </c>
      <c r="B219" s="8">
        <v>15.5</v>
      </c>
    </row>
    <row r="220" spans="1:2">
      <c r="A220" s="7">
        <v>11049</v>
      </c>
      <c r="B220" s="8">
        <v>15.5</v>
      </c>
    </row>
    <row r="221" spans="1:2">
      <c r="A221" s="7">
        <v>11079</v>
      </c>
      <c r="B221" s="8">
        <v>15.3</v>
      </c>
    </row>
    <row r="222" spans="1:2">
      <c r="A222" s="7">
        <v>11110</v>
      </c>
      <c r="B222" s="8">
        <v>15</v>
      </c>
    </row>
    <row r="223" spans="1:2">
      <c r="A223" s="7">
        <v>11140</v>
      </c>
      <c r="B223" s="8">
        <v>14.5</v>
      </c>
    </row>
    <row r="224" spans="1:2">
      <c r="A224" s="7">
        <v>11171</v>
      </c>
      <c r="B224" s="8">
        <v>14.5</v>
      </c>
    </row>
    <row r="225" spans="1:2">
      <c r="A225" s="7">
        <v>11202</v>
      </c>
      <c r="B225" s="8">
        <v>14.5</v>
      </c>
    </row>
    <row r="226" spans="1:2">
      <c r="A226" s="7">
        <v>11232</v>
      </c>
      <c r="B226" s="8">
        <v>14.3</v>
      </c>
    </row>
    <row r="227" spans="1:2">
      <c r="A227" s="7">
        <v>11263</v>
      </c>
      <c r="B227" s="8">
        <v>14</v>
      </c>
    </row>
    <row r="228" spans="1:2">
      <c r="A228" s="7">
        <v>11293</v>
      </c>
      <c r="B228" s="8">
        <v>13.7</v>
      </c>
    </row>
    <row r="229" spans="1:2">
      <c r="A229" s="7">
        <v>11324</v>
      </c>
      <c r="B229" s="8">
        <v>13.5</v>
      </c>
    </row>
    <row r="230" spans="1:2">
      <c r="A230" s="7">
        <v>11355</v>
      </c>
      <c r="B230" s="8">
        <v>13.2</v>
      </c>
    </row>
    <row r="231" spans="1:2">
      <c r="A231" s="7">
        <v>11383</v>
      </c>
      <c r="B231" s="8">
        <v>13.1</v>
      </c>
    </row>
    <row r="232" spans="1:2">
      <c r="A232" s="7">
        <v>11414</v>
      </c>
      <c r="B232" s="8">
        <v>12.9</v>
      </c>
    </row>
    <row r="233" spans="1:2">
      <c r="A233" s="7">
        <v>11444</v>
      </c>
      <c r="B233" s="8">
        <v>12.6</v>
      </c>
    </row>
    <row r="234" spans="1:2">
      <c r="A234" s="7">
        <v>11475</v>
      </c>
      <c r="B234" s="8">
        <v>12.4</v>
      </c>
    </row>
    <row r="235" spans="1:2">
      <c r="A235" s="7">
        <v>11505</v>
      </c>
      <c r="B235" s="8">
        <v>12.4</v>
      </c>
    </row>
    <row r="236" spans="1:2">
      <c r="A236" s="7">
        <v>11536</v>
      </c>
      <c r="B236" s="8">
        <v>12.4</v>
      </c>
    </row>
    <row r="237" spans="1:2">
      <c r="A237" s="7">
        <v>11567</v>
      </c>
      <c r="B237" s="8">
        <v>12.3</v>
      </c>
    </row>
    <row r="238" spans="1:2">
      <c r="A238" s="7">
        <v>11597</v>
      </c>
      <c r="B238" s="8">
        <v>12.1</v>
      </c>
    </row>
    <row r="239" spans="1:2">
      <c r="A239" s="7">
        <v>11628</v>
      </c>
      <c r="B239" s="8">
        <v>12.1</v>
      </c>
    </row>
    <row r="240" spans="1:2">
      <c r="A240" s="7">
        <v>11658</v>
      </c>
      <c r="B240" s="8">
        <v>11.8</v>
      </c>
    </row>
    <row r="241" spans="1:2">
      <c r="A241" s="7">
        <v>11689</v>
      </c>
      <c r="B241" s="8">
        <v>11.6</v>
      </c>
    </row>
    <row r="242" spans="1:2">
      <c r="A242" s="7">
        <v>11720</v>
      </c>
      <c r="B242" s="8">
        <v>11.4</v>
      </c>
    </row>
    <row r="243" spans="1:2">
      <c r="A243" s="7">
        <v>11749</v>
      </c>
      <c r="B243" s="8">
        <v>11.4</v>
      </c>
    </row>
    <row r="244" spans="1:2">
      <c r="A244" s="7">
        <v>11780</v>
      </c>
      <c r="B244" s="8">
        <v>11.3</v>
      </c>
    </row>
    <row r="245" spans="1:2">
      <c r="A245" s="7">
        <v>11810</v>
      </c>
      <c r="B245" s="8">
        <v>11.1</v>
      </c>
    </row>
    <row r="246" spans="1:2">
      <c r="A246" s="7">
        <v>11841</v>
      </c>
      <c r="B246" s="8">
        <v>11</v>
      </c>
    </row>
    <row r="247" spans="1:2">
      <c r="A247" s="7">
        <v>11871</v>
      </c>
      <c r="B247" s="8">
        <v>11.1</v>
      </c>
    </row>
    <row r="248" spans="1:2">
      <c r="A248" s="7">
        <v>11902</v>
      </c>
      <c r="B248" s="8">
        <v>11.2</v>
      </c>
    </row>
    <row r="249" spans="1:2">
      <c r="A249" s="7">
        <v>11933</v>
      </c>
      <c r="B249" s="8">
        <v>11.3</v>
      </c>
    </row>
    <row r="250" spans="1:2">
      <c r="A250" s="7">
        <v>11963</v>
      </c>
      <c r="B250" s="8">
        <v>11.1</v>
      </c>
    </row>
    <row r="251" spans="1:2">
      <c r="A251" s="7">
        <v>11994</v>
      </c>
      <c r="B251" s="8">
        <v>11</v>
      </c>
    </row>
    <row r="252" spans="1:2">
      <c r="A252" s="7">
        <v>12024</v>
      </c>
      <c r="B252" s="8">
        <v>10.8</v>
      </c>
    </row>
    <row r="253" spans="1:2">
      <c r="A253" s="7">
        <v>12055</v>
      </c>
      <c r="B253" s="8">
        <v>10.5</v>
      </c>
    </row>
    <row r="254" spans="1:2">
      <c r="A254" s="7">
        <v>12086</v>
      </c>
      <c r="B254" s="8">
        <v>10.3</v>
      </c>
    </row>
    <row r="255" spans="1:2">
      <c r="A255" s="7">
        <v>12114</v>
      </c>
      <c r="B255" s="8">
        <v>10.4</v>
      </c>
    </row>
    <row r="256" spans="1:2">
      <c r="A256" s="7">
        <v>12145</v>
      </c>
      <c r="B256" s="8">
        <v>10.4</v>
      </c>
    </row>
    <row r="257" spans="1:2">
      <c r="A257" s="7">
        <v>12175</v>
      </c>
      <c r="B257" s="8">
        <v>10.8</v>
      </c>
    </row>
    <row r="258" spans="1:2">
      <c r="A258" s="7">
        <v>12206</v>
      </c>
      <c r="B258" s="8">
        <v>11.2</v>
      </c>
    </row>
    <row r="259" spans="1:2">
      <c r="A259" s="7">
        <v>12236</v>
      </c>
      <c r="B259" s="8">
        <v>11.9</v>
      </c>
    </row>
    <row r="260" spans="1:2">
      <c r="A260" s="7">
        <v>12267</v>
      </c>
      <c r="B260" s="8">
        <v>12</v>
      </c>
    </row>
    <row r="261" spans="1:2">
      <c r="A261" s="7">
        <v>12298</v>
      </c>
      <c r="B261" s="8">
        <v>12.2</v>
      </c>
    </row>
    <row r="262" spans="1:2">
      <c r="A262" s="7">
        <v>12328</v>
      </c>
      <c r="B262" s="8">
        <v>12.3</v>
      </c>
    </row>
    <row r="263" spans="1:2">
      <c r="A263" s="7">
        <v>12359</v>
      </c>
      <c r="B263" s="8">
        <v>12.3</v>
      </c>
    </row>
    <row r="264" spans="1:2">
      <c r="A264" s="7">
        <v>12389</v>
      </c>
      <c r="B264" s="8">
        <v>12.2</v>
      </c>
    </row>
    <row r="265" spans="1:2">
      <c r="A265" s="7">
        <v>12420</v>
      </c>
      <c r="B265" s="8">
        <v>12.4</v>
      </c>
    </row>
    <row r="266" spans="1:2">
      <c r="A266" s="7">
        <v>12451</v>
      </c>
      <c r="B266" s="8">
        <v>12.7</v>
      </c>
    </row>
    <row r="267" spans="1:2">
      <c r="A267" s="7">
        <v>12479</v>
      </c>
      <c r="B267" s="8">
        <v>12.7</v>
      </c>
    </row>
    <row r="268" spans="1:2">
      <c r="A268" s="7">
        <v>12510</v>
      </c>
      <c r="B268" s="8">
        <v>12.7</v>
      </c>
    </row>
    <row r="269" spans="1:2">
      <c r="A269" s="7">
        <v>12540</v>
      </c>
      <c r="B269" s="8">
        <v>12.7</v>
      </c>
    </row>
    <row r="270" spans="1:2">
      <c r="A270" s="7">
        <v>12571</v>
      </c>
      <c r="B270" s="8">
        <v>12.9</v>
      </c>
    </row>
    <row r="271" spans="1:2">
      <c r="A271" s="7">
        <v>12601</v>
      </c>
      <c r="B271" s="8">
        <v>12.9</v>
      </c>
    </row>
    <row r="272" spans="1:2">
      <c r="A272" s="7">
        <v>12632</v>
      </c>
      <c r="B272" s="8">
        <v>13.2</v>
      </c>
    </row>
    <row r="273" spans="1:2">
      <c r="A273" s="7">
        <v>12663</v>
      </c>
      <c r="B273" s="8">
        <v>13.4</v>
      </c>
    </row>
    <row r="274" spans="1:2">
      <c r="A274" s="7">
        <v>12693</v>
      </c>
      <c r="B274" s="8">
        <v>13.2</v>
      </c>
    </row>
    <row r="275" spans="1:2">
      <c r="A275" s="7">
        <v>12724</v>
      </c>
      <c r="B275" s="8">
        <v>13.2</v>
      </c>
    </row>
    <row r="276" spans="1:2">
      <c r="A276" s="7">
        <v>12754</v>
      </c>
      <c r="B276" s="8">
        <v>13.3</v>
      </c>
    </row>
    <row r="277" spans="1:2">
      <c r="A277" s="7">
        <v>12785</v>
      </c>
      <c r="B277" s="8">
        <v>13.6</v>
      </c>
    </row>
    <row r="278" spans="1:2">
      <c r="A278" s="7">
        <v>12816</v>
      </c>
      <c r="B278" s="8">
        <v>13.7</v>
      </c>
    </row>
    <row r="279" spans="1:2">
      <c r="A279" s="7">
        <v>12844</v>
      </c>
      <c r="B279" s="8">
        <v>13.7</v>
      </c>
    </row>
    <row r="280" spans="1:2">
      <c r="A280" s="7">
        <v>12875</v>
      </c>
      <c r="B280" s="8">
        <v>13.8</v>
      </c>
    </row>
    <row r="281" spans="1:2">
      <c r="A281" s="7">
        <v>12905</v>
      </c>
      <c r="B281" s="8">
        <v>13.8</v>
      </c>
    </row>
    <row r="282" spans="1:2">
      <c r="A282" s="7">
        <v>12936</v>
      </c>
      <c r="B282" s="8">
        <v>13.8</v>
      </c>
    </row>
    <row r="283" spans="1:2">
      <c r="A283" s="7">
        <v>12966</v>
      </c>
      <c r="B283" s="8">
        <v>13.7</v>
      </c>
    </row>
    <row r="284" spans="1:2">
      <c r="A284" s="7">
        <v>12997</v>
      </c>
      <c r="B284" s="8">
        <v>13.9</v>
      </c>
    </row>
    <row r="285" spans="1:2">
      <c r="A285" s="7">
        <v>13028</v>
      </c>
      <c r="B285" s="8">
        <v>13.9</v>
      </c>
    </row>
    <row r="286" spans="1:2">
      <c r="A286" s="7">
        <v>13058</v>
      </c>
      <c r="B286" s="8">
        <v>13.9</v>
      </c>
    </row>
    <row r="287" spans="1:2">
      <c r="A287" s="7">
        <v>13089</v>
      </c>
      <c r="B287" s="8">
        <v>13.9</v>
      </c>
    </row>
    <row r="288" spans="1:2">
      <c r="A288" s="7">
        <v>13119</v>
      </c>
      <c r="B288" s="8">
        <v>14</v>
      </c>
    </row>
    <row r="289" spans="1:2">
      <c r="A289" s="7">
        <v>13150</v>
      </c>
      <c r="B289" s="8">
        <v>13.9</v>
      </c>
    </row>
    <row r="290" spans="1:2">
      <c r="A290" s="7">
        <v>13181</v>
      </c>
      <c r="B290" s="8">
        <v>13.9</v>
      </c>
    </row>
    <row r="291" spans="1:2">
      <c r="A291" s="7">
        <v>13210</v>
      </c>
      <c r="B291" s="8">
        <v>13.7</v>
      </c>
    </row>
    <row r="292" spans="1:2">
      <c r="A292" s="7">
        <v>13241</v>
      </c>
      <c r="B292" s="8">
        <v>13.7</v>
      </c>
    </row>
    <row r="293" spans="1:2">
      <c r="A293" s="7">
        <v>13271</v>
      </c>
      <c r="B293" s="8">
        <v>13.5</v>
      </c>
    </row>
    <row r="294" spans="1:2">
      <c r="A294" s="7">
        <v>13302</v>
      </c>
      <c r="B294" s="8">
        <v>13.7</v>
      </c>
    </row>
    <row r="295" spans="1:2">
      <c r="A295" s="7">
        <v>13332</v>
      </c>
      <c r="B295" s="8">
        <v>13.9</v>
      </c>
    </row>
    <row r="296" spans="1:2">
      <c r="A296" s="7">
        <v>13363</v>
      </c>
      <c r="B296" s="8">
        <v>14</v>
      </c>
    </row>
    <row r="297" spans="1:2">
      <c r="A297" s="7">
        <v>13394</v>
      </c>
      <c r="B297" s="8">
        <v>14</v>
      </c>
    </row>
    <row r="298" spans="1:2">
      <c r="A298" s="7">
        <v>13424</v>
      </c>
      <c r="B298" s="8">
        <v>14</v>
      </c>
    </row>
    <row r="299" spans="1:2">
      <c r="A299" s="7">
        <v>13455</v>
      </c>
      <c r="B299" s="8">
        <v>14.2</v>
      </c>
    </row>
    <row r="300" spans="1:2">
      <c r="A300" s="7">
        <v>13485</v>
      </c>
      <c r="B300" s="8">
        <v>14.5</v>
      </c>
    </row>
    <row r="301" spans="1:2">
      <c r="A301" s="7">
        <v>13516</v>
      </c>
      <c r="B301" s="8">
        <v>14.8</v>
      </c>
    </row>
    <row r="302" spans="1:2">
      <c r="A302" s="7">
        <v>13547</v>
      </c>
      <c r="B302" s="8">
        <v>14.9</v>
      </c>
    </row>
    <row r="303" spans="1:2">
      <c r="A303" s="7">
        <v>13575</v>
      </c>
      <c r="B303" s="8">
        <v>15.1</v>
      </c>
    </row>
    <row r="304" spans="1:2">
      <c r="A304" s="7">
        <v>13606</v>
      </c>
      <c r="B304" s="8">
        <v>15.2</v>
      </c>
    </row>
    <row r="305" spans="1:2">
      <c r="A305" s="7">
        <v>13636</v>
      </c>
      <c r="B305" s="8">
        <v>15.1</v>
      </c>
    </row>
    <row r="306" spans="1:2">
      <c r="A306" s="7">
        <v>13667</v>
      </c>
      <c r="B306" s="8">
        <v>15</v>
      </c>
    </row>
    <row r="307" spans="1:2">
      <c r="A307" s="7">
        <v>13697</v>
      </c>
      <c r="B307" s="8">
        <v>15.2</v>
      </c>
    </row>
    <row r="308" spans="1:2">
      <c r="A308" s="7">
        <v>13728</v>
      </c>
      <c r="B308" s="8">
        <v>15.1</v>
      </c>
    </row>
    <row r="309" spans="1:2">
      <c r="A309" s="7">
        <v>13759</v>
      </c>
      <c r="B309" s="8">
        <v>15.1</v>
      </c>
    </row>
    <row r="310" spans="1:2">
      <c r="A310" s="7">
        <v>13789</v>
      </c>
      <c r="B310" s="8">
        <v>14.7</v>
      </c>
    </row>
    <row r="311" spans="1:2">
      <c r="A311" s="7">
        <v>13820</v>
      </c>
      <c r="B311" s="8">
        <v>14.4</v>
      </c>
    </row>
    <row r="312" spans="1:2">
      <c r="A312" s="7">
        <v>13850</v>
      </c>
      <c r="B312" s="8">
        <v>14.1</v>
      </c>
    </row>
    <row r="313" spans="1:2">
      <c r="A313" s="7">
        <v>13881</v>
      </c>
      <c r="B313" s="8">
        <v>14</v>
      </c>
    </row>
    <row r="314" spans="1:2">
      <c r="A314" s="7">
        <v>13912</v>
      </c>
      <c r="B314" s="8">
        <v>13.8</v>
      </c>
    </row>
    <row r="315" spans="1:2">
      <c r="A315" s="7">
        <v>13940</v>
      </c>
      <c r="B315" s="8">
        <v>13.7</v>
      </c>
    </row>
    <row r="316" spans="1:2">
      <c r="A316" s="7">
        <v>13971</v>
      </c>
      <c r="B316" s="8">
        <v>13.5</v>
      </c>
    </row>
    <row r="317" spans="1:2">
      <c r="A317" s="7">
        <v>14001</v>
      </c>
      <c r="B317" s="8">
        <v>13.5</v>
      </c>
    </row>
    <row r="318" spans="1:2">
      <c r="A318" s="7">
        <v>14032</v>
      </c>
      <c r="B318" s="8">
        <v>13.5</v>
      </c>
    </row>
    <row r="319" spans="1:2">
      <c r="A319" s="7">
        <v>14062</v>
      </c>
      <c r="B319" s="8">
        <v>13.6</v>
      </c>
    </row>
    <row r="320" spans="1:2">
      <c r="A320" s="7">
        <v>14093</v>
      </c>
      <c r="B320" s="8">
        <v>13.4</v>
      </c>
    </row>
    <row r="321" spans="1:2">
      <c r="A321" s="7">
        <v>14124</v>
      </c>
      <c r="B321" s="8">
        <v>13.5</v>
      </c>
    </row>
    <row r="322" spans="1:2">
      <c r="A322" s="7">
        <v>14154</v>
      </c>
      <c r="B322" s="8">
        <v>13.4</v>
      </c>
    </row>
    <row r="323" spans="1:2">
      <c r="A323" s="7">
        <v>14185</v>
      </c>
      <c r="B323" s="8">
        <v>13.4</v>
      </c>
    </row>
    <row r="324" spans="1:2">
      <c r="A324" s="7">
        <v>14215</v>
      </c>
      <c r="B324" s="8">
        <v>13.3</v>
      </c>
    </row>
    <row r="325" spans="1:2">
      <c r="A325" s="7">
        <v>14246</v>
      </c>
      <c r="B325" s="8">
        <v>13.3</v>
      </c>
    </row>
    <row r="326" spans="1:2">
      <c r="A326" s="7">
        <v>14277</v>
      </c>
      <c r="B326" s="8">
        <v>13.3</v>
      </c>
    </row>
    <row r="327" spans="1:2">
      <c r="A327" s="7">
        <v>14305</v>
      </c>
      <c r="B327" s="8">
        <v>13.2</v>
      </c>
    </row>
    <row r="328" spans="1:2">
      <c r="A328" s="7">
        <v>14336</v>
      </c>
      <c r="B328" s="8">
        <v>13.1</v>
      </c>
    </row>
    <row r="329" spans="1:2">
      <c r="A329" s="7">
        <v>14366</v>
      </c>
      <c r="B329" s="8">
        <v>13.1</v>
      </c>
    </row>
    <row r="330" spans="1:2">
      <c r="A330" s="7">
        <v>14397</v>
      </c>
      <c r="B330" s="8">
        <v>13</v>
      </c>
    </row>
    <row r="331" spans="1:2">
      <c r="A331" s="7">
        <v>14427</v>
      </c>
      <c r="B331" s="8">
        <v>13</v>
      </c>
    </row>
    <row r="332" spans="1:2">
      <c r="A332" s="7">
        <v>14458</v>
      </c>
      <c r="B332" s="8">
        <v>12.9</v>
      </c>
    </row>
    <row r="333" spans="1:2">
      <c r="A333" s="7">
        <v>14489</v>
      </c>
      <c r="B333" s="8">
        <v>13.6</v>
      </c>
    </row>
    <row r="334" spans="1:2">
      <c r="A334" s="7">
        <v>14519</v>
      </c>
      <c r="B334" s="8">
        <v>13.7</v>
      </c>
    </row>
    <row r="335" spans="1:2">
      <c r="A335" s="7">
        <v>14550</v>
      </c>
      <c r="B335" s="8">
        <v>13.6</v>
      </c>
    </row>
    <row r="336" spans="1:2">
      <c r="A336" s="7">
        <v>14580</v>
      </c>
      <c r="B336" s="8">
        <v>13.7</v>
      </c>
    </row>
    <row r="337" spans="1:2">
      <c r="A337" s="7">
        <v>14611</v>
      </c>
      <c r="B337" s="8">
        <v>13.7</v>
      </c>
    </row>
    <row r="338" spans="1:2">
      <c r="A338" s="7">
        <v>14642</v>
      </c>
      <c r="B338" s="8">
        <v>13.6</v>
      </c>
    </row>
    <row r="339" spans="1:2">
      <c r="A339" s="7">
        <v>14671</v>
      </c>
      <c r="B339" s="8">
        <v>13.5</v>
      </c>
    </row>
    <row r="340" spans="1:2">
      <c r="A340" s="7">
        <v>14702</v>
      </c>
      <c r="B340" s="8">
        <v>13.5</v>
      </c>
    </row>
    <row r="341" spans="1:2">
      <c r="A341" s="7">
        <v>14732</v>
      </c>
      <c r="B341" s="8">
        <v>13.5</v>
      </c>
    </row>
    <row r="342" spans="1:2">
      <c r="A342" s="7">
        <v>14763</v>
      </c>
      <c r="B342" s="8">
        <v>13.4</v>
      </c>
    </row>
    <row r="343" spans="1:2">
      <c r="A343" s="7">
        <v>14793</v>
      </c>
      <c r="B343" s="8">
        <v>13.4</v>
      </c>
    </row>
    <row r="344" spans="1:2">
      <c r="A344" s="7">
        <v>14824</v>
      </c>
      <c r="B344" s="8">
        <v>13.4</v>
      </c>
    </row>
    <row r="345" spans="1:2">
      <c r="A345" s="7">
        <v>14855</v>
      </c>
      <c r="B345" s="8">
        <v>13.4</v>
      </c>
    </row>
    <row r="346" spans="1:2">
      <c r="A346" s="7">
        <v>14885</v>
      </c>
      <c r="B346" s="8">
        <v>13.6</v>
      </c>
    </row>
    <row r="347" spans="1:2">
      <c r="A347" s="7">
        <v>14916</v>
      </c>
      <c r="B347" s="8">
        <v>13.7</v>
      </c>
    </row>
    <row r="348" spans="1:2">
      <c r="A348" s="7">
        <v>14946</v>
      </c>
      <c r="B348" s="8">
        <v>13.8</v>
      </c>
    </row>
    <row r="349" spans="1:2">
      <c r="A349" s="7">
        <v>14977</v>
      </c>
      <c r="B349" s="8">
        <v>13.9</v>
      </c>
    </row>
    <row r="350" spans="1:2">
      <c r="A350" s="7">
        <v>15008</v>
      </c>
      <c r="B350" s="8">
        <v>13.9</v>
      </c>
    </row>
    <row r="351" spans="1:2">
      <c r="A351" s="7">
        <v>15036</v>
      </c>
      <c r="B351" s="8">
        <v>14</v>
      </c>
    </row>
    <row r="352" spans="1:2">
      <c r="A352" s="7">
        <v>15067</v>
      </c>
      <c r="B352" s="8">
        <v>14.4</v>
      </c>
    </row>
    <row r="353" spans="1:2">
      <c r="A353" s="7">
        <v>15097</v>
      </c>
      <c r="B353" s="8">
        <v>14.6</v>
      </c>
    </row>
    <row r="354" spans="1:2">
      <c r="A354" s="7">
        <v>15128</v>
      </c>
      <c r="B354" s="8">
        <v>15</v>
      </c>
    </row>
    <row r="355" spans="1:2">
      <c r="A355" s="7">
        <v>15158</v>
      </c>
      <c r="B355" s="8">
        <v>15.3</v>
      </c>
    </row>
    <row r="356" spans="1:2">
      <c r="A356" s="7">
        <v>15189</v>
      </c>
      <c r="B356" s="8">
        <v>15.6</v>
      </c>
    </row>
    <row r="357" spans="1:2">
      <c r="A357" s="7">
        <v>15220</v>
      </c>
      <c r="B357" s="8">
        <v>15.8</v>
      </c>
    </row>
    <row r="358" spans="1:2">
      <c r="A358" s="7">
        <v>15250</v>
      </c>
      <c r="B358" s="8">
        <v>15.9</v>
      </c>
    </row>
    <row r="359" spans="1:2">
      <c r="A359" s="7">
        <v>15281</v>
      </c>
      <c r="B359" s="8">
        <v>15.9</v>
      </c>
    </row>
    <row r="360" spans="1:2">
      <c r="A360" s="7">
        <v>15311</v>
      </c>
      <c r="B360" s="8">
        <v>16.2</v>
      </c>
    </row>
    <row r="361" spans="1:2">
      <c r="A361" s="7">
        <v>15342</v>
      </c>
      <c r="B361" s="8">
        <v>16.5</v>
      </c>
    </row>
    <row r="362" spans="1:2">
      <c r="A362" s="7">
        <v>15373</v>
      </c>
      <c r="B362" s="8">
        <v>16.7</v>
      </c>
    </row>
    <row r="363" spans="1:2">
      <c r="A363" s="7">
        <v>15401</v>
      </c>
      <c r="B363" s="8">
        <v>16.8</v>
      </c>
    </row>
    <row r="364" spans="1:2">
      <c r="A364" s="7">
        <v>15432</v>
      </c>
      <c r="B364" s="8">
        <v>17</v>
      </c>
    </row>
    <row r="365" spans="1:2">
      <c r="A365" s="7">
        <v>15462</v>
      </c>
      <c r="B365" s="8">
        <v>17</v>
      </c>
    </row>
    <row r="366" spans="1:2">
      <c r="A366" s="7">
        <v>15493</v>
      </c>
      <c r="B366" s="8">
        <v>17</v>
      </c>
    </row>
    <row r="367" spans="1:2">
      <c r="A367" s="7">
        <v>15523</v>
      </c>
      <c r="B367" s="8">
        <v>17</v>
      </c>
    </row>
    <row r="368" spans="1:2">
      <c r="A368" s="7">
        <v>15554</v>
      </c>
      <c r="B368" s="8">
        <v>17.100000000000001</v>
      </c>
    </row>
    <row r="369" spans="1:2">
      <c r="A369" s="7">
        <v>15585</v>
      </c>
      <c r="B369" s="8">
        <v>17.2</v>
      </c>
    </row>
    <row r="370" spans="1:2">
      <c r="A370" s="7">
        <v>15615</v>
      </c>
      <c r="B370" s="8">
        <v>17.2</v>
      </c>
    </row>
    <row r="371" spans="1:2">
      <c r="A371" s="7">
        <v>15646</v>
      </c>
      <c r="B371" s="8">
        <v>17.3</v>
      </c>
    </row>
    <row r="372" spans="1:2">
      <c r="A372" s="7">
        <v>15676</v>
      </c>
      <c r="B372" s="8">
        <v>17.399999999999999</v>
      </c>
    </row>
    <row r="373" spans="1:2">
      <c r="A373" s="7">
        <v>15707</v>
      </c>
      <c r="B373" s="8">
        <v>17.5</v>
      </c>
    </row>
    <row r="374" spans="1:2">
      <c r="A374" s="7">
        <v>15738</v>
      </c>
      <c r="B374" s="8">
        <v>17.7</v>
      </c>
    </row>
    <row r="375" spans="1:2">
      <c r="A375" s="7">
        <v>15766</v>
      </c>
      <c r="B375" s="8">
        <v>17.8</v>
      </c>
    </row>
    <row r="376" spans="1:2">
      <c r="A376" s="7">
        <v>15797</v>
      </c>
      <c r="B376" s="8">
        <v>17.899999999999999</v>
      </c>
    </row>
    <row r="377" spans="1:2">
      <c r="A377" s="7">
        <v>15827</v>
      </c>
      <c r="B377" s="8">
        <v>17.899999999999999</v>
      </c>
    </row>
    <row r="378" spans="1:2">
      <c r="A378" s="7">
        <v>15858</v>
      </c>
      <c r="B378" s="8">
        <v>17.899999999999999</v>
      </c>
    </row>
    <row r="379" spans="1:2">
      <c r="A379" s="7">
        <v>15888</v>
      </c>
      <c r="B379" s="8">
        <v>17.8</v>
      </c>
    </row>
    <row r="380" spans="1:2">
      <c r="A380" s="7">
        <v>15919</v>
      </c>
      <c r="B380" s="8">
        <v>17.8</v>
      </c>
    </row>
    <row r="381" spans="1:2">
      <c r="A381" s="7">
        <v>15950</v>
      </c>
      <c r="B381" s="8">
        <v>17.8</v>
      </c>
    </row>
    <row r="382" spans="1:2">
      <c r="A382" s="7">
        <v>15980</v>
      </c>
      <c r="B382" s="8">
        <v>17.8</v>
      </c>
    </row>
    <row r="383" spans="1:2">
      <c r="A383" s="7">
        <v>16011</v>
      </c>
      <c r="B383" s="8">
        <v>17.7</v>
      </c>
    </row>
    <row r="384" spans="1:2">
      <c r="A384" s="7">
        <v>16041</v>
      </c>
      <c r="B384" s="8">
        <v>17.8</v>
      </c>
    </row>
    <row r="385" spans="1:2">
      <c r="A385" s="7">
        <v>16072</v>
      </c>
      <c r="B385" s="8">
        <v>17.8</v>
      </c>
    </row>
    <row r="386" spans="1:2">
      <c r="A386" s="7">
        <v>16103</v>
      </c>
      <c r="B386" s="8">
        <v>17.8</v>
      </c>
    </row>
    <row r="387" spans="1:2">
      <c r="A387" s="7">
        <v>16132</v>
      </c>
      <c r="B387" s="8">
        <v>17.899999999999999</v>
      </c>
    </row>
    <row r="388" spans="1:2">
      <c r="A388" s="7">
        <v>16163</v>
      </c>
      <c r="B388" s="8">
        <v>17.899999999999999</v>
      </c>
    </row>
    <row r="389" spans="1:2">
      <c r="A389" s="7">
        <v>16193</v>
      </c>
      <c r="B389" s="8">
        <v>17.899999999999999</v>
      </c>
    </row>
    <row r="390" spans="1:2">
      <c r="A390" s="7">
        <v>16224</v>
      </c>
      <c r="B390" s="8">
        <v>18</v>
      </c>
    </row>
    <row r="391" spans="1:2">
      <c r="A391" s="7">
        <v>16254</v>
      </c>
      <c r="B391" s="8">
        <v>17.899999999999999</v>
      </c>
    </row>
    <row r="392" spans="1:2">
      <c r="A392" s="7">
        <v>16285</v>
      </c>
      <c r="B392" s="8">
        <v>17.899999999999999</v>
      </c>
    </row>
    <row r="393" spans="1:2">
      <c r="A393" s="7">
        <v>16316</v>
      </c>
      <c r="B393" s="8">
        <v>17.899999999999999</v>
      </c>
    </row>
    <row r="394" spans="1:2">
      <c r="A394" s="7">
        <v>16346</v>
      </c>
      <c r="B394" s="8">
        <v>17.899999999999999</v>
      </c>
    </row>
    <row r="395" spans="1:2">
      <c r="A395" s="7">
        <v>16377</v>
      </c>
      <c r="B395" s="8">
        <v>18</v>
      </c>
    </row>
    <row r="396" spans="1:2">
      <c r="A396" s="7">
        <v>16407</v>
      </c>
      <c r="B396" s="8">
        <v>18</v>
      </c>
    </row>
    <row r="397" spans="1:2">
      <c r="A397" s="7">
        <v>16438</v>
      </c>
      <c r="B397" s="8">
        <v>18.100000000000001</v>
      </c>
    </row>
    <row r="398" spans="1:2">
      <c r="A398" s="7">
        <v>16469</v>
      </c>
      <c r="B398" s="8">
        <v>18.100000000000001</v>
      </c>
    </row>
    <row r="399" spans="1:2">
      <c r="A399" s="7">
        <v>16497</v>
      </c>
      <c r="B399" s="8">
        <v>18.100000000000001</v>
      </c>
    </row>
    <row r="400" spans="1:2">
      <c r="A400" s="7">
        <v>16528</v>
      </c>
      <c r="B400" s="8">
        <v>18.2</v>
      </c>
    </row>
    <row r="401" spans="1:2">
      <c r="A401" s="7">
        <v>16558</v>
      </c>
      <c r="B401" s="8">
        <v>18.3</v>
      </c>
    </row>
    <row r="402" spans="1:2">
      <c r="A402" s="7">
        <v>16589</v>
      </c>
      <c r="B402" s="8">
        <v>18.3</v>
      </c>
    </row>
    <row r="403" spans="1:2">
      <c r="A403" s="7">
        <v>16619</v>
      </c>
      <c r="B403" s="8">
        <v>18.3</v>
      </c>
    </row>
    <row r="404" spans="1:2">
      <c r="A404" s="7">
        <v>16650</v>
      </c>
      <c r="B404" s="8">
        <v>18.2</v>
      </c>
    </row>
    <row r="405" spans="1:2">
      <c r="A405" s="7">
        <v>16681</v>
      </c>
      <c r="B405" s="8">
        <v>18.100000000000001</v>
      </c>
    </row>
    <row r="406" spans="1:2">
      <c r="A406" s="7">
        <v>16711</v>
      </c>
      <c r="B406" s="8">
        <v>18.2</v>
      </c>
    </row>
    <row r="407" spans="1:2">
      <c r="A407" s="7">
        <v>16742</v>
      </c>
      <c r="B407" s="8">
        <v>18.399999999999999</v>
      </c>
    </row>
    <row r="408" spans="1:2">
      <c r="A408" s="7">
        <v>16772</v>
      </c>
      <c r="B408" s="8">
        <v>18.399999999999999</v>
      </c>
    </row>
    <row r="409" spans="1:2">
      <c r="A409" s="7">
        <v>16803</v>
      </c>
      <c r="B409" s="8">
        <v>18.399999999999999</v>
      </c>
    </row>
    <row r="410" spans="1:2">
      <c r="A410" s="7">
        <v>16834</v>
      </c>
      <c r="B410" s="8">
        <v>18.5</v>
      </c>
    </row>
    <row r="411" spans="1:2">
      <c r="A411" s="7">
        <v>16862</v>
      </c>
      <c r="B411" s="8">
        <v>18.8</v>
      </c>
    </row>
    <row r="412" spans="1:2">
      <c r="A412" s="7">
        <v>16893</v>
      </c>
      <c r="B412" s="8">
        <v>19</v>
      </c>
    </row>
    <row r="413" spans="1:2">
      <c r="A413" s="7">
        <v>16923</v>
      </c>
      <c r="B413" s="8">
        <v>19.100000000000001</v>
      </c>
    </row>
    <row r="414" spans="1:2">
      <c r="A414" s="7">
        <v>16954</v>
      </c>
      <c r="B414" s="8">
        <v>19.399999999999999</v>
      </c>
    </row>
    <row r="415" spans="1:2">
      <c r="A415" s="7">
        <v>16984</v>
      </c>
      <c r="B415" s="8">
        <v>21.5</v>
      </c>
    </row>
    <row r="416" spans="1:2">
      <c r="A416" s="7">
        <v>17015</v>
      </c>
      <c r="B416" s="8">
        <v>22.2</v>
      </c>
    </row>
    <row r="417" spans="1:2">
      <c r="A417" s="7">
        <v>17046</v>
      </c>
      <c r="B417" s="8">
        <v>21.4</v>
      </c>
    </row>
    <row r="418" spans="1:2">
      <c r="A418" s="7">
        <v>17076</v>
      </c>
      <c r="B418" s="8">
        <v>23.1</v>
      </c>
    </row>
    <row r="419" spans="1:2">
      <c r="A419" s="7">
        <v>17107</v>
      </c>
      <c r="B419" s="8">
        <v>24.1</v>
      </c>
    </row>
    <row r="420" spans="1:2">
      <c r="A420" s="7">
        <v>17137</v>
      </c>
      <c r="B420" s="8">
        <v>24.3</v>
      </c>
    </row>
    <row r="421" spans="1:2">
      <c r="A421" s="7">
        <v>17168</v>
      </c>
      <c r="B421" s="8">
        <v>24.5</v>
      </c>
    </row>
    <row r="422" spans="1:2">
      <c r="A422" s="7">
        <v>17199</v>
      </c>
      <c r="B422" s="8">
        <v>24.7</v>
      </c>
    </row>
    <row r="423" spans="1:2">
      <c r="A423" s="7">
        <v>17227</v>
      </c>
      <c r="B423" s="8">
        <v>25.3</v>
      </c>
    </row>
    <row r="424" spans="1:2">
      <c r="A424" s="7">
        <v>17258</v>
      </c>
      <c r="B424" s="8">
        <v>25.1</v>
      </c>
    </row>
    <row r="425" spans="1:2">
      <c r="A425" s="7">
        <v>17288</v>
      </c>
      <c r="B425" s="8">
        <v>25</v>
      </c>
    </row>
    <row r="426" spans="1:2">
      <c r="A426" s="7">
        <v>17319</v>
      </c>
      <c r="B426" s="8">
        <v>25</v>
      </c>
    </row>
    <row r="427" spans="1:2">
      <c r="A427" s="7">
        <v>17349</v>
      </c>
      <c r="B427" s="8">
        <v>25.3</v>
      </c>
    </row>
    <row r="428" spans="1:2">
      <c r="A428" s="7">
        <v>17380</v>
      </c>
      <c r="B428" s="8">
        <v>25.6</v>
      </c>
    </row>
    <row r="429" spans="1:2">
      <c r="A429" s="7">
        <v>17411</v>
      </c>
      <c r="B429" s="8">
        <v>26.1</v>
      </c>
    </row>
    <row r="430" spans="1:2">
      <c r="A430" s="7">
        <v>17441</v>
      </c>
      <c r="B430" s="8">
        <v>26.4</v>
      </c>
    </row>
    <row r="431" spans="1:2">
      <c r="A431" s="7">
        <v>17472</v>
      </c>
      <c r="B431" s="8">
        <v>26.7</v>
      </c>
    </row>
    <row r="432" spans="1:2">
      <c r="A432" s="7">
        <v>17502</v>
      </c>
      <c r="B432" s="8">
        <v>27.2</v>
      </c>
    </row>
    <row r="433" spans="1:2">
      <c r="A433" s="7">
        <v>17533</v>
      </c>
      <c r="B433" s="8">
        <v>27.7</v>
      </c>
    </row>
    <row r="434" spans="1:2">
      <c r="A434" s="7">
        <v>17564</v>
      </c>
      <c r="B434" s="8">
        <v>27.2</v>
      </c>
    </row>
    <row r="435" spans="1:2">
      <c r="A435" s="7">
        <v>17593</v>
      </c>
      <c r="B435" s="8">
        <v>27.2</v>
      </c>
    </row>
    <row r="436" spans="1:2">
      <c r="A436" s="7">
        <v>17624</v>
      </c>
      <c r="B436" s="8">
        <v>27.4</v>
      </c>
    </row>
    <row r="437" spans="1:2">
      <c r="A437" s="7">
        <v>17654</v>
      </c>
      <c r="B437" s="8">
        <v>27.5</v>
      </c>
    </row>
    <row r="438" spans="1:2">
      <c r="A438" s="7">
        <v>17685</v>
      </c>
      <c r="B438" s="8">
        <v>27.7</v>
      </c>
    </row>
    <row r="439" spans="1:2">
      <c r="A439" s="7">
        <v>17715</v>
      </c>
      <c r="B439" s="8">
        <v>28</v>
      </c>
    </row>
    <row r="440" spans="1:2">
      <c r="A440" s="7">
        <v>17746</v>
      </c>
      <c r="B440" s="8">
        <v>28.2</v>
      </c>
    </row>
    <row r="441" spans="1:2">
      <c r="A441" s="7">
        <v>17777</v>
      </c>
      <c r="B441" s="8">
        <v>28.1</v>
      </c>
    </row>
    <row r="442" spans="1:2">
      <c r="A442" s="7">
        <v>17807</v>
      </c>
      <c r="B442" s="8">
        <v>27.8</v>
      </c>
    </row>
    <row r="443" spans="1:2">
      <c r="A443" s="7">
        <v>17838</v>
      </c>
      <c r="B443" s="8">
        <v>27.8</v>
      </c>
    </row>
    <row r="444" spans="1:2">
      <c r="A444" s="7">
        <v>17868</v>
      </c>
      <c r="B444" s="8">
        <v>27.6</v>
      </c>
    </row>
    <row r="445" spans="1:2">
      <c r="A445" s="7">
        <v>17899</v>
      </c>
      <c r="B445" s="8">
        <v>27.3</v>
      </c>
    </row>
    <row r="446" spans="1:2">
      <c r="A446" s="7">
        <v>17930</v>
      </c>
      <c r="B446" s="8">
        <v>26.8</v>
      </c>
    </row>
    <row r="447" spans="1:2">
      <c r="A447" s="7">
        <v>17958</v>
      </c>
      <c r="B447" s="8">
        <v>26.8</v>
      </c>
    </row>
    <row r="448" spans="1:2">
      <c r="A448" s="7">
        <v>17989</v>
      </c>
      <c r="B448" s="8">
        <v>26.5</v>
      </c>
    </row>
    <row r="449" spans="1:2">
      <c r="A449" s="7">
        <v>18019</v>
      </c>
      <c r="B449" s="8">
        <v>26.3</v>
      </c>
    </row>
    <row r="450" spans="1:2">
      <c r="A450" s="7">
        <v>18050</v>
      </c>
      <c r="B450" s="8">
        <v>26</v>
      </c>
    </row>
    <row r="451" spans="1:2">
      <c r="A451" s="7">
        <v>18080</v>
      </c>
      <c r="B451" s="8">
        <v>26</v>
      </c>
    </row>
    <row r="452" spans="1:2">
      <c r="A452" s="7">
        <v>18111</v>
      </c>
      <c r="B452" s="8">
        <v>26</v>
      </c>
    </row>
    <row r="453" spans="1:2">
      <c r="A453" s="7">
        <v>18142</v>
      </c>
      <c r="B453" s="8">
        <v>26.1</v>
      </c>
    </row>
    <row r="454" spans="1:2">
      <c r="A454" s="7">
        <v>18172</v>
      </c>
      <c r="B454" s="8">
        <v>26</v>
      </c>
    </row>
    <row r="455" spans="1:2">
      <c r="A455" s="7">
        <v>18203</v>
      </c>
      <c r="B455" s="8">
        <v>26</v>
      </c>
    </row>
    <row r="456" spans="1:2">
      <c r="A456" s="7">
        <v>18233</v>
      </c>
      <c r="B456" s="8">
        <v>25.9</v>
      </c>
    </row>
    <row r="457" spans="1:2">
      <c r="A457" s="7">
        <v>18264</v>
      </c>
      <c r="B457" s="8">
        <v>25.9</v>
      </c>
    </row>
    <row r="458" spans="1:2">
      <c r="A458" s="7">
        <v>18295</v>
      </c>
      <c r="B458" s="8">
        <v>26.1</v>
      </c>
    </row>
    <row r="459" spans="1:2">
      <c r="A459" s="7">
        <v>18323</v>
      </c>
      <c r="B459" s="8">
        <v>26.1</v>
      </c>
    </row>
    <row r="460" spans="1:2">
      <c r="A460" s="7">
        <v>18354</v>
      </c>
      <c r="B460" s="8">
        <v>26.1</v>
      </c>
    </row>
    <row r="461" spans="1:2">
      <c r="A461" s="7">
        <v>18384</v>
      </c>
      <c r="B461" s="8">
        <v>26.4</v>
      </c>
    </row>
    <row r="462" spans="1:2">
      <c r="A462" s="7">
        <v>18415</v>
      </c>
      <c r="B462" s="8">
        <v>26.6</v>
      </c>
    </row>
    <row r="463" spans="1:2">
      <c r="A463" s="7">
        <v>18445</v>
      </c>
      <c r="B463" s="8">
        <v>27.3</v>
      </c>
    </row>
    <row r="464" spans="1:2">
      <c r="A464" s="7">
        <v>18476</v>
      </c>
      <c r="B464" s="8">
        <v>27.9</v>
      </c>
    </row>
    <row r="465" spans="1:2">
      <c r="A465" s="7">
        <v>18507</v>
      </c>
      <c r="B465" s="8">
        <v>28.4</v>
      </c>
    </row>
    <row r="466" spans="1:2">
      <c r="A466" s="7">
        <v>18537</v>
      </c>
      <c r="B466" s="8">
        <v>28.6</v>
      </c>
    </row>
    <row r="467" spans="1:2">
      <c r="A467" s="7">
        <v>18568</v>
      </c>
      <c r="B467" s="8">
        <v>29</v>
      </c>
    </row>
    <row r="468" spans="1:2">
      <c r="A468" s="7">
        <v>18598</v>
      </c>
      <c r="B468" s="8">
        <v>29.7</v>
      </c>
    </row>
    <row r="469" spans="1:2">
      <c r="A469" s="7">
        <v>18629</v>
      </c>
      <c r="B469" s="8">
        <v>30.5</v>
      </c>
    </row>
    <row r="470" spans="1:2">
      <c r="A470" s="7">
        <v>18660</v>
      </c>
      <c r="B470" s="8">
        <v>30.9</v>
      </c>
    </row>
    <row r="471" spans="1:2">
      <c r="A471" s="7">
        <v>18688</v>
      </c>
      <c r="B471" s="8">
        <v>30.9</v>
      </c>
    </row>
    <row r="472" spans="1:2">
      <c r="A472" s="7">
        <v>18719</v>
      </c>
      <c r="B472" s="8">
        <v>30.8</v>
      </c>
    </row>
    <row r="473" spans="1:2">
      <c r="A473" s="7">
        <v>18749</v>
      </c>
      <c r="B473" s="8">
        <v>30.7</v>
      </c>
    </row>
    <row r="474" spans="1:2">
      <c r="A474" s="7">
        <v>18780</v>
      </c>
      <c r="B474" s="8">
        <v>30.5</v>
      </c>
    </row>
    <row r="475" spans="1:2">
      <c r="A475" s="7">
        <v>18810</v>
      </c>
      <c r="B475" s="8">
        <v>30.3</v>
      </c>
    </row>
    <row r="476" spans="1:2">
      <c r="A476" s="7">
        <v>18841</v>
      </c>
      <c r="B476" s="8">
        <v>30.1</v>
      </c>
    </row>
    <row r="477" spans="1:2">
      <c r="A477" s="7">
        <v>18872</v>
      </c>
      <c r="B477" s="8">
        <v>30.1</v>
      </c>
    </row>
    <row r="478" spans="1:2">
      <c r="A478" s="7">
        <v>18902</v>
      </c>
      <c r="B478" s="8">
        <v>30.1</v>
      </c>
    </row>
    <row r="479" spans="1:2">
      <c r="A479" s="7">
        <v>18933</v>
      </c>
      <c r="B479" s="8">
        <v>30.1</v>
      </c>
    </row>
    <row r="480" spans="1:2">
      <c r="A480" s="7">
        <v>18963</v>
      </c>
      <c r="B480" s="8">
        <v>30.1</v>
      </c>
    </row>
    <row r="481" spans="1:2">
      <c r="A481" s="7">
        <v>18994</v>
      </c>
      <c r="B481" s="8">
        <v>30</v>
      </c>
    </row>
    <row r="482" spans="1:2">
      <c r="A482" s="7">
        <v>19025</v>
      </c>
      <c r="B482" s="8">
        <v>29.8</v>
      </c>
    </row>
    <row r="483" spans="1:2">
      <c r="A483" s="7">
        <v>19054</v>
      </c>
      <c r="B483" s="8">
        <v>29.8</v>
      </c>
    </row>
    <row r="484" spans="1:2">
      <c r="A484" s="7">
        <v>19085</v>
      </c>
      <c r="B484" s="8">
        <v>29.6</v>
      </c>
    </row>
    <row r="485" spans="1:2">
      <c r="A485" s="7">
        <v>19115</v>
      </c>
      <c r="B485" s="8">
        <v>29.6</v>
      </c>
    </row>
    <row r="486" spans="1:2">
      <c r="A486" s="7">
        <v>19146</v>
      </c>
      <c r="B486" s="8">
        <v>29.5</v>
      </c>
    </row>
    <row r="487" spans="1:2">
      <c r="A487" s="7">
        <v>19176</v>
      </c>
      <c r="B487" s="8">
        <v>29.6</v>
      </c>
    </row>
    <row r="488" spans="1:2">
      <c r="A488" s="7">
        <v>19207</v>
      </c>
      <c r="B488" s="8">
        <v>29.8</v>
      </c>
    </row>
    <row r="489" spans="1:2">
      <c r="A489" s="7">
        <v>19238</v>
      </c>
      <c r="B489" s="8">
        <v>29.6</v>
      </c>
    </row>
    <row r="490" spans="1:2">
      <c r="A490" s="7">
        <v>19268</v>
      </c>
      <c r="B490" s="8">
        <v>29.5</v>
      </c>
    </row>
    <row r="491" spans="1:2">
      <c r="A491" s="7">
        <v>19299</v>
      </c>
      <c r="B491" s="8">
        <v>29.3</v>
      </c>
    </row>
    <row r="492" spans="1:2">
      <c r="A492" s="7">
        <v>19329</v>
      </c>
      <c r="B492" s="8">
        <v>29.1</v>
      </c>
    </row>
    <row r="493" spans="1:2">
      <c r="A493" s="7">
        <v>19360</v>
      </c>
      <c r="B493" s="8">
        <v>29.1</v>
      </c>
    </row>
    <row r="494" spans="1:2">
      <c r="A494" s="7">
        <v>19391</v>
      </c>
      <c r="B494" s="8">
        <v>29.1</v>
      </c>
    </row>
    <row r="495" spans="1:2">
      <c r="A495" s="7">
        <v>19419</v>
      </c>
      <c r="B495" s="8">
        <v>29.2</v>
      </c>
    </row>
    <row r="496" spans="1:2">
      <c r="A496" s="7">
        <v>19450</v>
      </c>
      <c r="B496" s="8">
        <v>29</v>
      </c>
    </row>
    <row r="497" spans="1:2">
      <c r="A497" s="7">
        <v>19480</v>
      </c>
      <c r="B497" s="8">
        <v>29.1</v>
      </c>
    </row>
    <row r="498" spans="1:2">
      <c r="A498" s="7">
        <v>19511</v>
      </c>
      <c r="B498" s="8">
        <v>29</v>
      </c>
    </row>
    <row r="499" spans="1:2">
      <c r="A499" s="7">
        <v>19541</v>
      </c>
      <c r="B499" s="8">
        <v>29.4</v>
      </c>
    </row>
    <row r="500" spans="1:2">
      <c r="A500" s="7">
        <v>19572</v>
      </c>
      <c r="B500" s="8">
        <v>29.3</v>
      </c>
    </row>
    <row r="501" spans="1:2">
      <c r="A501" s="7">
        <v>19603</v>
      </c>
      <c r="B501" s="8">
        <v>29.4</v>
      </c>
    </row>
    <row r="502" spans="1:2">
      <c r="A502" s="7">
        <v>19633</v>
      </c>
      <c r="B502" s="8">
        <v>29.2</v>
      </c>
    </row>
    <row r="503" spans="1:2">
      <c r="A503" s="7">
        <v>19664</v>
      </c>
      <c r="B503" s="8">
        <v>29.1</v>
      </c>
    </row>
    <row r="504" spans="1:2">
      <c r="A504" s="7">
        <v>19694</v>
      </c>
      <c r="B504" s="8">
        <v>29.2</v>
      </c>
    </row>
    <row r="505" spans="1:2">
      <c r="A505" s="7">
        <v>19725</v>
      </c>
      <c r="B505" s="8">
        <v>29.4</v>
      </c>
    </row>
    <row r="506" spans="1:2">
      <c r="A506" s="7">
        <v>19756</v>
      </c>
      <c r="B506" s="8">
        <v>29.3</v>
      </c>
    </row>
    <row r="507" spans="1:2">
      <c r="A507" s="7">
        <v>19784</v>
      </c>
      <c r="B507" s="8">
        <v>29.3</v>
      </c>
    </row>
    <row r="508" spans="1:2">
      <c r="A508" s="7">
        <v>19815</v>
      </c>
      <c r="B508" s="8">
        <v>29.4</v>
      </c>
    </row>
    <row r="509" spans="1:2">
      <c r="A509" s="7">
        <v>19845</v>
      </c>
      <c r="B509" s="8">
        <v>29.4</v>
      </c>
    </row>
    <row r="510" spans="1:2">
      <c r="A510" s="7">
        <v>19876</v>
      </c>
      <c r="B510" s="8">
        <v>29.2</v>
      </c>
    </row>
    <row r="511" spans="1:2">
      <c r="A511" s="7">
        <v>19906</v>
      </c>
      <c r="B511" s="8">
        <v>29.3</v>
      </c>
    </row>
    <row r="512" spans="1:2">
      <c r="A512" s="7">
        <v>19937</v>
      </c>
      <c r="B512" s="8">
        <v>29.3</v>
      </c>
    </row>
    <row r="513" spans="1:2">
      <c r="A513" s="7">
        <v>19968</v>
      </c>
      <c r="B513" s="8">
        <v>29.2</v>
      </c>
    </row>
    <row r="514" spans="1:2">
      <c r="A514" s="7">
        <v>19998</v>
      </c>
      <c r="B514" s="8">
        <v>29.1</v>
      </c>
    </row>
    <row r="515" spans="1:2">
      <c r="A515" s="7">
        <v>20029</v>
      </c>
      <c r="B515" s="8">
        <v>29.2</v>
      </c>
    </row>
    <row r="516" spans="1:2">
      <c r="A516" s="7">
        <v>20059</v>
      </c>
      <c r="B516" s="8">
        <v>29</v>
      </c>
    </row>
    <row r="517" spans="1:2">
      <c r="A517" s="7">
        <v>20090</v>
      </c>
      <c r="B517" s="8">
        <v>29.2</v>
      </c>
    </row>
    <row r="518" spans="1:2">
      <c r="A518" s="7">
        <v>20121</v>
      </c>
      <c r="B518" s="8">
        <v>29.3</v>
      </c>
    </row>
    <row r="519" spans="1:2">
      <c r="A519" s="7">
        <v>20149</v>
      </c>
      <c r="B519" s="8">
        <v>29.2</v>
      </c>
    </row>
    <row r="520" spans="1:2">
      <c r="A520" s="7">
        <v>20180</v>
      </c>
      <c r="B520" s="8">
        <v>29.3</v>
      </c>
    </row>
    <row r="521" spans="1:2">
      <c r="A521" s="7">
        <v>20210</v>
      </c>
      <c r="B521" s="8">
        <v>29.1</v>
      </c>
    </row>
    <row r="522" spans="1:2">
      <c r="A522" s="7">
        <v>20241</v>
      </c>
      <c r="B522" s="8">
        <v>29.3</v>
      </c>
    </row>
    <row r="523" spans="1:2">
      <c r="A523" s="7">
        <v>20271</v>
      </c>
      <c r="B523" s="8">
        <v>29.3</v>
      </c>
    </row>
    <row r="524" spans="1:2">
      <c r="A524" s="7">
        <v>20302</v>
      </c>
      <c r="B524" s="8">
        <v>29.4</v>
      </c>
    </row>
    <row r="525" spans="1:2">
      <c r="A525" s="7">
        <v>20333</v>
      </c>
      <c r="B525" s="8">
        <v>29.6</v>
      </c>
    </row>
    <row r="526" spans="1:2">
      <c r="A526" s="7">
        <v>20363</v>
      </c>
      <c r="B526" s="8">
        <v>29.6</v>
      </c>
    </row>
    <row r="527" spans="1:2">
      <c r="A527" s="7">
        <v>20394</v>
      </c>
      <c r="B527" s="8">
        <v>29.5</v>
      </c>
    </row>
    <row r="528" spans="1:2">
      <c r="A528" s="7">
        <v>20424</v>
      </c>
      <c r="B528" s="8">
        <v>29.5</v>
      </c>
    </row>
    <row r="529" spans="1:2">
      <c r="A529" s="7">
        <v>20455</v>
      </c>
      <c r="B529" s="8">
        <v>29.7</v>
      </c>
    </row>
    <row r="530" spans="1:2">
      <c r="A530" s="7">
        <v>20486</v>
      </c>
      <c r="B530" s="8">
        <v>29.8</v>
      </c>
    </row>
    <row r="531" spans="1:2">
      <c r="A531" s="7">
        <v>20515</v>
      </c>
      <c r="B531" s="8">
        <v>29.9</v>
      </c>
    </row>
    <row r="532" spans="1:2">
      <c r="A532" s="7">
        <v>20546</v>
      </c>
      <c r="B532" s="8">
        <v>30.1</v>
      </c>
    </row>
    <row r="533" spans="1:2">
      <c r="A533" s="7">
        <v>20576</v>
      </c>
      <c r="B533" s="8">
        <v>30.3</v>
      </c>
    </row>
    <row r="534" spans="1:2">
      <c r="A534" s="7">
        <v>20607</v>
      </c>
      <c r="B534" s="8">
        <v>30.3</v>
      </c>
    </row>
    <row r="535" spans="1:2">
      <c r="A535" s="7">
        <v>20637</v>
      </c>
      <c r="B535" s="8">
        <v>30.2</v>
      </c>
    </row>
    <row r="536" spans="1:2">
      <c r="A536" s="7">
        <v>20668</v>
      </c>
      <c r="B536" s="8">
        <v>30.4</v>
      </c>
    </row>
    <row r="537" spans="1:2">
      <c r="A537" s="7">
        <v>20699</v>
      </c>
      <c r="B537" s="8">
        <v>30.6</v>
      </c>
    </row>
    <row r="538" spans="1:2">
      <c r="A538" s="7">
        <v>20729</v>
      </c>
      <c r="B538" s="8">
        <v>30.6</v>
      </c>
    </row>
    <row r="539" spans="1:2">
      <c r="A539" s="7">
        <v>20760</v>
      </c>
      <c r="B539" s="8">
        <v>30.7</v>
      </c>
    </row>
    <row r="540" spans="1:2">
      <c r="A540" s="7">
        <v>20790</v>
      </c>
      <c r="B540" s="8">
        <v>30.8</v>
      </c>
    </row>
    <row r="541" spans="1:2">
      <c r="A541" s="7">
        <v>20821</v>
      </c>
      <c r="B541" s="8">
        <v>31</v>
      </c>
    </row>
    <row r="542" spans="1:2">
      <c r="A542" s="7">
        <v>20852</v>
      </c>
      <c r="B542" s="8">
        <v>31</v>
      </c>
    </row>
    <row r="543" spans="1:2">
      <c r="A543" s="7">
        <v>20880</v>
      </c>
      <c r="B543" s="8">
        <v>31</v>
      </c>
    </row>
    <row r="544" spans="1:2">
      <c r="A544" s="7">
        <v>20911</v>
      </c>
      <c r="B544" s="8">
        <v>31.1</v>
      </c>
    </row>
    <row r="545" spans="1:2">
      <c r="A545" s="7">
        <v>20941</v>
      </c>
      <c r="B545" s="8">
        <v>31</v>
      </c>
    </row>
    <row r="546" spans="1:2">
      <c r="A546" s="7">
        <v>20972</v>
      </c>
      <c r="B546" s="8">
        <v>31.1</v>
      </c>
    </row>
    <row r="547" spans="1:2">
      <c r="A547" s="7">
        <v>21002</v>
      </c>
      <c r="B547" s="8">
        <v>31.3</v>
      </c>
    </row>
    <row r="548" spans="1:2">
      <c r="A548" s="7">
        <v>21033</v>
      </c>
      <c r="B548" s="8">
        <v>31.4</v>
      </c>
    </row>
    <row r="549" spans="1:2">
      <c r="A549" s="7">
        <v>21064</v>
      </c>
      <c r="B549" s="8">
        <v>31.3</v>
      </c>
    </row>
    <row r="550" spans="1:2">
      <c r="A550" s="7">
        <v>21094</v>
      </c>
      <c r="B550" s="8">
        <v>31.2</v>
      </c>
    </row>
    <row r="551" spans="1:2">
      <c r="A551" s="7">
        <v>21125</v>
      </c>
      <c r="B551" s="8">
        <v>31.3</v>
      </c>
    </row>
    <row r="552" spans="1:2">
      <c r="A552" s="7">
        <v>21155</v>
      </c>
      <c r="B552" s="8">
        <v>31.4</v>
      </c>
    </row>
    <row r="553" spans="1:2">
      <c r="A553" s="7">
        <v>21186</v>
      </c>
      <c r="B553" s="8">
        <v>31.5</v>
      </c>
    </row>
    <row r="554" spans="1:2">
      <c r="A554" s="7">
        <v>21217</v>
      </c>
      <c r="B554" s="8">
        <v>31.5</v>
      </c>
    </row>
    <row r="555" spans="1:2">
      <c r="A555" s="7">
        <v>21245</v>
      </c>
      <c r="B555" s="8">
        <v>31.7</v>
      </c>
    </row>
    <row r="556" spans="1:2">
      <c r="A556" s="7">
        <v>21276</v>
      </c>
      <c r="B556" s="8">
        <v>31.6</v>
      </c>
    </row>
    <row r="557" spans="1:2">
      <c r="A557" s="7">
        <v>21306</v>
      </c>
      <c r="B557" s="8">
        <v>31.7</v>
      </c>
    </row>
    <row r="558" spans="1:2">
      <c r="A558" s="7">
        <v>21337</v>
      </c>
      <c r="B558" s="8">
        <v>31.6</v>
      </c>
    </row>
    <row r="559" spans="1:2">
      <c r="A559" s="7">
        <v>21367</v>
      </c>
      <c r="B559" s="8">
        <v>31.6</v>
      </c>
    </row>
    <row r="560" spans="1:2">
      <c r="A560" s="7">
        <v>21398</v>
      </c>
      <c r="B560" s="8">
        <v>31.6</v>
      </c>
    </row>
    <row r="561" spans="1:2">
      <c r="A561" s="7">
        <v>21429</v>
      </c>
      <c r="B561" s="8">
        <v>31.6</v>
      </c>
    </row>
    <row r="562" spans="1:2">
      <c r="A562" s="7">
        <v>21459</v>
      </c>
      <c r="B562" s="8">
        <v>31.5</v>
      </c>
    </row>
    <row r="563" spans="1:2">
      <c r="A563" s="7">
        <v>21490</v>
      </c>
      <c r="B563" s="8">
        <v>31.6</v>
      </c>
    </row>
    <row r="564" spans="1:2">
      <c r="A564" s="7">
        <v>21520</v>
      </c>
      <c r="B564" s="8">
        <v>31.6</v>
      </c>
    </row>
    <row r="565" spans="1:2">
      <c r="A565" s="7">
        <v>21551</v>
      </c>
      <c r="B565" s="8">
        <v>31.7</v>
      </c>
    </row>
    <row r="566" spans="1:2">
      <c r="A566" s="7">
        <v>21582</v>
      </c>
      <c r="B566" s="8">
        <v>31.7</v>
      </c>
    </row>
    <row r="567" spans="1:2">
      <c r="A567" s="7">
        <v>21610</v>
      </c>
      <c r="B567" s="8">
        <v>31.7</v>
      </c>
    </row>
    <row r="568" spans="1:2">
      <c r="A568" s="7">
        <v>21641</v>
      </c>
      <c r="B568" s="8">
        <v>31.8</v>
      </c>
    </row>
    <row r="569" spans="1:2">
      <c r="A569" s="7">
        <v>21671</v>
      </c>
      <c r="B569" s="8">
        <v>31.8</v>
      </c>
    </row>
    <row r="570" spans="1:2">
      <c r="A570" s="7">
        <v>21702</v>
      </c>
      <c r="B570" s="8">
        <v>31.7</v>
      </c>
    </row>
    <row r="571" spans="1:2">
      <c r="A571" s="7">
        <v>21732</v>
      </c>
      <c r="B571" s="8">
        <v>31.7</v>
      </c>
    </row>
    <row r="572" spans="1:2">
      <c r="A572" s="7">
        <v>21763</v>
      </c>
      <c r="B572" s="8">
        <v>31.6</v>
      </c>
    </row>
    <row r="573" spans="1:2">
      <c r="A573" s="7">
        <v>21794</v>
      </c>
      <c r="B573" s="8">
        <v>31.7</v>
      </c>
    </row>
    <row r="574" spans="1:2">
      <c r="A574" s="7">
        <v>21824</v>
      </c>
      <c r="B574" s="8">
        <v>31.6</v>
      </c>
    </row>
    <row r="575" spans="1:2">
      <c r="A575" s="7">
        <v>21855</v>
      </c>
      <c r="B575" s="8">
        <v>31.5</v>
      </c>
    </row>
    <row r="576" spans="1:2">
      <c r="A576" s="7">
        <v>21885</v>
      </c>
      <c r="B576" s="8">
        <v>31.5</v>
      </c>
    </row>
    <row r="577" spans="1:2">
      <c r="A577" s="7">
        <v>21916</v>
      </c>
      <c r="B577" s="8">
        <v>31.6</v>
      </c>
    </row>
    <row r="578" spans="1:2">
      <c r="A578" s="7">
        <v>21947</v>
      </c>
      <c r="B578" s="8">
        <v>31.6</v>
      </c>
    </row>
    <row r="579" spans="1:2">
      <c r="A579" s="7">
        <v>21976</v>
      </c>
      <c r="B579" s="8">
        <v>31.8</v>
      </c>
    </row>
    <row r="580" spans="1:2">
      <c r="A580" s="7">
        <v>22007</v>
      </c>
      <c r="B580" s="8">
        <v>31.8</v>
      </c>
    </row>
    <row r="581" spans="1:2">
      <c r="A581" s="7">
        <v>22037</v>
      </c>
      <c r="B581" s="8">
        <v>31.7</v>
      </c>
    </row>
    <row r="582" spans="1:2">
      <c r="A582" s="7">
        <v>22068</v>
      </c>
      <c r="B582" s="8">
        <v>31.7</v>
      </c>
    </row>
    <row r="583" spans="1:2">
      <c r="A583" s="7">
        <v>22098</v>
      </c>
      <c r="B583" s="8">
        <v>31.7</v>
      </c>
    </row>
    <row r="584" spans="1:2">
      <c r="A584" s="7">
        <v>22129</v>
      </c>
      <c r="B584" s="8">
        <v>31.6</v>
      </c>
    </row>
    <row r="585" spans="1:2">
      <c r="A585" s="7">
        <v>22160</v>
      </c>
      <c r="B585" s="8">
        <v>31.6</v>
      </c>
    </row>
    <row r="586" spans="1:2">
      <c r="A586" s="7">
        <v>22190</v>
      </c>
      <c r="B586" s="8">
        <v>31.7</v>
      </c>
    </row>
    <row r="587" spans="1:2">
      <c r="A587" s="7">
        <v>22221</v>
      </c>
      <c r="B587" s="8">
        <v>31.7</v>
      </c>
    </row>
    <row r="588" spans="1:2">
      <c r="A588" s="7">
        <v>22251</v>
      </c>
      <c r="B588" s="8">
        <v>31.7</v>
      </c>
    </row>
    <row r="589" spans="1:2">
      <c r="A589" s="7">
        <v>22282</v>
      </c>
      <c r="B589" s="8">
        <v>31.8</v>
      </c>
    </row>
    <row r="590" spans="1:2">
      <c r="A590" s="7">
        <v>22313</v>
      </c>
      <c r="B590" s="8">
        <v>31.8</v>
      </c>
    </row>
    <row r="591" spans="1:2">
      <c r="A591" s="7">
        <v>22341</v>
      </c>
      <c r="B591" s="8">
        <v>31.8</v>
      </c>
    </row>
    <row r="592" spans="1:2">
      <c r="A592" s="7">
        <v>22372</v>
      </c>
      <c r="B592" s="8">
        <v>31.6</v>
      </c>
    </row>
    <row r="593" spans="1:2">
      <c r="A593" s="7">
        <v>22402</v>
      </c>
      <c r="B593" s="8">
        <v>31.5</v>
      </c>
    </row>
    <row r="594" spans="1:2">
      <c r="A594" s="7">
        <v>22433</v>
      </c>
      <c r="B594" s="8">
        <v>31.3</v>
      </c>
    </row>
    <row r="595" spans="1:2">
      <c r="A595" s="7">
        <v>22463</v>
      </c>
      <c r="B595" s="8">
        <v>31.5</v>
      </c>
    </row>
    <row r="596" spans="1:2">
      <c r="A596" s="7">
        <v>22494</v>
      </c>
      <c r="B596" s="8">
        <v>31.5</v>
      </c>
    </row>
    <row r="597" spans="1:2">
      <c r="A597" s="7">
        <v>22525</v>
      </c>
      <c r="B597" s="8">
        <v>31.5</v>
      </c>
    </row>
    <row r="598" spans="1:2">
      <c r="A598" s="7">
        <v>22555</v>
      </c>
      <c r="B598" s="8">
        <v>31.5</v>
      </c>
    </row>
    <row r="599" spans="1:2">
      <c r="A599" s="7">
        <v>22586</v>
      </c>
      <c r="B599" s="8">
        <v>31.5</v>
      </c>
    </row>
    <row r="600" spans="1:2">
      <c r="A600" s="7">
        <v>22616</v>
      </c>
      <c r="B600" s="8">
        <v>31.6</v>
      </c>
    </row>
    <row r="601" spans="1:2">
      <c r="A601" s="7">
        <v>22647</v>
      </c>
      <c r="B601" s="8">
        <v>31.7</v>
      </c>
    </row>
    <row r="602" spans="1:2">
      <c r="A602" s="7">
        <v>22678</v>
      </c>
      <c r="B602" s="8">
        <v>31.7</v>
      </c>
    </row>
    <row r="603" spans="1:2">
      <c r="A603" s="7">
        <v>22706</v>
      </c>
      <c r="B603" s="8">
        <v>31.7</v>
      </c>
    </row>
    <row r="604" spans="1:2">
      <c r="A604" s="7">
        <v>22737</v>
      </c>
      <c r="B604" s="8">
        <v>31.6</v>
      </c>
    </row>
    <row r="605" spans="1:2">
      <c r="A605" s="7">
        <v>22767</v>
      </c>
      <c r="B605" s="8">
        <v>31.5</v>
      </c>
    </row>
    <row r="606" spans="1:2">
      <c r="A606" s="7">
        <v>22798</v>
      </c>
      <c r="B606" s="8">
        <v>31.5</v>
      </c>
    </row>
    <row r="607" spans="1:2">
      <c r="A607" s="7">
        <v>22828</v>
      </c>
      <c r="B607" s="8">
        <v>31.6</v>
      </c>
    </row>
    <row r="608" spans="1:2">
      <c r="A608" s="7">
        <v>22859</v>
      </c>
      <c r="B608" s="8">
        <v>31.6</v>
      </c>
    </row>
    <row r="609" spans="1:2">
      <c r="A609" s="7">
        <v>22890</v>
      </c>
      <c r="B609" s="8">
        <v>31.9</v>
      </c>
    </row>
    <row r="610" spans="1:2">
      <c r="A610" s="7">
        <v>22920</v>
      </c>
      <c r="B610" s="8">
        <v>31.7</v>
      </c>
    </row>
    <row r="611" spans="1:2">
      <c r="A611" s="7">
        <v>22951</v>
      </c>
      <c r="B611" s="8">
        <v>31.7</v>
      </c>
    </row>
    <row r="612" spans="1:2">
      <c r="A612" s="7">
        <v>22981</v>
      </c>
      <c r="B612" s="8">
        <v>31.6</v>
      </c>
    </row>
    <row r="613" spans="1:2">
      <c r="A613" s="7">
        <v>23012</v>
      </c>
      <c r="B613" s="8">
        <v>31.6</v>
      </c>
    </row>
    <row r="614" spans="1:2">
      <c r="A614" s="7">
        <v>23043</v>
      </c>
      <c r="B614" s="8">
        <v>31.5</v>
      </c>
    </row>
    <row r="615" spans="1:2">
      <c r="A615" s="7">
        <v>23071</v>
      </c>
      <c r="B615" s="8">
        <v>31.5</v>
      </c>
    </row>
    <row r="616" spans="1:2">
      <c r="A616" s="7">
        <v>23102</v>
      </c>
      <c r="B616" s="8">
        <v>31.4</v>
      </c>
    </row>
    <row r="617" spans="1:2">
      <c r="A617" s="7">
        <v>23132</v>
      </c>
      <c r="B617" s="8">
        <v>31.5</v>
      </c>
    </row>
    <row r="618" spans="1:2">
      <c r="A618" s="7">
        <v>23163</v>
      </c>
      <c r="B618" s="8">
        <v>31.6</v>
      </c>
    </row>
    <row r="619" spans="1:2">
      <c r="A619" s="7">
        <v>23193</v>
      </c>
      <c r="B619" s="8">
        <v>31.7</v>
      </c>
    </row>
    <row r="620" spans="1:2">
      <c r="A620" s="7">
        <v>23224</v>
      </c>
      <c r="B620" s="8">
        <v>31.6</v>
      </c>
    </row>
    <row r="621" spans="1:2">
      <c r="A621" s="7">
        <v>23255</v>
      </c>
      <c r="B621" s="8">
        <v>31.6</v>
      </c>
    </row>
    <row r="622" spans="1:2">
      <c r="A622" s="7">
        <v>23285</v>
      </c>
      <c r="B622" s="8">
        <v>31.6</v>
      </c>
    </row>
    <row r="623" spans="1:2">
      <c r="A623" s="7">
        <v>23316</v>
      </c>
      <c r="B623" s="8">
        <v>31.7</v>
      </c>
    </row>
    <row r="624" spans="1:2">
      <c r="A624" s="7">
        <v>23346</v>
      </c>
      <c r="B624" s="8">
        <v>31.6</v>
      </c>
    </row>
    <row r="625" spans="1:2">
      <c r="A625" s="7">
        <v>23377</v>
      </c>
      <c r="B625" s="8">
        <v>31.8</v>
      </c>
    </row>
    <row r="626" spans="1:2">
      <c r="A626" s="7">
        <v>23408</v>
      </c>
      <c r="B626" s="8">
        <v>31.6</v>
      </c>
    </row>
    <row r="627" spans="1:2">
      <c r="A627" s="7">
        <v>23437</v>
      </c>
      <c r="B627" s="8">
        <v>31.6</v>
      </c>
    </row>
    <row r="628" spans="1:2">
      <c r="A628" s="7">
        <v>23468</v>
      </c>
      <c r="B628" s="8">
        <v>31.6</v>
      </c>
    </row>
    <row r="629" spans="1:2">
      <c r="A629" s="7">
        <v>23498</v>
      </c>
      <c r="B629" s="8">
        <v>31.5</v>
      </c>
    </row>
    <row r="630" spans="1:2">
      <c r="A630" s="7">
        <v>23529</v>
      </c>
      <c r="B630" s="8">
        <v>31.5</v>
      </c>
    </row>
    <row r="631" spans="1:2">
      <c r="A631" s="7">
        <v>23559</v>
      </c>
      <c r="B631" s="8">
        <v>31.6</v>
      </c>
    </row>
    <row r="632" spans="1:2">
      <c r="A632" s="7">
        <v>23590</v>
      </c>
      <c r="B632" s="8">
        <v>31.6</v>
      </c>
    </row>
    <row r="633" spans="1:2">
      <c r="A633" s="7">
        <v>23621</v>
      </c>
      <c r="B633" s="8">
        <v>31.7</v>
      </c>
    </row>
    <row r="634" spans="1:2">
      <c r="A634" s="7">
        <v>23651</v>
      </c>
      <c r="B634" s="8">
        <v>31.7</v>
      </c>
    </row>
    <row r="635" spans="1:2">
      <c r="A635" s="7">
        <v>23682</v>
      </c>
      <c r="B635" s="8">
        <v>31.7</v>
      </c>
    </row>
    <row r="636" spans="1:2">
      <c r="A636" s="7">
        <v>23712</v>
      </c>
      <c r="B636" s="8">
        <v>31.7</v>
      </c>
    </row>
    <row r="637" spans="1:2">
      <c r="A637" s="7">
        <v>23743</v>
      </c>
      <c r="B637" s="8">
        <v>31.8</v>
      </c>
    </row>
    <row r="638" spans="1:2">
      <c r="A638" s="7">
        <v>23774</v>
      </c>
      <c r="B638" s="8">
        <v>31.9</v>
      </c>
    </row>
    <row r="639" spans="1:2">
      <c r="A639" s="7">
        <v>23802</v>
      </c>
      <c r="B639" s="8">
        <v>31.9</v>
      </c>
    </row>
    <row r="640" spans="1:2">
      <c r="A640" s="7">
        <v>23833</v>
      </c>
      <c r="B640" s="8">
        <v>32</v>
      </c>
    </row>
    <row r="641" spans="1:2">
      <c r="A641" s="7">
        <v>23863</v>
      </c>
      <c r="B641" s="8">
        <v>32.1</v>
      </c>
    </row>
    <row r="642" spans="1:2">
      <c r="A642" s="7">
        <v>23894</v>
      </c>
      <c r="B642" s="8">
        <v>32.4</v>
      </c>
    </row>
    <row r="643" spans="1:2">
      <c r="A643" s="7">
        <v>23924</v>
      </c>
      <c r="B643" s="8">
        <v>32.4</v>
      </c>
    </row>
    <row r="644" spans="1:2">
      <c r="A644" s="7">
        <v>23955</v>
      </c>
      <c r="B644" s="8">
        <v>32.4</v>
      </c>
    </row>
    <row r="645" spans="1:2">
      <c r="A645" s="7">
        <v>23986</v>
      </c>
      <c r="B645" s="8">
        <v>32.4</v>
      </c>
    </row>
    <row r="646" spans="1:2">
      <c r="A646" s="7">
        <v>24016</v>
      </c>
      <c r="B646" s="8">
        <v>32.5</v>
      </c>
    </row>
    <row r="647" spans="1:2">
      <c r="A647" s="7">
        <v>24047</v>
      </c>
      <c r="B647" s="8">
        <v>32.6</v>
      </c>
    </row>
    <row r="648" spans="1:2">
      <c r="A648" s="7">
        <v>24077</v>
      </c>
      <c r="B648" s="8">
        <v>32.799999999999997</v>
      </c>
    </row>
    <row r="649" spans="1:2">
      <c r="A649" s="7">
        <v>24108</v>
      </c>
      <c r="B649" s="8">
        <v>32.9</v>
      </c>
    </row>
    <row r="650" spans="1:2">
      <c r="A650" s="7">
        <v>24139</v>
      </c>
      <c r="B650" s="8">
        <v>33.200000000000003</v>
      </c>
    </row>
    <row r="651" spans="1:2">
      <c r="A651" s="7">
        <v>24167</v>
      </c>
      <c r="B651" s="8">
        <v>33.200000000000003</v>
      </c>
    </row>
    <row r="652" spans="1:2">
      <c r="A652" s="7">
        <v>24198</v>
      </c>
      <c r="B652" s="8">
        <v>33.200000000000003</v>
      </c>
    </row>
    <row r="653" spans="1:2">
      <c r="A653" s="7">
        <v>24228</v>
      </c>
      <c r="B653" s="8">
        <v>33.200000000000003</v>
      </c>
    </row>
    <row r="654" spans="1:2">
      <c r="A654" s="7">
        <v>24259</v>
      </c>
      <c r="B654" s="8">
        <v>33.299999999999997</v>
      </c>
    </row>
    <row r="655" spans="1:2">
      <c r="A655" s="7">
        <v>24289</v>
      </c>
      <c r="B655" s="8">
        <v>33.5</v>
      </c>
    </row>
    <row r="656" spans="1:2">
      <c r="A656" s="7">
        <v>24320</v>
      </c>
      <c r="B656" s="8">
        <v>33.6</v>
      </c>
    </row>
    <row r="657" spans="1:2">
      <c r="A657" s="7">
        <v>24351</v>
      </c>
      <c r="B657" s="8">
        <v>33.6</v>
      </c>
    </row>
    <row r="658" spans="1:2">
      <c r="A658" s="7">
        <v>24381</v>
      </c>
      <c r="B658" s="8">
        <v>33.4</v>
      </c>
    </row>
    <row r="659" spans="1:2">
      <c r="A659" s="7">
        <v>24412</v>
      </c>
      <c r="B659" s="8">
        <v>33.299999999999997</v>
      </c>
    </row>
    <row r="660" spans="1:2">
      <c r="A660" s="7">
        <v>24442</v>
      </c>
      <c r="B660" s="8">
        <v>33.299999999999997</v>
      </c>
    </row>
    <row r="661" spans="1:2">
      <c r="A661" s="7">
        <v>24473</v>
      </c>
      <c r="B661" s="8">
        <v>33.4</v>
      </c>
    </row>
    <row r="662" spans="1:2">
      <c r="A662" s="7">
        <v>24504</v>
      </c>
      <c r="B662" s="8">
        <v>33.4</v>
      </c>
    </row>
    <row r="663" spans="1:2">
      <c r="A663" s="7">
        <v>24532</v>
      </c>
      <c r="B663" s="8">
        <v>33.299999999999997</v>
      </c>
    </row>
    <row r="664" spans="1:2">
      <c r="A664" s="7">
        <v>24563</v>
      </c>
      <c r="B664" s="8">
        <v>33.1</v>
      </c>
    </row>
    <row r="665" spans="1:2">
      <c r="A665" s="7">
        <v>24593</v>
      </c>
      <c r="B665" s="8">
        <v>33.299999999999997</v>
      </c>
    </row>
    <row r="666" spans="1:2">
      <c r="A666" s="7">
        <v>24624</v>
      </c>
      <c r="B666" s="8">
        <v>33.5</v>
      </c>
    </row>
    <row r="667" spans="1:2">
      <c r="A667" s="7">
        <v>24654</v>
      </c>
      <c r="B667" s="8">
        <v>33.5</v>
      </c>
    </row>
    <row r="668" spans="1:2">
      <c r="A668" s="7">
        <v>24685</v>
      </c>
      <c r="B668" s="8">
        <v>33.4</v>
      </c>
    </row>
    <row r="669" spans="1:2">
      <c r="A669" s="7">
        <v>24716</v>
      </c>
      <c r="B669" s="8">
        <v>33.4</v>
      </c>
    </row>
    <row r="670" spans="1:2">
      <c r="A670" s="7">
        <v>24746</v>
      </c>
      <c r="B670" s="8">
        <v>33.4</v>
      </c>
    </row>
    <row r="671" spans="1:2">
      <c r="A671" s="7">
        <v>24777</v>
      </c>
      <c r="B671" s="8">
        <v>33.4</v>
      </c>
    </row>
    <row r="672" spans="1:2">
      <c r="A672" s="7">
        <v>24807</v>
      </c>
      <c r="B672" s="8">
        <v>33.700000000000003</v>
      </c>
    </row>
    <row r="673" spans="1:2">
      <c r="A673" s="7">
        <v>24838</v>
      </c>
      <c r="B673" s="8">
        <v>33.799999999999997</v>
      </c>
    </row>
    <row r="674" spans="1:2">
      <c r="A674" s="7">
        <v>24869</v>
      </c>
      <c r="B674" s="8">
        <v>34</v>
      </c>
    </row>
    <row r="675" spans="1:2">
      <c r="A675" s="7">
        <v>24898</v>
      </c>
      <c r="B675" s="8">
        <v>34.1</v>
      </c>
    </row>
    <row r="676" spans="1:2">
      <c r="A676" s="7">
        <v>24929</v>
      </c>
      <c r="B676" s="8">
        <v>34.1</v>
      </c>
    </row>
    <row r="677" spans="1:2">
      <c r="A677" s="7">
        <v>24959</v>
      </c>
      <c r="B677" s="8">
        <v>34.200000000000003</v>
      </c>
    </row>
    <row r="678" spans="1:2">
      <c r="A678" s="7">
        <v>24990</v>
      </c>
      <c r="B678" s="8">
        <v>34.200000000000003</v>
      </c>
    </row>
    <row r="679" spans="1:2">
      <c r="A679" s="7">
        <v>25020</v>
      </c>
      <c r="B679" s="8">
        <v>34.299999999999997</v>
      </c>
    </row>
    <row r="680" spans="1:2">
      <c r="A680" s="7">
        <v>25051</v>
      </c>
      <c r="B680" s="8">
        <v>34.200000000000003</v>
      </c>
    </row>
    <row r="681" spans="1:2">
      <c r="A681" s="7">
        <v>25082</v>
      </c>
      <c r="B681" s="8">
        <v>34.4</v>
      </c>
    </row>
    <row r="682" spans="1:2">
      <c r="A682" s="7">
        <v>25112</v>
      </c>
      <c r="B682" s="8">
        <v>34.4</v>
      </c>
    </row>
    <row r="683" spans="1:2">
      <c r="A683" s="7">
        <v>25143</v>
      </c>
      <c r="B683" s="8">
        <v>34.5</v>
      </c>
    </row>
    <row r="684" spans="1:2">
      <c r="A684" s="7">
        <v>25173</v>
      </c>
      <c r="B684" s="8">
        <v>34.6</v>
      </c>
    </row>
    <row r="685" spans="1:2">
      <c r="A685" s="7">
        <v>25204</v>
      </c>
      <c r="B685" s="8">
        <v>34.799999999999997</v>
      </c>
    </row>
    <row r="686" spans="1:2">
      <c r="A686" s="7">
        <v>25235</v>
      </c>
      <c r="B686" s="8">
        <v>35</v>
      </c>
    </row>
    <row r="687" spans="1:2">
      <c r="A687" s="7">
        <v>25263</v>
      </c>
      <c r="B687" s="8">
        <v>35.200000000000003</v>
      </c>
    </row>
    <row r="688" spans="1:2">
      <c r="A688" s="7">
        <v>25294</v>
      </c>
      <c r="B688" s="8">
        <v>35.299999999999997</v>
      </c>
    </row>
    <row r="689" spans="1:2">
      <c r="A689" s="7">
        <v>25324</v>
      </c>
      <c r="B689" s="8">
        <v>35.5</v>
      </c>
    </row>
    <row r="690" spans="1:2">
      <c r="A690" s="7">
        <v>25355</v>
      </c>
      <c r="B690" s="8">
        <v>35.700000000000003</v>
      </c>
    </row>
    <row r="691" spans="1:2">
      <c r="A691" s="7">
        <v>25385</v>
      </c>
      <c r="B691" s="8">
        <v>35.799999999999997</v>
      </c>
    </row>
    <row r="692" spans="1:2">
      <c r="A692" s="7">
        <v>25416</v>
      </c>
      <c r="B692" s="8">
        <v>35.700000000000003</v>
      </c>
    </row>
    <row r="693" spans="1:2">
      <c r="A693" s="7">
        <v>25447</v>
      </c>
      <c r="B693" s="8">
        <v>35.799999999999997</v>
      </c>
    </row>
    <row r="694" spans="1:2">
      <c r="A694" s="7">
        <v>25477</v>
      </c>
      <c r="B694" s="8">
        <v>35.9</v>
      </c>
    </row>
    <row r="695" spans="1:2">
      <c r="A695" s="7">
        <v>25508</v>
      </c>
      <c r="B695" s="8">
        <v>36.1</v>
      </c>
    </row>
    <row r="696" spans="1:2">
      <c r="A696" s="7">
        <v>25538</v>
      </c>
      <c r="B696" s="8">
        <v>36.299999999999997</v>
      </c>
    </row>
    <row r="697" spans="1:2">
      <c r="A697" s="7">
        <v>25569</v>
      </c>
      <c r="B697" s="8">
        <v>36.5</v>
      </c>
    </row>
    <row r="698" spans="1:2">
      <c r="A698" s="7">
        <v>25600</v>
      </c>
      <c r="B698" s="8">
        <v>36.700000000000003</v>
      </c>
    </row>
    <row r="699" spans="1:2">
      <c r="A699" s="7">
        <v>25628</v>
      </c>
      <c r="B699" s="8">
        <v>36.700000000000003</v>
      </c>
    </row>
    <row r="700" spans="1:2">
      <c r="A700" s="7">
        <v>25659</v>
      </c>
      <c r="B700" s="8">
        <v>36.799999999999997</v>
      </c>
    </row>
    <row r="701" spans="1:2">
      <c r="A701" s="7">
        <v>25689</v>
      </c>
      <c r="B701" s="8">
        <v>36.799999999999997</v>
      </c>
    </row>
    <row r="702" spans="1:2">
      <c r="A702" s="7">
        <v>25720</v>
      </c>
      <c r="B702" s="8">
        <v>36.9</v>
      </c>
    </row>
    <row r="703" spans="1:2">
      <c r="A703" s="7">
        <v>25750</v>
      </c>
      <c r="B703" s="8">
        <v>37.1</v>
      </c>
    </row>
    <row r="704" spans="1:2">
      <c r="A704" s="7">
        <v>25781</v>
      </c>
      <c r="B704" s="8">
        <v>36.9</v>
      </c>
    </row>
    <row r="705" spans="1:2">
      <c r="A705" s="7">
        <v>25812</v>
      </c>
      <c r="B705" s="8">
        <v>37.1</v>
      </c>
    </row>
    <row r="706" spans="1:2">
      <c r="A706" s="7">
        <v>25842</v>
      </c>
      <c r="B706" s="8">
        <v>37.1</v>
      </c>
    </row>
    <row r="707" spans="1:2">
      <c r="A707" s="7">
        <v>25873</v>
      </c>
      <c r="B707" s="8">
        <v>37.1</v>
      </c>
    </row>
    <row r="708" spans="1:2">
      <c r="A708" s="7">
        <v>25903</v>
      </c>
      <c r="B708" s="8">
        <v>37.1</v>
      </c>
    </row>
    <row r="709" spans="1:2">
      <c r="A709" s="7">
        <v>25934</v>
      </c>
      <c r="B709" s="8">
        <v>37.299999999999997</v>
      </c>
    </row>
    <row r="710" spans="1:2">
      <c r="A710" s="7">
        <v>25965</v>
      </c>
      <c r="B710" s="8">
        <v>37.700000000000003</v>
      </c>
    </row>
    <row r="711" spans="1:2">
      <c r="A711" s="7">
        <v>25993</v>
      </c>
      <c r="B711" s="8">
        <v>37.799999999999997</v>
      </c>
    </row>
    <row r="712" spans="1:2">
      <c r="A712" s="7">
        <v>26024</v>
      </c>
      <c r="B712" s="8">
        <v>37.9</v>
      </c>
    </row>
    <row r="713" spans="1:2">
      <c r="A713" s="7">
        <v>26054</v>
      </c>
      <c r="B713" s="8">
        <v>38.1</v>
      </c>
    </row>
    <row r="714" spans="1:2">
      <c r="A714" s="7">
        <v>26085</v>
      </c>
      <c r="B714" s="8">
        <v>38.200000000000003</v>
      </c>
    </row>
    <row r="715" spans="1:2">
      <c r="A715" s="7">
        <v>26115</v>
      </c>
      <c r="B715" s="8">
        <v>38.299999999999997</v>
      </c>
    </row>
    <row r="716" spans="1:2">
      <c r="A716" s="7">
        <v>26146</v>
      </c>
      <c r="B716" s="8">
        <v>38.5</v>
      </c>
    </row>
    <row r="717" spans="1:2">
      <c r="A717" s="7">
        <v>26177</v>
      </c>
      <c r="B717" s="8">
        <v>38.299999999999997</v>
      </c>
    </row>
    <row r="718" spans="1:2">
      <c r="A718" s="7">
        <v>26207</v>
      </c>
      <c r="B718" s="8">
        <v>38.299999999999997</v>
      </c>
    </row>
    <row r="719" spans="1:2">
      <c r="A719" s="7">
        <v>26238</v>
      </c>
      <c r="B719" s="8">
        <v>38.299999999999997</v>
      </c>
    </row>
    <row r="720" spans="1:2">
      <c r="A720" s="7">
        <v>26268</v>
      </c>
      <c r="B720" s="8">
        <v>38.6</v>
      </c>
    </row>
    <row r="721" spans="1:2">
      <c r="A721" s="7">
        <v>26299</v>
      </c>
      <c r="B721" s="8">
        <v>38.799999999999997</v>
      </c>
    </row>
    <row r="722" spans="1:2">
      <c r="A722" s="7">
        <v>26330</v>
      </c>
      <c r="B722" s="8">
        <v>39.200000000000003</v>
      </c>
    </row>
    <row r="723" spans="1:2">
      <c r="A723" s="7">
        <v>26359</v>
      </c>
      <c r="B723" s="8">
        <v>39.200000000000003</v>
      </c>
    </row>
    <row r="724" spans="1:2">
      <c r="A724" s="7">
        <v>26390</v>
      </c>
      <c r="B724" s="8">
        <v>39.299999999999997</v>
      </c>
    </row>
    <row r="725" spans="1:2">
      <c r="A725" s="7">
        <v>26420</v>
      </c>
      <c r="B725" s="8">
        <v>39.5</v>
      </c>
    </row>
    <row r="726" spans="1:2">
      <c r="A726" s="7">
        <v>26451</v>
      </c>
      <c r="B726" s="8">
        <v>39.700000000000003</v>
      </c>
    </row>
    <row r="727" spans="1:2">
      <c r="A727" s="7">
        <v>26481</v>
      </c>
      <c r="B727" s="8">
        <v>40</v>
      </c>
    </row>
    <row r="728" spans="1:2">
      <c r="A728" s="7">
        <v>26512</v>
      </c>
      <c r="B728" s="8">
        <v>40.1</v>
      </c>
    </row>
    <row r="729" spans="1:2">
      <c r="A729" s="7">
        <v>26543</v>
      </c>
      <c r="B729" s="8">
        <v>40.200000000000003</v>
      </c>
    </row>
    <row r="730" spans="1:2">
      <c r="A730" s="7">
        <v>26573</v>
      </c>
      <c r="B730" s="8">
        <v>40.1</v>
      </c>
    </row>
    <row r="731" spans="1:2">
      <c r="A731" s="7">
        <v>26604</v>
      </c>
      <c r="B731" s="8">
        <v>40.299999999999997</v>
      </c>
    </row>
    <row r="732" spans="1:2">
      <c r="A732" s="7">
        <v>26634</v>
      </c>
      <c r="B732" s="8">
        <v>41.1</v>
      </c>
    </row>
    <row r="733" spans="1:2">
      <c r="A733" s="7">
        <v>26665</v>
      </c>
      <c r="B733" s="8">
        <v>41.6</v>
      </c>
    </row>
    <row r="734" spans="1:2">
      <c r="A734" s="7">
        <v>26696</v>
      </c>
      <c r="B734" s="8">
        <v>42.4</v>
      </c>
    </row>
    <row r="735" spans="1:2">
      <c r="A735" s="7">
        <v>26724</v>
      </c>
      <c r="B735" s="8">
        <v>43.4</v>
      </c>
    </row>
    <row r="736" spans="1:2">
      <c r="A736" s="7">
        <v>26755</v>
      </c>
      <c r="B736" s="8">
        <v>43.6</v>
      </c>
    </row>
    <row r="737" spans="1:2">
      <c r="A737" s="7">
        <v>26785</v>
      </c>
      <c r="B737" s="8">
        <v>44.5</v>
      </c>
    </row>
    <row r="738" spans="1:2">
      <c r="A738" s="7">
        <v>26816</v>
      </c>
      <c r="B738" s="8">
        <v>45.5</v>
      </c>
    </row>
    <row r="739" spans="1:2">
      <c r="A739" s="7">
        <v>26846</v>
      </c>
      <c r="B739" s="8">
        <v>44.9</v>
      </c>
    </row>
    <row r="740" spans="1:2">
      <c r="A740" s="7">
        <v>26877</v>
      </c>
      <c r="B740" s="8">
        <v>47.5</v>
      </c>
    </row>
    <row r="741" spans="1:2">
      <c r="A741" s="7">
        <v>26908</v>
      </c>
      <c r="B741" s="8">
        <v>46.7</v>
      </c>
    </row>
    <row r="742" spans="1:2">
      <c r="A742" s="7">
        <v>26938</v>
      </c>
      <c r="B742" s="8">
        <v>46.3</v>
      </c>
    </row>
    <row r="743" spans="1:2">
      <c r="A743" s="7">
        <v>26969</v>
      </c>
      <c r="B743" s="8">
        <v>46.5</v>
      </c>
    </row>
    <row r="744" spans="1:2">
      <c r="A744" s="7">
        <v>26999</v>
      </c>
      <c r="B744" s="8">
        <v>47.4</v>
      </c>
    </row>
    <row r="745" spans="1:2">
      <c r="A745" s="7">
        <v>27030</v>
      </c>
      <c r="B745" s="8">
        <v>49</v>
      </c>
    </row>
    <row r="746" spans="1:2">
      <c r="A746" s="7">
        <v>27061</v>
      </c>
      <c r="B746" s="8">
        <v>50</v>
      </c>
    </row>
    <row r="747" spans="1:2">
      <c r="A747" s="7">
        <v>27089</v>
      </c>
      <c r="B747" s="8">
        <v>50.6</v>
      </c>
    </row>
    <row r="748" spans="1:2">
      <c r="A748" s="7">
        <v>27120</v>
      </c>
      <c r="B748" s="8">
        <v>51</v>
      </c>
    </row>
    <row r="749" spans="1:2">
      <c r="A749" s="7">
        <v>27150</v>
      </c>
      <c r="B749" s="8">
        <v>51.8</v>
      </c>
    </row>
    <row r="750" spans="1:2">
      <c r="A750" s="7">
        <v>27181</v>
      </c>
      <c r="B750" s="8">
        <v>52</v>
      </c>
    </row>
    <row r="751" spans="1:2">
      <c r="A751" s="7">
        <v>27211</v>
      </c>
      <c r="B751" s="8">
        <v>54</v>
      </c>
    </row>
    <row r="752" spans="1:2">
      <c r="A752" s="7">
        <v>27242</v>
      </c>
      <c r="B752" s="8">
        <v>55.9</v>
      </c>
    </row>
    <row r="753" spans="1:2">
      <c r="A753" s="7">
        <v>27273</v>
      </c>
      <c r="B753" s="8">
        <v>55.9</v>
      </c>
    </row>
    <row r="754" spans="1:2">
      <c r="A754" s="7">
        <v>27303</v>
      </c>
      <c r="B754" s="8">
        <v>56.9</v>
      </c>
    </row>
    <row r="755" spans="1:2">
      <c r="A755" s="7">
        <v>27334</v>
      </c>
      <c r="B755" s="8">
        <v>57.4</v>
      </c>
    </row>
    <row r="756" spans="1:2">
      <c r="A756" s="7">
        <v>27364</v>
      </c>
      <c r="B756" s="8">
        <v>57.3</v>
      </c>
    </row>
    <row r="757" spans="1:2">
      <c r="A757" s="7">
        <v>27395</v>
      </c>
      <c r="B757" s="8">
        <v>57.4</v>
      </c>
    </row>
    <row r="758" spans="1:2">
      <c r="A758" s="7">
        <v>27426</v>
      </c>
      <c r="B758" s="8">
        <v>57.2</v>
      </c>
    </row>
    <row r="759" spans="1:2">
      <c r="A759" s="7">
        <v>27454</v>
      </c>
      <c r="B759" s="8">
        <v>56.9</v>
      </c>
    </row>
    <row r="760" spans="1:2">
      <c r="A760" s="7">
        <v>27485</v>
      </c>
      <c r="B760" s="8">
        <v>57.5</v>
      </c>
    </row>
    <row r="761" spans="1:2">
      <c r="A761" s="7">
        <v>27515</v>
      </c>
      <c r="B761" s="8">
        <v>57.9</v>
      </c>
    </row>
    <row r="762" spans="1:2">
      <c r="A762" s="7">
        <v>27546</v>
      </c>
      <c r="B762" s="8">
        <v>58</v>
      </c>
    </row>
    <row r="763" spans="1:2">
      <c r="A763" s="7">
        <v>27576</v>
      </c>
      <c r="B763" s="8">
        <v>58.7</v>
      </c>
    </row>
    <row r="764" spans="1:2">
      <c r="A764" s="7">
        <v>27607</v>
      </c>
      <c r="B764" s="8">
        <v>59</v>
      </c>
    </row>
    <row r="765" spans="1:2">
      <c r="A765" s="7">
        <v>27638</v>
      </c>
      <c r="B765" s="8">
        <v>59.4</v>
      </c>
    </row>
    <row r="766" spans="1:2">
      <c r="A766" s="7">
        <v>27668</v>
      </c>
      <c r="B766" s="8">
        <v>59.8</v>
      </c>
    </row>
    <row r="767" spans="1:2">
      <c r="A767" s="7">
        <v>27699</v>
      </c>
      <c r="B767" s="8">
        <v>59.5</v>
      </c>
    </row>
    <row r="768" spans="1:2">
      <c r="A768" s="7">
        <v>27729</v>
      </c>
      <c r="B768" s="8">
        <v>59.7</v>
      </c>
    </row>
    <row r="769" spans="1:2">
      <c r="A769" s="7">
        <v>27760</v>
      </c>
      <c r="B769" s="8">
        <v>59.9</v>
      </c>
    </row>
    <row r="770" spans="1:2">
      <c r="A770" s="7">
        <v>27791</v>
      </c>
      <c r="B770" s="8">
        <v>59.9</v>
      </c>
    </row>
    <row r="771" spans="1:2">
      <c r="A771" s="7">
        <v>27820</v>
      </c>
      <c r="B771" s="8">
        <v>60</v>
      </c>
    </row>
    <row r="772" spans="1:2">
      <c r="A772" s="7">
        <v>27851</v>
      </c>
      <c r="B772" s="8">
        <v>60.6</v>
      </c>
    </row>
    <row r="773" spans="1:2">
      <c r="A773" s="7">
        <v>27881</v>
      </c>
      <c r="B773" s="8">
        <v>60.8</v>
      </c>
    </row>
    <row r="774" spans="1:2">
      <c r="A774" s="7">
        <v>27912</v>
      </c>
      <c r="B774" s="8">
        <v>61.2</v>
      </c>
    </row>
    <row r="775" spans="1:2">
      <c r="A775" s="7">
        <v>27942</v>
      </c>
      <c r="B775" s="8">
        <v>61.6</v>
      </c>
    </row>
    <row r="776" spans="1:2">
      <c r="A776" s="7">
        <v>27973</v>
      </c>
      <c r="B776" s="8">
        <v>61.4</v>
      </c>
    </row>
    <row r="777" spans="1:2">
      <c r="A777" s="7">
        <v>28004</v>
      </c>
      <c r="B777" s="8">
        <v>61.8</v>
      </c>
    </row>
    <row r="778" spans="1:2">
      <c r="A778" s="7">
        <v>28034</v>
      </c>
      <c r="B778" s="8">
        <v>61.9</v>
      </c>
    </row>
    <row r="779" spans="1:2">
      <c r="A779" s="7">
        <v>28065</v>
      </c>
      <c r="B779" s="8">
        <v>62</v>
      </c>
    </row>
    <row r="780" spans="1:2">
      <c r="A780" s="7">
        <v>28095</v>
      </c>
      <c r="B780" s="8">
        <v>62.5</v>
      </c>
    </row>
    <row r="781" spans="1:2">
      <c r="A781" s="7">
        <v>28126</v>
      </c>
      <c r="B781" s="8">
        <v>62.8</v>
      </c>
    </row>
    <row r="782" spans="1:2">
      <c r="A782" s="7">
        <v>28157</v>
      </c>
      <c r="B782" s="8">
        <v>63.5</v>
      </c>
    </row>
    <row r="783" spans="1:2">
      <c r="A783" s="7">
        <v>28185</v>
      </c>
      <c r="B783" s="8">
        <v>64.099999999999994</v>
      </c>
    </row>
    <row r="784" spans="1:2">
      <c r="A784" s="7">
        <v>28216</v>
      </c>
      <c r="B784" s="8">
        <v>64.900000000000006</v>
      </c>
    </row>
    <row r="785" spans="1:2">
      <c r="A785" s="7">
        <v>28246</v>
      </c>
      <c r="B785" s="8">
        <v>65.2</v>
      </c>
    </row>
    <row r="786" spans="1:2">
      <c r="A786" s="7">
        <v>28277</v>
      </c>
      <c r="B786" s="8">
        <v>65</v>
      </c>
    </row>
    <row r="787" spans="1:2">
      <c r="A787" s="7">
        <v>28307</v>
      </c>
      <c r="B787" s="8">
        <v>65.099999999999994</v>
      </c>
    </row>
    <row r="788" spans="1:2">
      <c r="A788" s="7">
        <v>28338</v>
      </c>
      <c r="B788" s="8">
        <v>65</v>
      </c>
    </row>
    <row r="789" spans="1:2">
      <c r="A789" s="7">
        <v>28369</v>
      </c>
      <c r="B789" s="8">
        <v>65.3</v>
      </c>
    </row>
    <row r="790" spans="1:2">
      <c r="A790" s="7">
        <v>28399</v>
      </c>
      <c r="B790" s="8">
        <v>65.599999999999994</v>
      </c>
    </row>
    <row r="791" spans="1:2">
      <c r="A791" s="7">
        <v>28430</v>
      </c>
      <c r="B791" s="8">
        <v>65.8</v>
      </c>
    </row>
    <row r="792" spans="1:2">
      <c r="A792" s="7">
        <v>28460</v>
      </c>
      <c r="B792" s="8">
        <v>66.2</v>
      </c>
    </row>
    <row r="793" spans="1:2">
      <c r="A793" s="7">
        <v>28491</v>
      </c>
      <c r="B793" s="8">
        <v>66.8</v>
      </c>
    </row>
    <row r="794" spans="1:2">
      <c r="A794" s="7">
        <v>28522</v>
      </c>
      <c r="B794" s="8">
        <v>67.5</v>
      </c>
    </row>
    <row r="795" spans="1:2">
      <c r="A795" s="7">
        <v>28550</v>
      </c>
      <c r="B795" s="8">
        <v>68.099999999999994</v>
      </c>
    </row>
    <row r="796" spans="1:2">
      <c r="A796" s="7">
        <v>28581</v>
      </c>
      <c r="B796" s="8">
        <v>69</v>
      </c>
    </row>
    <row r="797" spans="1:2">
      <c r="A797" s="7">
        <v>28611</v>
      </c>
      <c r="B797" s="8">
        <v>69.5</v>
      </c>
    </row>
    <row r="798" spans="1:2">
      <c r="A798" s="7">
        <v>28642</v>
      </c>
      <c r="B798" s="8">
        <v>70</v>
      </c>
    </row>
    <row r="799" spans="1:2">
      <c r="A799" s="7">
        <v>28672</v>
      </c>
      <c r="B799" s="8">
        <v>70.400000000000006</v>
      </c>
    </row>
    <row r="800" spans="1:2">
      <c r="A800" s="7">
        <v>28703</v>
      </c>
      <c r="B800" s="8">
        <v>70.400000000000006</v>
      </c>
    </row>
    <row r="801" spans="1:2">
      <c r="A801" s="7">
        <v>28734</v>
      </c>
      <c r="B801" s="8">
        <v>71</v>
      </c>
    </row>
    <row r="802" spans="1:2">
      <c r="A802" s="7">
        <v>28764</v>
      </c>
      <c r="B802" s="8">
        <v>71.8</v>
      </c>
    </row>
    <row r="803" spans="1:2">
      <c r="A803" s="7">
        <v>28795</v>
      </c>
      <c r="B803" s="8">
        <v>72.099999999999994</v>
      </c>
    </row>
    <row r="804" spans="1:2">
      <c r="A804" s="7">
        <v>28825</v>
      </c>
      <c r="B804" s="8">
        <v>72.7</v>
      </c>
    </row>
    <row r="805" spans="1:2">
      <c r="A805" s="7">
        <v>28856</v>
      </c>
      <c r="B805" s="8">
        <v>73.8</v>
      </c>
    </row>
    <row r="806" spans="1:2">
      <c r="A806" s="7">
        <v>28887</v>
      </c>
      <c r="B806" s="8">
        <v>74.900000000000006</v>
      </c>
    </row>
    <row r="807" spans="1:2">
      <c r="A807" s="7">
        <v>28915</v>
      </c>
      <c r="B807" s="8">
        <v>75.8</v>
      </c>
    </row>
    <row r="808" spans="1:2">
      <c r="A808" s="7">
        <v>28946</v>
      </c>
      <c r="B808" s="8">
        <v>76.900000000000006</v>
      </c>
    </row>
    <row r="809" spans="1:2">
      <c r="A809" s="7">
        <v>28976</v>
      </c>
      <c r="B809" s="8">
        <v>77.5</v>
      </c>
    </row>
    <row r="810" spans="1:2">
      <c r="A810" s="7">
        <v>29007</v>
      </c>
      <c r="B810" s="8">
        <v>78</v>
      </c>
    </row>
    <row r="811" spans="1:2">
      <c r="A811" s="7">
        <v>29037</v>
      </c>
      <c r="B811" s="8">
        <v>79.2</v>
      </c>
    </row>
    <row r="812" spans="1:2">
      <c r="A812" s="7">
        <v>29068</v>
      </c>
      <c r="B812" s="8">
        <v>79.599999999999994</v>
      </c>
    </row>
    <row r="813" spans="1:2">
      <c r="A813" s="7">
        <v>29099</v>
      </c>
      <c r="B813" s="8">
        <v>80.900000000000006</v>
      </c>
    </row>
    <row r="814" spans="1:2">
      <c r="A814" s="7">
        <v>29129</v>
      </c>
      <c r="B814" s="8">
        <v>82.1</v>
      </c>
    </row>
    <row r="815" spans="1:2">
      <c r="A815" s="7">
        <v>29160</v>
      </c>
      <c r="B815" s="8">
        <v>82.6</v>
      </c>
    </row>
    <row r="816" spans="1:2">
      <c r="A816" s="7">
        <v>29190</v>
      </c>
      <c r="B816" s="8">
        <v>83.4</v>
      </c>
    </row>
    <row r="817" spans="1:2">
      <c r="A817" s="7">
        <v>29221</v>
      </c>
      <c r="B817" s="8">
        <v>85.2</v>
      </c>
    </row>
    <row r="818" spans="1:2">
      <c r="A818" s="7">
        <v>29252</v>
      </c>
      <c r="B818" s="8">
        <v>86.9</v>
      </c>
    </row>
    <row r="819" spans="1:2">
      <c r="A819" s="7">
        <v>29281</v>
      </c>
      <c r="B819" s="8">
        <v>87.5</v>
      </c>
    </row>
    <row r="820" spans="1:2">
      <c r="A820" s="7">
        <v>29312</v>
      </c>
      <c r="B820" s="8">
        <v>87.8</v>
      </c>
    </row>
    <row r="821" spans="1:2">
      <c r="A821" s="7">
        <v>29342</v>
      </c>
      <c r="B821" s="8">
        <v>88.3</v>
      </c>
    </row>
    <row r="822" spans="1:2">
      <c r="A822" s="7">
        <v>29373</v>
      </c>
      <c r="B822" s="8">
        <v>88.7</v>
      </c>
    </row>
    <row r="823" spans="1:2">
      <c r="A823" s="7">
        <v>29403</v>
      </c>
      <c r="B823" s="8">
        <v>90.3</v>
      </c>
    </row>
    <row r="824" spans="1:2">
      <c r="A824" s="7">
        <v>29434</v>
      </c>
      <c r="B824" s="8">
        <v>91.5</v>
      </c>
    </row>
    <row r="825" spans="1:2">
      <c r="A825" s="7">
        <v>29465</v>
      </c>
      <c r="B825" s="8">
        <v>91.7</v>
      </c>
    </row>
    <row r="826" spans="1:2">
      <c r="A826" s="7">
        <v>29495</v>
      </c>
      <c r="B826" s="8">
        <v>92.8</v>
      </c>
    </row>
    <row r="827" spans="1:2">
      <c r="A827" s="7">
        <v>29526</v>
      </c>
      <c r="B827" s="8">
        <v>93.2</v>
      </c>
    </row>
    <row r="828" spans="1:2">
      <c r="A828" s="7">
        <v>29556</v>
      </c>
      <c r="B828" s="8">
        <v>93.8</v>
      </c>
    </row>
    <row r="829" spans="1:2">
      <c r="A829" s="7">
        <v>29587</v>
      </c>
      <c r="B829" s="8">
        <v>95.2</v>
      </c>
    </row>
    <row r="830" spans="1:2">
      <c r="A830" s="7">
        <v>29618</v>
      </c>
      <c r="B830" s="8">
        <v>96.1</v>
      </c>
    </row>
    <row r="831" spans="1:2">
      <c r="A831" s="7">
        <v>29646</v>
      </c>
      <c r="B831" s="8">
        <v>97</v>
      </c>
    </row>
    <row r="832" spans="1:2">
      <c r="A832" s="7">
        <v>29677</v>
      </c>
      <c r="B832" s="8">
        <v>98</v>
      </c>
    </row>
    <row r="833" spans="1:2">
      <c r="A833" s="7">
        <v>29707</v>
      </c>
      <c r="B833" s="8">
        <v>98.3</v>
      </c>
    </row>
    <row r="834" spans="1:2">
      <c r="A834" s="7">
        <v>29738</v>
      </c>
      <c r="B834" s="8">
        <v>98.5</v>
      </c>
    </row>
    <row r="835" spans="1:2">
      <c r="A835" s="7">
        <v>29768</v>
      </c>
      <c r="B835" s="8">
        <v>99</v>
      </c>
    </row>
    <row r="836" spans="1:2">
      <c r="A836" s="7">
        <v>29799</v>
      </c>
      <c r="B836" s="8">
        <v>99</v>
      </c>
    </row>
    <row r="837" spans="1:2">
      <c r="A837" s="7">
        <v>29830</v>
      </c>
      <c r="B837" s="8">
        <v>98.8</v>
      </c>
    </row>
    <row r="838" spans="1:2">
      <c r="A838" s="7">
        <v>29860</v>
      </c>
      <c r="B838" s="8">
        <v>98.9</v>
      </c>
    </row>
    <row r="839" spans="1:2">
      <c r="A839" s="7">
        <v>29891</v>
      </c>
      <c r="B839" s="8">
        <v>98.8</v>
      </c>
    </row>
    <row r="840" spans="1:2">
      <c r="A840" s="7">
        <v>29921</v>
      </c>
      <c r="B840" s="8">
        <v>98.8</v>
      </c>
    </row>
    <row r="841" spans="1:2">
      <c r="A841" s="7">
        <v>29952</v>
      </c>
      <c r="B841" s="8">
        <v>99.7</v>
      </c>
    </row>
    <row r="842" spans="1:2">
      <c r="A842" s="7">
        <v>29983</v>
      </c>
      <c r="B842" s="8">
        <v>99.8</v>
      </c>
    </row>
    <row r="843" spans="1:2">
      <c r="A843" s="7">
        <v>30011</v>
      </c>
      <c r="B843" s="8">
        <v>99.6</v>
      </c>
    </row>
    <row r="844" spans="1:2">
      <c r="A844" s="7">
        <v>30042</v>
      </c>
      <c r="B844" s="8">
        <v>99.6</v>
      </c>
    </row>
    <row r="845" spans="1:2">
      <c r="A845" s="7">
        <v>30072</v>
      </c>
      <c r="B845" s="8">
        <v>99.8</v>
      </c>
    </row>
    <row r="846" spans="1:2">
      <c r="A846" s="7">
        <v>30103</v>
      </c>
      <c r="B846" s="8">
        <v>100</v>
      </c>
    </row>
    <row r="847" spans="1:2">
      <c r="A847" s="7">
        <v>30133</v>
      </c>
      <c r="B847" s="8">
        <v>100.4</v>
      </c>
    </row>
    <row r="848" spans="1:2">
      <c r="A848" s="7">
        <v>30164</v>
      </c>
      <c r="B848" s="8">
        <v>100.3</v>
      </c>
    </row>
    <row r="849" spans="1:2">
      <c r="A849" s="7">
        <v>30195</v>
      </c>
      <c r="B849" s="8">
        <v>100</v>
      </c>
    </row>
    <row r="850" spans="1:2">
      <c r="A850" s="7">
        <v>30225</v>
      </c>
      <c r="B850" s="8">
        <v>100.2</v>
      </c>
    </row>
    <row r="851" spans="1:2">
      <c r="A851" s="7">
        <v>30256</v>
      </c>
      <c r="B851" s="8">
        <v>100.3</v>
      </c>
    </row>
    <row r="852" spans="1:2">
      <c r="A852" s="7">
        <v>30286</v>
      </c>
      <c r="B852" s="8">
        <v>100.5</v>
      </c>
    </row>
    <row r="853" spans="1:2">
      <c r="A853" s="7">
        <v>30317</v>
      </c>
      <c r="B853" s="8">
        <v>100.2</v>
      </c>
    </row>
    <row r="854" spans="1:2">
      <c r="A854" s="7">
        <v>30348</v>
      </c>
      <c r="B854" s="8">
        <v>100.5</v>
      </c>
    </row>
    <row r="855" spans="1:2">
      <c r="A855" s="7">
        <v>30376</v>
      </c>
      <c r="B855" s="8">
        <v>100.4</v>
      </c>
    </row>
    <row r="856" spans="1:2">
      <c r="A856" s="7">
        <v>30407</v>
      </c>
      <c r="B856" s="8">
        <v>100.4</v>
      </c>
    </row>
    <row r="857" spans="1:2">
      <c r="A857" s="7">
        <v>30437</v>
      </c>
      <c r="B857" s="8">
        <v>100.8</v>
      </c>
    </row>
    <row r="858" spans="1:2">
      <c r="A858" s="7">
        <v>30468</v>
      </c>
      <c r="B858" s="8">
        <v>101</v>
      </c>
    </row>
    <row r="859" spans="1:2">
      <c r="A859" s="7">
        <v>30498</v>
      </c>
      <c r="B859" s="8">
        <v>101.3</v>
      </c>
    </row>
    <row r="860" spans="1:2">
      <c r="A860" s="7">
        <v>30529</v>
      </c>
      <c r="B860" s="8">
        <v>101.8</v>
      </c>
    </row>
    <row r="861" spans="1:2">
      <c r="A861" s="7">
        <v>30560</v>
      </c>
      <c r="B861" s="8">
        <v>102</v>
      </c>
    </row>
    <row r="862" spans="1:2">
      <c r="A862" s="7">
        <v>30590</v>
      </c>
      <c r="B862" s="8">
        <v>102.2</v>
      </c>
    </row>
    <row r="863" spans="1:2">
      <c r="A863" s="7">
        <v>30621</v>
      </c>
      <c r="B863" s="8">
        <v>102.1</v>
      </c>
    </row>
    <row r="864" spans="1:2">
      <c r="A864" s="7">
        <v>30651</v>
      </c>
      <c r="B864" s="8">
        <v>102.3</v>
      </c>
    </row>
    <row r="865" spans="1:2">
      <c r="A865" s="7">
        <v>30682</v>
      </c>
      <c r="B865" s="8">
        <v>102.9</v>
      </c>
    </row>
    <row r="866" spans="1:2">
      <c r="A866" s="7">
        <v>30713</v>
      </c>
      <c r="B866" s="8">
        <v>103.2</v>
      </c>
    </row>
    <row r="867" spans="1:2">
      <c r="A867" s="7">
        <v>30742</v>
      </c>
      <c r="B867" s="8">
        <v>103.9</v>
      </c>
    </row>
    <row r="868" spans="1:2">
      <c r="A868" s="7">
        <v>30773</v>
      </c>
      <c r="B868" s="8">
        <v>104</v>
      </c>
    </row>
    <row r="869" spans="1:2">
      <c r="A869" s="7">
        <v>30803</v>
      </c>
      <c r="B869" s="8">
        <v>104.1</v>
      </c>
    </row>
    <row r="870" spans="1:2">
      <c r="A870" s="7">
        <v>30834</v>
      </c>
      <c r="B870" s="8">
        <v>104</v>
      </c>
    </row>
    <row r="871" spans="1:2">
      <c r="A871" s="7">
        <v>30864</v>
      </c>
      <c r="B871" s="8">
        <v>104.2</v>
      </c>
    </row>
    <row r="872" spans="1:2">
      <c r="A872" s="7">
        <v>30895</v>
      </c>
      <c r="B872" s="8">
        <v>103.8</v>
      </c>
    </row>
    <row r="873" spans="1:2">
      <c r="A873" s="7">
        <v>30926</v>
      </c>
      <c r="B873" s="8">
        <v>103.4</v>
      </c>
    </row>
    <row r="874" spans="1:2">
      <c r="A874" s="7">
        <v>30956</v>
      </c>
      <c r="B874" s="8">
        <v>103.4</v>
      </c>
    </row>
    <row r="875" spans="1:2">
      <c r="A875" s="7">
        <v>30987</v>
      </c>
      <c r="B875" s="8">
        <v>103.7</v>
      </c>
    </row>
    <row r="876" spans="1:2">
      <c r="A876" s="7">
        <v>31017</v>
      </c>
      <c r="B876" s="8">
        <v>103.5</v>
      </c>
    </row>
    <row r="877" spans="1:2">
      <c r="A877" s="7">
        <v>31048</v>
      </c>
      <c r="B877" s="8">
        <v>103.4</v>
      </c>
    </row>
    <row r="878" spans="1:2">
      <c r="A878" s="7">
        <v>31079</v>
      </c>
      <c r="B878" s="8">
        <v>103.3</v>
      </c>
    </row>
    <row r="879" spans="1:2">
      <c r="A879" s="7">
        <v>31107</v>
      </c>
      <c r="B879" s="8">
        <v>103.1</v>
      </c>
    </row>
    <row r="880" spans="1:2">
      <c r="A880" s="7">
        <v>31138</v>
      </c>
      <c r="B880" s="8">
        <v>103.3</v>
      </c>
    </row>
    <row r="881" spans="1:2">
      <c r="A881" s="7">
        <v>31168</v>
      </c>
      <c r="B881" s="8">
        <v>103.5</v>
      </c>
    </row>
    <row r="882" spans="1:2">
      <c r="A882" s="7">
        <v>31199</v>
      </c>
      <c r="B882" s="8">
        <v>103.3</v>
      </c>
    </row>
    <row r="883" spans="1:2">
      <c r="A883" s="7">
        <v>31229</v>
      </c>
      <c r="B883" s="8">
        <v>103.2</v>
      </c>
    </row>
    <row r="884" spans="1:2">
      <c r="A884" s="7">
        <v>31260</v>
      </c>
      <c r="B884" s="8">
        <v>102.7</v>
      </c>
    </row>
    <row r="885" spans="1:2">
      <c r="A885" s="7">
        <v>31291</v>
      </c>
      <c r="B885" s="8">
        <v>102.1</v>
      </c>
    </row>
    <row r="886" spans="1:2">
      <c r="A886" s="7">
        <v>31321</v>
      </c>
      <c r="B886" s="8">
        <v>102.9</v>
      </c>
    </row>
    <row r="887" spans="1:2">
      <c r="A887" s="7">
        <v>31352</v>
      </c>
      <c r="B887" s="8">
        <v>103.4</v>
      </c>
    </row>
    <row r="888" spans="1:2">
      <c r="A888" s="7">
        <v>31382</v>
      </c>
      <c r="B888" s="8">
        <v>103.6</v>
      </c>
    </row>
    <row r="889" spans="1:2">
      <c r="A889" s="7">
        <v>31413</v>
      </c>
      <c r="B889" s="8">
        <v>103.2</v>
      </c>
    </row>
    <row r="890" spans="1:2">
      <c r="A890" s="7">
        <v>31444</v>
      </c>
      <c r="B890" s="8">
        <v>101.7</v>
      </c>
    </row>
    <row r="891" spans="1:2">
      <c r="A891" s="7">
        <v>31472</v>
      </c>
      <c r="B891" s="8">
        <v>100.3</v>
      </c>
    </row>
    <row r="892" spans="1:2">
      <c r="A892" s="7">
        <v>31503</v>
      </c>
      <c r="B892" s="8">
        <v>99.6</v>
      </c>
    </row>
    <row r="893" spans="1:2">
      <c r="A893" s="7">
        <v>31533</v>
      </c>
      <c r="B893" s="8">
        <v>100</v>
      </c>
    </row>
    <row r="894" spans="1:2">
      <c r="A894" s="7">
        <v>31564</v>
      </c>
      <c r="B894" s="8">
        <v>99.9</v>
      </c>
    </row>
    <row r="895" spans="1:2">
      <c r="A895" s="7">
        <v>31594</v>
      </c>
      <c r="B895" s="8">
        <v>99.4</v>
      </c>
    </row>
    <row r="896" spans="1:2">
      <c r="A896" s="7">
        <v>31625</v>
      </c>
      <c r="B896" s="8">
        <v>99.3</v>
      </c>
    </row>
    <row r="897" spans="1:2">
      <c r="A897" s="7">
        <v>31656</v>
      </c>
      <c r="B897" s="8">
        <v>99.4</v>
      </c>
    </row>
    <row r="898" spans="1:2">
      <c r="A898" s="7">
        <v>31686</v>
      </c>
      <c r="B898" s="8">
        <v>99.7</v>
      </c>
    </row>
    <row r="899" spans="1:2">
      <c r="A899" s="7">
        <v>31717</v>
      </c>
      <c r="B899" s="8">
        <v>99.8</v>
      </c>
    </row>
    <row r="900" spans="1:2">
      <c r="A900" s="7">
        <v>31747</v>
      </c>
      <c r="B900" s="8">
        <v>99.7</v>
      </c>
    </row>
    <row r="901" spans="1:2">
      <c r="A901" s="7">
        <v>31778</v>
      </c>
      <c r="B901" s="8">
        <v>100.5</v>
      </c>
    </row>
    <row r="902" spans="1:2">
      <c r="A902" s="7">
        <v>31809</v>
      </c>
      <c r="B902" s="8">
        <v>101</v>
      </c>
    </row>
    <row r="903" spans="1:2">
      <c r="A903" s="7">
        <v>31837</v>
      </c>
      <c r="B903" s="8">
        <v>101.2</v>
      </c>
    </row>
    <row r="904" spans="1:2">
      <c r="A904" s="7">
        <v>31868</v>
      </c>
      <c r="B904" s="8">
        <v>101.9</v>
      </c>
    </row>
    <row r="905" spans="1:2">
      <c r="A905" s="7">
        <v>31898</v>
      </c>
      <c r="B905" s="8">
        <v>102.6</v>
      </c>
    </row>
    <row r="906" spans="1:2">
      <c r="A906" s="7">
        <v>31929</v>
      </c>
      <c r="B906" s="8">
        <v>103</v>
      </c>
    </row>
    <row r="907" spans="1:2">
      <c r="A907" s="7">
        <v>31959</v>
      </c>
      <c r="B907" s="8">
        <v>103.5</v>
      </c>
    </row>
    <row r="908" spans="1:2">
      <c r="A908" s="7">
        <v>31990</v>
      </c>
      <c r="B908" s="8">
        <v>103.8</v>
      </c>
    </row>
    <row r="909" spans="1:2">
      <c r="A909" s="7">
        <v>32021</v>
      </c>
      <c r="B909" s="8">
        <v>103.7</v>
      </c>
    </row>
    <row r="910" spans="1:2">
      <c r="A910" s="7">
        <v>32051</v>
      </c>
      <c r="B910" s="8">
        <v>104.1</v>
      </c>
    </row>
    <row r="911" spans="1:2">
      <c r="A911" s="7">
        <v>32082</v>
      </c>
      <c r="B911" s="8">
        <v>104.2</v>
      </c>
    </row>
    <row r="912" spans="1:2">
      <c r="A912" s="7">
        <v>32112</v>
      </c>
      <c r="B912" s="8">
        <v>104.2</v>
      </c>
    </row>
    <row r="913" spans="1:2">
      <c r="A913" s="7">
        <v>32143</v>
      </c>
      <c r="B913" s="8">
        <v>104.6</v>
      </c>
    </row>
    <row r="914" spans="1:2">
      <c r="A914" s="7">
        <v>32174</v>
      </c>
      <c r="B914" s="8">
        <v>104.8</v>
      </c>
    </row>
    <row r="915" spans="1:2">
      <c r="A915" s="7">
        <v>32203</v>
      </c>
      <c r="B915" s="8">
        <v>104.9</v>
      </c>
    </row>
    <row r="916" spans="1:2">
      <c r="A916" s="7">
        <v>32234</v>
      </c>
      <c r="B916" s="8">
        <v>105.8</v>
      </c>
    </row>
    <row r="917" spans="1:2">
      <c r="A917" s="7">
        <v>32264</v>
      </c>
      <c r="B917" s="8">
        <v>106.5</v>
      </c>
    </row>
    <row r="918" spans="1:2">
      <c r="A918" s="7">
        <v>32295</v>
      </c>
      <c r="B918" s="8">
        <v>107.2</v>
      </c>
    </row>
    <row r="919" spans="1:2">
      <c r="A919" s="7">
        <v>32325</v>
      </c>
      <c r="B919" s="8">
        <v>107.9</v>
      </c>
    </row>
    <row r="920" spans="1:2">
      <c r="A920" s="7">
        <v>32356</v>
      </c>
      <c r="B920" s="8">
        <v>108</v>
      </c>
    </row>
    <row r="921" spans="1:2">
      <c r="A921" s="7">
        <v>32387</v>
      </c>
      <c r="B921" s="8">
        <v>108.1</v>
      </c>
    </row>
    <row r="922" spans="1:2">
      <c r="A922" s="7">
        <v>32417</v>
      </c>
      <c r="B922" s="8">
        <v>108.2</v>
      </c>
    </row>
    <row r="923" spans="1:2">
      <c r="A923" s="7">
        <v>32448</v>
      </c>
      <c r="B923" s="8">
        <v>108.3</v>
      </c>
    </row>
    <row r="924" spans="1:2">
      <c r="A924" s="7">
        <v>32478</v>
      </c>
      <c r="B924" s="8">
        <v>109</v>
      </c>
    </row>
    <row r="925" spans="1:2">
      <c r="A925" s="7">
        <v>32509</v>
      </c>
      <c r="B925" s="8">
        <v>110.5</v>
      </c>
    </row>
    <row r="926" spans="1:2">
      <c r="A926" s="7">
        <v>32540</v>
      </c>
      <c r="B926" s="8">
        <v>110.8</v>
      </c>
    </row>
    <row r="927" spans="1:2">
      <c r="A927" s="7">
        <v>32568</v>
      </c>
      <c r="B927" s="8">
        <v>111.5</v>
      </c>
    </row>
    <row r="928" spans="1:2">
      <c r="A928" s="7">
        <v>32599</v>
      </c>
      <c r="B928" s="8">
        <v>112.3</v>
      </c>
    </row>
    <row r="929" spans="1:2">
      <c r="A929" s="7">
        <v>32629</v>
      </c>
      <c r="B929" s="8">
        <v>113.2</v>
      </c>
    </row>
    <row r="930" spans="1:2">
      <c r="A930" s="7">
        <v>32660</v>
      </c>
      <c r="B930" s="8">
        <v>112.9</v>
      </c>
    </row>
    <row r="931" spans="1:2">
      <c r="A931" s="7">
        <v>32690</v>
      </c>
      <c r="B931" s="8">
        <v>112.8</v>
      </c>
    </row>
    <row r="932" spans="1:2">
      <c r="A932" s="7">
        <v>32721</v>
      </c>
      <c r="B932" s="8">
        <v>112</v>
      </c>
    </row>
    <row r="933" spans="1:2">
      <c r="A933" s="7">
        <v>32752</v>
      </c>
      <c r="B933" s="8">
        <v>112.4</v>
      </c>
    </row>
    <row r="934" spans="1:2">
      <c r="A934" s="7">
        <v>32782</v>
      </c>
      <c r="B934" s="8">
        <v>112.8</v>
      </c>
    </row>
    <row r="935" spans="1:2">
      <c r="A935" s="7">
        <v>32813</v>
      </c>
      <c r="B935" s="8">
        <v>112.7</v>
      </c>
    </row>
    <row r="936" spans="1:2">
      <c r="A936" s="7">
        <v>32843</v>
      </c>
      <c r="B936" s="8">
        <v>113</v>
      </c>
    </row>
    <row r="937" spans="1:2">
      <c r="A937" s="7">
        <v>32874</v>
      </c>
      <c r="B937" s="8">
        <v>114.9</v>
      </c>
    </row>
    <row r="938" spans="1:2">
      <c r="A938" s="7">
        <v>32905</v>
      </c>
      <c r="B938" s="8">
        <v>114.4</v>
      </c>
    </row>
    <row r="939" spans="1:2">
      <c r="A939" s="7">
        <v>32933</v>
      </c>
      <c r="B939" s="8">
        <v>114.2</v>
      </c>
    </row>
    <row r="940" spans="1:2">
      <c r="A940" s="7">
        <v>32964</v>
      </c>
      <c r="B940" s="8">
        <v>114.1</v>
      </c>
    </row>
    <row r="941" spans="1:2">
      <c r="A941" s="7">
        <v>32994</v>
      </c>
      <c r="B941" s="8">
        <v>114.6</v>
      </c>
    </row>
    <row r="942" spans="1:2">
      <c r="A942" s="7">
        <v>33025</v>
      </c>
      <c r="B942" s="8">
        <v>114.3</v>
      </c>
    </row>
    <row r="943" spans="1:2">
      <c r="A943" s="7">
        <v>33055</v>
      </c>
      <c r="B943" s="8">
        <v>114.5</v>
      </c>
    </row>
    <row r="944" spans="1:2">
      <c r="A944" s="7">
        <v>33086</v>
      </c>
      <c r="B944" s="8">
        <v>116.5</v>
      </c>
    </row>
    <row r="945" spans="1:2">
      <c r="A945" s="7">
        <v>33117</v>
      </c>
      <c r="B945" s="8">
        <v>118.4</v>
      </c>
    </row>
    <row r="946" spans="1:2">
      <c r="A946" s="7">
        <v>33147</v>
      </c>
      <c r="B946" s="8">
        <v>120.8</v>
      </c>
    </row>
    <row r="947" spans="1:2">
      <c r="A947" s="7">
        <v>33178</v>
      </c>
      <c r="B947" s="8">
        <v>120.1</v>
      </c>
    </row>
    <row r="948" spans="1:2">
      <c r="A948" s="7">
        <v>33208</v>
      </c>
      <c r="B948" s="8">
        <v>118.7</v>
      </c>
    </row>
    <row r="949" spans="1:2">
      <c r="A949" s="7">
        <v>33239</v>
      </c>
      <c r="B949" s="8">
        <v>119</v>
      </c>
    </row>
    <row r="950" spans="1:2">
      <c r="A950" s="7">
        <v>33270</v>
      </c>
      <c r="B950" s="8">
        <v>117.2</v>
      </c>
    </row>
    <row r="951" spans="1:2">
      <c r="A951" s="7">
        <v>33298</v>
      </c>
      <c r="B951" s="8">
        <v>116.2</v>
      </c>
    </row>
    <row r="952" spans="1:2">
      <c r="A952" s="7">
        <v>33329</v>
      </c>
      <c r="B952" s="8">
        <v>116</v>
      </c>
    </row>
    <row r="953" spans="1:2">
      <c r="A953" s="7">
        <v>33359</v>
      </c>
      <c r="B953" s="8">
        <v>116.5</v>
      </c>
    </row>
    <row r="954" spans="1:2">
      <c r="A954" s="7">
        <v>33390</v>
      </c>
      <c r="B954" s="8">
        <v>116.4</v>
      </c>
    </row>
    <row r="955" spans="1:2">
      <c r="A955" s="7">
        <v>33420</v>
      </c>
      <c r="B955" s="8">
        <v>116.1</v>
      </c>
    </row>
    <row r="956" spans="1:2">
      <c r="A956" s="7">
        <v>33451</v>
      </c>
      <c r="B956" s="8">
        <v>116.2</v>
      </c>
    </row>
    <row r="957" spans="1:2">
      <c r="A957" s="7">
        <v>33482</v>
      </c>
      <c r="B957" s="8">
        <v>116.1</v>
      </c>
    </row>
    <row r="958" spans="1:2">
      <c r="A958" s="7">
        <v>33512</v>
      </c>
      <c r="B958" s="8">
        <v>116.4</v>
      </c>
    </row>
    <row r="959" spans="1:2">
      <c r="A959" s="7">
        <v>33543</v>
      </c>
      <c r="B959" s="8">
        <v>116.4</v>
      </c>
    </row>
    <row r="960" spans="1:2">
      <c r="A960" s="7">
        <v>33573</v>
      </c>
      <c r="B960" s="8">
        <v>115.9</v>
      </c>
    </row>
    <row r="961" spans="1:2">
      <c r="A961" s="7">
        <v>33604</v>
      </c>
      <c r="B961" s="8">
        <v>115.6</v>
      </c>
    </row>
    <row r="962" spans="1:2">
      <c r="A962" s="7">
        <v>33635</v>
      </c>
      <c r="B962" s="8">
        <v>116</v>
      </c>
    </row>
    <row r="963" spans="1:2">
      <c r="A963" s="7">
        <v>33664</v>
      </c>
      <c r="B963" s="8">
        <v>116.1</v>
      </c>
    </row>
    <row r="964" spans="1:2">
      <c r="A964" s="7">
        <v>33695</v>
      </c>
      <c r="B964" s="8">
        <v>116.3</v>
      </c>
    </row>
    <row r="965" spans="1:2">
      <c r="A965" s="7">
        <v>33725</v>
      </c>
      <c r="B965" s="8">
        <v>117.2</v>
      </c>
    </row>
    <row r="966" spans="1:2">
      <c r="A966" s="7">
        <v>33756</v>
      </c>
      <c r="B966" s="8">
        <v>118</v>
      </c>
    </row>
    <row r="967" spans="1:2">
      <c r="A967" s="7">
        <v>33786</v>
      </c>
      <c r="B967" s="8">
        <v>117.9</v>
      </c>
    </row>
    <row r="968" spans="1:2">
      <c r="A968" s="7">
        <v>33817</v>
      </c>
      <c r="B968" s="8">
        <v>117.7</v>
      </c>
    </row>
    <row r="969" spans="1:2">
      <c r="A969" s="7">
        <v>33848</v>
      </c>
      <c r="B969" s="8">
        <v>118</v>
      </c>
    </row>
    <row r="970" spans="1:2">
      <c r="A970" s="7">
        <v>33878</v>
      </c>
      <c r="B970" s="8">
        <v>118.1</v>
      </c>
    </row>
    <row r="971" spans="1:2">
      <c r="A971" s="7">
        <v>33909</v>
      </c>
      <c r="B971" s="8">
        <v>117.8</v>
      </c>
    </row>
    <row r="972" spans="1:2">
      <c r="A972" s="7">
        <v>33939</v>
      </c>
      <c r="B972" s="8">
        <v>117.6</v>
      </c>
    </row>
    <row r="973" spans="1:2">
      <c r="A973" s="7">
        <v>33970</v>
      </c>
      <c r="B973" s="8">
        <v>118</v>
      </c>
    </row>
    <row r="974" spans="1:2">
      <c r="A974" s="7">
        <v>34001</v>
      </c>
      <c r="B974" s="8">
        <v>118.4</v>
      </c>
    </row>
    <row r="975" spans="1:2">
      <c r="A975" s="7">
        <v>34029</v>
      </c>
      <c r="B975" s="8">
        <v>118.7</v>
      </c>
    </row>
    <row r="976" spans="1:2">
      <c r="A976" s="7">
        <v>34060</v>
      </c>
      <c r="B976" s="8">
        <v>119.3</v>
      </c>
    </row>
    <row r="977" spans="1:2">
      <c r="A977" s="7">
        <v>34090</v>
      </c>
      <c r="B977" s="8">
        <v>119.7</v>
      </c>
    </row>
    <row r="978" spans="1:2">
      <c r="A978" s="7">
        <v>34121</v>
      </c>
      <c r="B978" s="8">
        <v>119.5</v>
      </c>
    </row>
    <row r="979" spans="1:2">
      <c r="A979" s="7">
        <v>34151</v>
      </c>
      <c r="B979" s="8">
        <v>119.2</v>
      </c>
    </row>
    <row r="980" spans="1:2">
      <c r="A980" s="7">
        <v>34182</v>
      </c>
      <c r="B980" s="8">
        <v>118.7</v>
      </c>
    </row>
    <row r="981" spans="1:2">
      <c r="A981" s="7">
        <v>34213</v>
      </c>
      <c r="B981" s="8">
        <v>118.7</v>
      </c>
    </row>
    <row r="982" spans="1:2">
      <c r="A982" s="7">
        <v>34243</v>
      </c>
      <c r="B982" s="8">
        <v>119.1</v>
      </c>
    </row>
    <row r="983" spans="1:2">
      <c r="A983" s="7">
        <v>34274</v>
      </c>
      <c r="B983" s="8">
        <v>119</v>
      </c>
    </row>
    <row r="984" spans="1:2">
      <c r="A984" s="7">
        <v>34304</v>
      </c>
      <c r="B984" s="8">
        <v>118.6</v>
      </c>
    </row>
    <row r="985" spans="1:2">
      <c r="A985" s="7">
        <v>34335</v>
      </c>
      <c r="B985" s="8">
        <v>119.1</v>
      </c>
    </row>
    <row r="986" spans="1:2">
      <c r="A986" s="7">
        <v>34366</v>
      </c>
      <c r="B986" s="8">
        <v>119.3</v>
      </c>
    </row>
    <row r="987" spans="1:2">
      <c r="A987" s="7">
        <v>34394</v>
      </c>
      <c r="B987" s="8">
        <v>119.7</v>
      </c>
    </row>
    <row r="988" spans="1:2">
      <c r="A988" s="7">
        <v>34425</v>
      </c>
      <c r="B988" s="8">
        <v>119.7</v>
      </c>
    </row>
    <row r="989" spans="1:2">
      <c r="A989" s="7">
        <v>34455</v>
      </c>
      <c r="B989" s="8">
        <v>119.9</v>
      </c>
    </row>
    <row r="990" spans="1:2">
      <c r="A990" s="7">
        <v>34486</v>
      </c>
      <c r="B990" s="8">
        <v>120.5</v>
      </c>
    </row>
    <row r="991" spans="1:2">
      <c r="A991" s="7">
        <v>34516</v>
      </c>
      <c r="B991" s="8">
        <v>120.7</v>
      </c>
    </row>
    <row r="992" spans="1:2">
      <c r="A992" s="7">
        <v>34547</v>
      </c>
      <c r="B992" s="8">
        <v>121.2</v>
      </c>
    </row>
    <row r="993" spans="1:2">
      <c r="A993" s="7">
        <v>34578</v>
      </c>
      <c r="B993" s="8">
        <v>121</v>
      </c>
    </row>
    <row r="994" spans="1:2">
      <c r="A994" s="7">
        <v>34608</v>
      </c>
      <c r="B994" s="8">
        <v>120.9</v>
      </c>
    </row>
    <row r="995" spans="1:2">
      <c r="A995" s="7">
        <v>34639</v>
      </c>
      <c r="B995" s="8">
        <v>121.5</v>
      </c>
    </row>
    <row r="996" spans="1:2">
      <c r="A996" s="7">
        <v>34669</v>
      </c>
      <c r="B996" s="8">
        <v>121.9</v>
      </c>
    </row>
    <row r="997" spans="1:2">
      <c r="A997" s="7">
        <v>34700</v>
      </c>
      <c r="B997" s="8">
        <v>122.9</v>
      </c>
    </row>
    <row r="998" spans="1:2">
      <c r="A998" s="7">
        <v>34731</v>
      </c>
      <c r="B998" s="8">
        <v>123.5</v>
      </c>
    </row>
    <row r="999" spans="1:2">
      <c r="A999" s="7">
        <v>34759</v>
      </c>
      <c r="B999" s="8">
        <v>123.9</v>
      </c>
    </row>
    <row r="1000" spans="1:2">
      <c r="A1000" s="7">
        <v>34790</v>
      </c>
      <c r="B1000" s="8">
        <v>124.6</v>
      </c>
    </row>
    <row r="1001" spans="1:2">
      <c r="A1001" s="7">
        <v>34820</v>
      </c>
      <c r="B1001" s="8">
        <v>124.9</v>
      </c>
    </row>
    <row r="1002" spans="1:2">
      <c r="A1002" s="7">
        <v>34851</v>
      </c>
      <c r="B1002" s="8">
        <v>125.3</v>
      </c>
    </row>
    <row r="1003" spans="1:2">
      <c r="A1003" s="7">
        <v>34881</v>
      </c>
      <c r="B1003" s="8">
        <v>125.3</v>
      </c>
    </row>
    <row r="1004" spans="1:2">
      <c r="A1004" s="7">
        <v>34912</v>
      </c>
      <c r="B1004" s="8">
        <v>125.1</v>
      </c>
    </row>
    <row r="1005" spans="1:2">
      <c r="A1005" s="7">
        <v>34943</v>
      </c>
      <c r="B1005" s="8">
        <v>125.2</v>
      </c>
    </row>
    <row r="1006" spans="1:2">
      <c r="A1006" s="7">
        <v>34973</v>
      </c>
      <c r="B1006" s="8">
        <v>125.3</v>
      </c>
    </row>
    <row r="1007" spans="1:2">
      <c r="A1007" s="7">
        <v>35004</v>
      </c>
      <c r="B1007" s="8">
        <v>125.4</v>
      </c>
    </row>
    <row r="1008" spans="1:2">
      <c r="A1008" s="7">
        <v>35034</v>
      </c>
      <c r="B1008" s="8">
        <v>125.7</v>
      </c>
    </row>
    <row r="1009" spans="1:2">
      <c r="A1009" s="7">
        <v>35065</v>
      </c>
      <c r="B1009" s="8">
        <v>126.3</v>
      </c>
    </row>
    <row r="1010" spans="1:2">
      <c r="A1010" s="7">
        <v>35096</v>
      </c>
      <c r="B1010" s="8">
        <v>126.2</v>
      </c>
    </row>
    <row r="1011" spans="1:2">
      <c r="A1011" s="7">
        <v>35125</v>
      </c>
      <c r="B1011" s="8">
        <v>126.4</v>
      </c>
    </row>
    <row r="1012" spans="1:2">
      <c r="A1012" s="7">
        <v>35156</v>
      </c>
      <c r="B1012" s="8">
        <v>127.4</v>
      </c>
    </row>
    <row r="1013" spans="1:2">
      <c r="A1013" s="7">
        <v>35186</v>
      </c>
      <c r="B1013" s="8">
        <v>128.1</v>
      </c>
    </row>
    <row r="1014" spans="1:2">
      <c r="A1014" s="7">
        <v>35217</v>
      </c>
      <c r="B1014" s="8">
        <v>128</v>
      </c>
    </row>
    <row r="1015" spans="1:2">
      <c r="A1015" s="7">
        <v>35247</v>
      </c>
      <c r="B1015" s="8">
        <v>128</v>
      </c>
    </row>
    <row r="1016" spans="1:2">
      <c r="A1016" s="7">
        <v>35278</v>
      </c>
      <c r="B1016" s="8">
        <v>128.30000000000001</v>
      </c>
    </row>
    <row r="1017" spans="1:2">
      <c r="A1017" s="7">
        <v>35309</v>
      </c>
      <c r="B1017" s="8">
        <v>128.19999999999999</v>
      </c>
    </row>
    <row r="1018" spans="1:2">
      <c r="A1018" s="7">
        <v>35339</v>
      </c>
      <c r="B1018" s="8">
        <v>128</v>
      </c>
    </row>
    <row r="1019" spans="1:2">
      <c r="A1019" s="7">
        <v>35370</v>
      </c>
      <c r="B1019" s="8">
        <v>128.19999999999999</v>
      </c>
    </row>
    <row r="1020" spans="1:2">
      <c r="A1020" s="7">
        <v>35400</v>
      </c>
      <c r="B1020" s="8">
        <v>129.1</v>
      </c>
    </row>
    <row r="1021" spans="1:2">
      <c r="A1021" s="7">
        <v>35431</v>
      </c>
      <c r="B1021" s="8">
        <v>129.69999999999999</v>
      </c>
    </row>
    <row r="1022" spans="1:2">
      <c r="A1022" s="7">
        <v>35462</v>
      </c>
      <c r="B1022" s="8">
        <v>128.5</v>
      </c>
    </row>
    <row r="1023" spans="1:2">
      <c r="A1023" s="7">
        <v>35490</v>
      </c>
      <c r="B1023" s="8">
        <v>127.3</v>
      </c>
    </row>
    <row r="1024" spans="1:2">
      <c r="A1024" s="7">
        <v>35521</v>
      </c>
      <c r="B1024" s="8">
        <v>127</v>
      </c>
    </row>
    <row r="1025" spans="1:2">
      <c r="A1025" s="7">
        <v>35551</v>
      </c>
      <c r="B1025" s="8">
        <v>127.4</v>
      </c>
    </row>
    <row r="1026" spans="1:2">
      <c r="A1026" s="7">
        <v>35582</v>
      </c>
      <c r="B1026" s="8">
        <v>127.2</v>
      </c>
    </row>
    <row r="1027" spans="1:2">
      <c r="A1027" s="7">
        <v>35612</v>
      </c>
      <c r="B1027" s="8">
        <v>126.9</v>
      </c>
    </row>
    <row r="1028" spans="1:2">
      <c r="A1028" s="7">
        <v>35643</v>
      </c>
      <c r="B1028" s="8">
        <v>127.2</v>
      </c>
    </row>
    <row r="1029" spans="1:2">
      <c r="A1029" s="7">
        <v>35674</v>
      </c>
      <c r="B1029" s="8">
        <v>127.5</v>
      </c>
    </row>
    <row r="1030" spans="1:2">
      <c r="A1030" s="7">
        <v>35704</v>
      </c>
      <c r="B1030" s="8">
        <v>127.8</v>
      </c>
    </row>
    <row r="1031" spans="1:2">
      <c r="A1031" s="7">
        <v>35735</v>
      </c>
      <c r="B1031" s="8">
        <v>127.9</v>
      </c>
    </row>
    <row r="1032" spans="1:2">
      <c r="A1032" s="7">
        <v>35765</v>
      </c>
      <c r="B1032" s="8">
        <v>126.8</v>
      </c>
    </row>
    <row r="1033" spans="1:2">
      <c r="A1033" s="7">
        <v>35796</v>
      </c>
      <c r="B1033" s="8">
        <v>125.4</v>
      </c>
    </row>
    <row r="1034" spans="1:2">
      <c r="A1034" s="7">
        <v>35827</v>
      </c>
      <c r="B1034" s="8">
        <v>125</v>
      </c>
    </row>
    <row r="1035" spans="1:2">
      <c r="A1035" s="7">
        <v>35855</v>
      </c>
      <c r="B1035" s="8">
        <v>124.7</v>
      </c>
    </row>
    <row r="1036" spans="1:2">
      <c r="A1036" s="7">
        <v>35886</v>
      </c>
      <c r="B1036" s="8">
        <v>124.9</v>
      </c>
    </row>
    <row r="1037" spans="1:2">
      <c r="A1037" s="7">
        <v>35916</v>
      </c>
      <c r="B1037" s="8">
        <v>125.1</v>
      </c>
    </row>
    <row r="1038" spans="1:2">
      <c r="A1038" s="7">
        <v>35947</v>
      </c>
      <c r="B1038" s="8">
        <v>124.8</v>
      </c>
    </row>
    <row r="1039" spans="1:2">
      <c r="A1039" s="7">
        <v>35977</v>
      </c>
      <c r="B1039" s="8">
        <v>124.9</v>
      </c>
    </row>
    <row r="1040" spans="1:2">
      <c r="A1040" s="7">
        <v>36008</v>
      </c>
      <c r="B1040" s="8">
        <v>124.2</v>
      </c>
    </row>
    <row r="1041" spans="1:2">
      <c r="A1041" s="7">
        <v>36039</v>
      </c>
      <c r="B1041" s="8">
        <v>123.8</v>
      </c>
    </row>
    <row r="1042" spans="1:2">
      <c r="A1042" s="7">
        <v>36069</v>
      </c>
      <c r="B1042" s="8">
        <v>124</v>
      </c>
    </row>
    <row r="1043" spans="1:2">
      <c r="A1043" s="7">
        <v>36100</v>
      </c>
      <c r="B1043" s="8">
        <v>123.6</v>
      </c>
    </row>
    <row r="1044" spans="1:2">
      <c r="A1044" s="7">
        <v>36130</v>
      </c>
      <c r="B1044" s="8">
        <v>122.8</v>
      </c>
    </row>
    <row r="1045" spans="1:2">
      <c r="A1045" s="7">
        <v>36161</v>
      </c>
      <c r="B1045" s="8">
        <v>122.9</v>
      </c>
    </row>
    <row r="1046" spans="1:2">
      <c r="A1046" s="7">
        <v>36192</v>
      </c>
      <c r="B1046" s="8">
        <v>122.3</v>
      </c>
    </row>
    <row r="1047" spans="1:2">
      <c r="A1047" s="7">
        <v>36220</v>
      </c>
      <c r="B1047" s="8">
        <v>122.6</v>
      </c>
    </row>
    <row r="1048" spans="1:2">
      <c r="A1048" s="7">
        <v>36251</v>
      </c>
      <c r="B1048" s="8">
        <v>123.6</v>
      </c>
    </row>
    <row r="1049" spans="1:2">
      <c r="A1049" s="7">
        <v>36281</v>
      </c>
      <c r="B1049" s="8">
        <v>124.7</v>
      </c>
    </row>
    <row r="1050" spans="1:2">
      <c r="A1050" s="7">
        <v>36312</v>
      </c>
      <c r="B1050" s="8">
        <v>125.2</v>
      </c>
    </row>
    <row r="1051" spans="1:2">
      <c r="A1051" s="7">
        <v>36342</v>
      </c>
      <c r="B1051" s="8">
        <v>125.7</v>
      </c>
    </row>
    <row r="1052" spans="1:2">
      <c r="A1052" s="7">
        <v>36373</v>
      </c>
      <c r="B1052" s="8">
        <v>126.9</v>
      </c>
    </row>
    <row r="1053" spans="1:2">
      <c r="A1053" s="7">
        <v>36404</v>
      </c>
      <c r="B1053" s="8">
        <v>128</v>
      </c>
    </row>
    <row r="1054" spans="1:2">
      <c r="A1054" s="7">
        <v>36434</v>
      </c>
      <c r="B1054" s="8">
        <v>127.7</v>
      </c>
    </row>
    <row r="1055" spans="1:2">
      <c r="A1055" s="7">
        <v>36465</v>
      </c>
      <c r="B1055" s="8">
        <v>128.30000000000001</v>
      </c>
    </row>
    <row r="1056" spans="1:2">
      <c r="A1056" s="7">
        <v>36495</v>
      </c>
      <c r="B1056" s="8">
        <v>127.8</v>
      </c>
    </row>
    <row r="1057" spans="1:2">
      <c r="A1057" s="7">
        <v>36526</v>
      </c>
      <c r="B1057" s="8">
        <v>128.30000000000001</v>
      </c>
    </row>
    <row r="1058" spans="1:2">
      <c r="A1058" s="7">
        <v>36557</v>
      </c>
      <c r="B1058" s="8">
        <v>129.80000000000001</v>
      </c>
    </row>
    <row r="1059" spans="1:2">
      <c r="A1059" s="7">
        <v>36586</v>
      </c>
      <c r="B1059" s="8">
        <v>130.80000000000001</v>
      </c>
    </row>
    <row r="1060" spans="1:2">
      <c r="A1060" s="7">
        <v>36617</v>
      </c>
      <c r="B1060" s="8">
        <v>130.69999999999999</v>
      </c>
    </row>
    <row r="1061" spans="1:2">
      <c r="A1061" s="7">
        <v>36647</v>
      </c>
      <c r="B1061" s="8">
        <v>131.6</v>
      </c>
    </row>
    <row r="1062" spans="1:2">
      <c r="A1062" s="7">
        <v>36678</v>
      </c>
      <c r="B1062" s="8">
        <v>133.80000000000001</v>
      </c>
    </row>
    <row r="1063" spans="1:2">
      <c r="A1063" s="7">
        <v>36708</v>
      </c>
      <c r="B1063" s="8">
        <v>133.69999999999999</v>
      </c>
    </row>
    <row r="1064" spans="1:2">
      <c r="A1064" s="7">
        <v>36739</v>
      </c>
      <c r="B1064" s="8">
        <v>132.9</v>
      </c>
    </row>
    <row r="1065" spans="1:2">
      <c r="A1065" s="7">
        <v>36770</v>
      </c>
      <c r="B1065" s="8">
        <v>134.69999999999999</v>
      </c>
    </row>
    <row r="1066" spans="1:2">
      <c r="A1066" s="7">
        <v>36800</v>
      </c>
      <c r="B1066" s="8">
        <v>135.4</v>
      </c>
    </row>
    <row r="1067" spans="1:2">
      <c r="A1067" s="7">
        <v>36831</v>
      </c>
      <c r="B1067" s="8">
        <v>135</v>
      </c>
    </row>
    <row r="1068" spans="1:2">
      <c r="A1068" s="7">
        <v>36861</v>
      </c>
      <c r="B1068" s="8">
        <v>136.19999999999999</v>
      </c>
    </row>
    <row r="1069" spans="1:2">
      <c r="A1069" s="7">
        <v>36892</v>
      </c>
      <c r="B1069" s="8">
        <v>140</v>
      </c>
    </row>
    <row r="1070" spans="1:2">
      <c r="A1070" s="7">
        <v>36923</v>
      </c>
      <c r="B1070" s="8">
        <v>137.4</v>
      </c>
    </row>
    <row r="1071" spans="1:2">
      <c r="A1071" s="7">
        <v>36951</v>
      </c>
      <c r="B1071" s="8">
        <v>135.9</v>
      </c>
    </row>
    <row r="1072" spans="1:2">
      <c r="A1072" s="7">
        <v>36982</v>
      </c>
      <c r="B1072" s="8">
        <v>136.4</v>
      </c>
    </row>
    <row r="1073" spans="1:2">
      <c r="A1073" s="7">
        <v>37012</v>
      </c>
      <c r="B1073" s="8">
        <v>136.80000000000001</v>
      </c>
    </row>
    <row r="1074" spans="1:2">
      <c r="A1074" s="7">
        <v>37043</v>
      </c>
      <c r="B1074" s="8">
        <v>135.5</v>
      </c>
    </row>
    <row r="1075" spans="1:2">
      <c r="A1075" s="7">
        <v>37073</v>
      </c>
      <c r="B1075" s="8">
        <v>133.4</v>
      </c>
    </row>
    <row r="1076" spans="1:2">
      <c r="A1076" s="7">
        <v>37104</v>
      </c>
      <c r="B1076" s="8">
        <v>133.4</v>
      </c>
    </row>
    <row r="1077" spans="1:2">
      <c r="A1077" s="7">
        <v>37135</v>
      </c>
      <c r="B1077" s="8">
        <v>133.30000000000001</v>
      </c>
    </row>
    <row r="1078" spans="1:2">
      <c r="A1078" s="7">
        <v>37165</v>
      </c>
      <c r="B1078" s="8">
        <v>130.30000000000001</v>
      </c>
    </row>
    <row r="1079" spans="1:2">
      <c r="A1079" s="7">
        <v>37196</v>
      </c>
      <c r="B1079" s="8">
        <v>129.80000000000001</v>
      </c>
    </row>
    <row r="1080" spans="1:2">
      <c r="A1080" s="7">
        <v>37226</v>
      </c>
      <c r="B1080" s="8">
        <v>128.1</v>
      </c>
    </row>
    <row r="1081" spans="1:2">
      <c r="A1081" s="7">
        <v>37257</v>
      </c>
      <c r="B1081" s="8">
        <v>128.5</v>
      </c>
    </row>
    <row r="1082" spans="1:2">
      <c r="A1082" s="7">
        <v>37288</v>
      </c>
      <c r="B1082" s="8">
        <v>128.4</v>
      </c>
    </row>
    <row r="1083" spans="1:2">
      <c r="A1083" s="7">
        <v>37316</v>
      </c>
      <c r="B1083" s="8">
        <v>129.80000000000001</v>
      </c>
    </row>
    <row r="1084" spans="1:2">
      <c r="A1084" s="7">
        <v>37347</v>
      </c>
      <c r="B1084" s="8">
        <v>130.80000000000001</v>
      </c>
    </row>
    <row r="1085" spans="1:2">
      <c r="A1085" s="7">
        <v>37377</v>
      </c>
      <c r="B1085" s="8">
        <v>130.80000000000001</v>
      </c>
    </row>
    <row r="1086" spans="1:2">
      <c r="A1086" s="7">
        <v>37408</v>
      </c>
      <c r="B1086" s="8">
        <v>130.9</v>
      </c>
    </row>
    <row r="1087" spans="1:2">
      <c r="A1087" s="7">
        <v>37438</v>
      </c>
      <c r="B1087" s="8">
        <v>131.19999999999999</v>
      </c>
    </row>
    <row r="1088" spans="1:2">
      <c r="A1088" s="7">
        <v>37469</v>
      </c>
      <c r="B1088" s="8">
        <v>131.5</v>
      </c>
    </row>
    <row r="1089" spans="1:2">
      <c r="A1089" s="7">
        <v>37500</v>
      </c>
      <c r="B1089" s="8">
        <v>132.30000000000001</v>
      </c>
    </row>
    <row r="1090" spans="1:2">
      <c r="A1090" s="7">
        <v>37530</v>
      </c>
      <c r="B1090" s="8">
        <v>133.19999999999999</v>
      </c>
    </row>
    <row r="1091" spans="1:2">
      <c r="A1091" s="7">
        <v>37561</v>
      </c>
      <c r="B1091" s="8">
        <v>133.1</v>
      </c>
    </row>
    <row r="1092" spans="1:2">
      <c r="A1092" s="7">
        <v>37591</v>
      </c>
      <c r="B1092" s="8">
        <v>132.9</v>
      </c>
    </row>
    <row r="1093" spans="1:2">
      <c r="A1093" s="7">
        <v>37622</v>
      </c>
      <c r="B1093" s="8">
        <v>135.30000000000001</v>
      </c>
    </row>
    <row r="1094" spans="1:2">
      <c r="A1094" s="7">
        <v>37653</v>
      </c>
      <c r="B1094" s="8">
        <v>137.6</v>
      </c>
    </row>
    <row r="1095" spans="1:2">
      <c r="A1095" s="7">
        <v>37681</v>
      </c>
      <c r="B1095" s="8">
        <v>141.19999999999999</v>
      </c>
    </row>
    <row r="1096" spans="1:2">
      <c r="A1096" s="7">
        <v>37712</v>
      </c>
      <c r="B1096" s="8">
        <v>136.80000000000001</v>
      </c>
    </row>
    <row r="1097" spans="1:2">
      <c r="A1097" s="7">
        <v>37742</v>
      </c>
      <c r="B1097" s="8">
        <v>136.69999999999999</v>
      </c>
    </row>
    <row r="1098" spans="1:2">
      <c r="A1098" s="7">
        <v>37773</v>
      </c>
      <c r="B1098" s="8">
        <v>138</v>
      </c>
    </row>
    <row r="1099" spans="1:2">
      <c r="A1099" s="7">
        <v>37803</v>
      </c>
      <c r="B1099" s="8">
        <v>137.69999999999999</v>
      </c>
    </row>
    <row r="1100" spans="1:2">
      <c r="A1100" s="7">
        <v>37834</v>
      </c>
      <c r="B1100" s="8">
        <v>138</v>
      </c>
    </row>
    <row r="1101" spans="1:2">
      <c r="A1101" s="7">
        <v>37865</v>
      </c>
      <c r="B1101" s="8">
        <v>138.5</v>
      </c>
    </row>
    <row r="1102" spans="1:2">
      <c r="A1102" s="7">
        <v>37895</v>
      </c>
      <c r="B1102" s="8">
        <v>139.30000000000001</v>
      </c>
    </row>
    <row r="1103" spans="1:2">
      <c r="A1103" s="7">
        <v>37926</v>
      </c>
      <c r="B1103" s="8">
        <v>138.9</v>
      </c>
    </row>
    <row r="1104" spans="1:2">
      <c r="A1104" s="7">
        <v>37956</v>
      </c>
      <c r="B1104" s="8">
        <v>139.5</v>
      </c>
    </row>
    <row r="1105" spans="1:2">
      <c r="A1105" s="7">
        <v>37987</v>
      </c>
      <c r="B1105" s="8">
        <v>141.4</v>
      </c>
    </row>
    <row r="1106" spans="1:2">
      <c r="A1106" s="7">
        <v>38018</v>
      </c>
      <c r="B1106" s="8">
        <v>142.1</v>
      </c>
    </row>
    <row r="1107" spans="1:2">
      <c r="A1107" s="7">
        <v>38047</v>
      </c>
      <c r="B1107" s="8">
        <v>143.1</v>
      </c>
    </row>
    <row r="1108" spans="1:2">
      <c r="A1108" s="7">
        <v>38078</v>
      </c>
      <c r="B1108" s="8">
        <v>144.80000000000001</v>
      </c>
    </row>
    <row r="1109" spans="1:2">
      <c r="A1109" s="7">
        <v>38108</v>
      </c>
      <c r="B1109" s="8">
        <v>146.80000000000001</v>
      </c>
    </row>
    <row r="1110" spans="1:2">
      <c r="A1110" s="7">
        <v>38139</v>
      </c>
      <c r="B1110" s="8">
        <v>147.19999999999999</v>
      </c>
    </row>
    <row r="1111" spans="1:2">
      <c r="A1111" s="7">
        <v>38169</v>
      </c>
      <c r="B1111" s="8">
        <v>147.4</v>
      </c>
    </row>
    <row r="1112" spans="1:2">
      <c r="A1112" s="7">
        <v>38200</v>
      </c>
      <c r="B1112" s="8">
        <v>148</v>
      </c>
    </row>
    <row r="1113" spans="1:2">
      <c r="A1113" s="7">
        <v>38231</v>
      </c>
      <c r="B1113" s="8">
        <v>147.69999999999999</v>
      </c>
    </row>
    <row r="1114" spans="1:2">
      <c r="A1114" s="7">
        <v>38261</v>
      </c>
      <c r="B1114" s="8">
        <v>150</v>
      </c>
    </row>
    <row r="1115" spans="1:2">
      <c r="A1115" s="7">
        <v>38292</v>
      </c>
      <c r="B1115" s="8">
        <v>151.4</v>
      </c>
    </row>
    <row r="1116" spans="1:2">
      <c r="A1116" s="7">
        <v>38322</v>
      </c>
      <c r="B1116" s="8">
        <v>150.19999999999999</v>
      </c>
    </row>
    <row r="1117" spans="1:2">
      <c r="A1117" s="7">
        <v>38353</v>
      </c>
      <c r="B1117" s="8">
        <v>150.9</v>
      </c>
    </row>
    <row r="1118" spans="1:2">
      <c r="A1118" s="7">
        <v>38384</v>
      </c>
      <c r="B1118" s="8">
        <v>151.6</v>
      </c>
    </row>
    <row r="1119" spans="1:2">
      <c r="A1119" s="7">
        <v>38412</v>
      </c>
      <c r="B1119" s="8">
        <v>153.69999999999999</v>
      </c>
    </row>
    <row r="1120" spans="1:2">
      <c r="A1120" s="7">
        <v>38443</v>
      </c>
      <c r="B1120" s="8">
        <v>155</v>
      </c>
    </row>
    <row r="1121" spans="1:2">
      <c r="A1121" s="7">
        <v>38473</v>
      </c>
      <c r="B1121" s="8">
        <v>154.30000000000001</v>
      </c>
    </row>
    <row r="1122" spans="1:2">
      <c r="A1122" s="7">
        <v>38504</v>
      </c>
      <c r="B1122" s="8">
        <v>154.30000000000001</v>
      </c>
    </row>
    <row r="1123" spans="1:2">
      <c r="A1123" s="7">
        <v>38534</v>
      </c>
      <c r="B1123" s="8">
        <v>156.30000000000001</v>
      </c>
    </row>
    <row r="1124" spans="1:2">
      <c r="A1124" s="7">
        <v>38565</v>
      </c>
      <c r="B1124" s="8">
        <v>157.6</v>
      </c>
    </row>
    <row r="1125" spans="1:2">
      <c r="A1125" s="7">
        <v>38596</v>
      </c>
      <c r="B1125" s="8">
        <v>162.19999999999999</v>
      </c>
    </row>
    <row r="1126" spans="1:2">
      <c r="A1126" s="7">
        <v>38626</v>
      </c>
      <c r="B1126" s="8">
        <v>166.2</v>
      </c>
    </row>
    <row r="1127" spans="1:2">
      <c r="A1127" s="7">
        <v>38657</v>
      </c>
      <c r="B1127" s="8">
        <v>163.69999999999999</v>
      </c>
    </row>
    <row r="1128" spans="1:2">
      <c r="A1128" s="7">
        <v>38687</v>
      </c>
      <c r="B1128" s="8">
        <v>163</v>
      </c>
    </row>
    <row r="1129" spans="1:2">
      <c r="A1129" s="7">
        <v>38718</v>
      </c>
      <c r="B1129" s="8">
        <v>164.3</v>
      </c>
    </row>
    <row r="1130" spans="1:2">
      <c r="A1130" s="7">
        <v>38749</v>
      </c>
      <c r="B1130" s="8">
        <v>161.80000000000001</v>
      </c>
    </row>
    <row r="1131" spans="1:2">
      <c r="A1131" s="7">
        <v>38777</v>
      </c>
      <c r="B1131" s="8">
        <v>162.19999999999999</v>
      </c>
    </row>
    <row r="1132" spans="1:2">
      <c r="A1132" s="7">
        <v>38808</v>
      </c>
      <c r="B1132" s="8">
        <v>164.3</v>
      </c>
    </row>
    <row r="1133" spans="1:2">
      <c r="A1133" s="7">
        <v>38838</v>
      </c>
      <c r="B1133" s="8">
        <v>165.8</v>
      </c>
    </row>
    <row r="1134" spans="1:2">
      <c r="A1134" s="7">
        <v>38869</v>
      </c>
      <c r="B1134" s="8">
        <v>166.1</v>
      </c>
    </row>
    <row r="1135" spans="1:2">
      <c r="A1135" s="7">
        <v>38899</v>
      </c>
      <c r="B1135" s="8">
        <v>166.8</v>
      </c>
    </row>
    <row r="1136" spans="1:2">
      <c r="A1136" s="7">
        <v>38930</v>
      </c>
      <c r="B1136" s="8">
        <v>167.9</v>
      </c>
    </row>
    <row r="1137" spans="1:2">
      <c r="A1137" s="7">
        <v>38961</v>
      </c>
      <c r="B1137" s="8">
        <v>165.4</v>
      </c>
    </row>
    <row r="1138" spans="1:2">
      <c r="A1138" s="7">
        <v>38991</v>
      </c>
      <c r="B1138" s="8">
        <v>162.19999999999999</v>
      </c>
    </row>
    <row r="1139" spans="1:2">
      <c r="A1139" s="7">
        <v>39022</v>
      </c>
      <c r="B1139" s="8">
        <v>164.6</v>
      </c>
    </row>
    <row r="1140" spans="1:2">
      <c r="A1140" s="7">
        <v>39052</v>
      </c>
      <c r="B1140" s="8">
        <v>165.6</v>
      </c>
    </row>
    <row r="1141" spans="1:2">
      <c r="A1141" s="7">
        <v>39083</v>
      </c>
      <c r="B1141" s="8">
        <v>164</v>
      </c>
    </row>
    <row r="1142" spans="1:2">
      <c r="A1142" s="7">
        <v>39114</v>
      </c>
      <c r="B1142" s="8">
        <v>166.8</v>
      </c>
    </row>
    <row r="1143" spans="1:2">
      <c r="A1143" s="7">
        <v>39142</v>
      </c>
      <c r="B1143" s="8">
        <v>169.3</v>
      </c>
    </row>
    <row r="1144" spans="1:2">
      <c r="A1144" s="7">
        <v>39173</v>
      </c>
      <c r="B1144" s="8">
        <v>171.4</v>
      </c>
    </row>
    <row r="1145" spans="1:2">
      <c r="A1145" s="7">
        <v>39203</v>
      </c>
      <c r="B1145" s="8">
        <v>173.3</v>
      </c>
    </row>
    <row r="1146" spans="1:2">
      <c r="A1146" s="7">
        <v>39234</v>
      </c>
      <c r="B1146" s="8">
        <v>173.8</v>
      </c>
    </row>
    <row r="1147" spans="1:2">
      <c r="A1147" s="7">
        <v>39264</v>
      </c>
      <c r="B1147" s="8">
        <v>175.1</v>
      </c>
    </row>
    <row r="1148" spans="1:2">
      <c r="A1148" s="7">
        <v>39295</v>
      </c>
      <c r="B1148" s="8">
        <v>172.4</v>
      </c>
    </row>
    <row r="1149" spans="1:2">
      <c r="A1149" s="7">
        <v>39326</v>
      </c>
      <c r="B1149" s="8">
        <v>173.5</v>
      </c>
    </row>
    <row r="1150" spans="1:2">
      <c r="A1150" s="7">
        <v>39356</v>
      </c>
      <c r="B1150" s="8">
        <v>174.7</v>
      </c>
    </row>
    <row r="1151" spans="1:2">
      <c r="A1151" s="7">
        <v>39387</v>
      </c>
      <c r="B1151" s="8">
        <v>179</v>
      </c>
    </row>
    <row r="1152" spans="1:2">
      <c r="A1152" s="7">
        <v>39417</v>
      </c>
      <c r="B1152" s="8">
        <v>178.6</v>
      </c>
    </row>
    <row r="1153" spans="1:2">
      <c r="A1153" s="7">
        <v>39448</v>
      </c>
      <c r="B1153" s="8">
        <v>181</v>
      </c>
    </row>
    <row r="1154" spans="1:2">
      <c r="A1154" s="7">
        <v>39479</v>
      </c>
      <c r="B1154" s="8">
        <v>182.7</v>
      </c>
    </row>
    <row r="1155" spans="1:2">
      <c r="A1155" s="7">
        <v>39508</v>
      </c>
      <c r="B1155" s="8">
        <v>187.9</v>
      </c>
    </row>
    <row r="1156" spans="1:2">
      <c r="A1156" s="7">
        <v>39539</v>
      </c>
      <c r="B1156" s="8">
        <v>190.9</v>
      </c>
    </row>
    <row r="1157" spans="1:2">
      <c r="A1157" s="7">
        <v>39569</v>
      </c>
      <c r="B1157" s="8">
        <v>196.6</v>
      </c>
    </row>
    <row r="1158" spans="1:2">
      <c r="A1158" s="7">
        <v>39600</v>
      </c>
      <c r="B1158" s="8">
        <v>200.5</v>
      </c>
    </row>
    <row r="1159" spans="1:2">
      <c r="A1159" s="7">
        <v>39630</v>
      </c>
      <c r="B1159" s="8">
        <v>205.5</v>
      </c>
    </row>
    <row r="1160" spans="1:2">
      <c r="A1160" s="7">
        <v>39661</v>
      </c>
      <c r="B1160" s="8">
        <v>199</v>
      </c>
    </row>
    <row r="1161" spans="1:2">
      <c r="A1161" s="7">
        <v>39692</v>
      </c>
      <c r="B1161" s="8">
        <v>196.9</v>
      </c>
    </row>
    <row r="1162" spans="1:2">
      <c r="A1162" s="7">
        <v>39722</v>
      </c>
      <c r="B1162" s="8">
        <v>186.4</v>
      </c>
    </row>
    <row r="1163" spans="1:2">
      <c r="A1163" s="7">
        <v>39753</v>
      </c>
      <c r="B1163" s="8">
        <v>176.8</v>
      </c>
    </row>
    <row r="1164" spans="1:2">
      <c r="A1164" s="7">
        <v>39783</v>
      </c>
      <c r="B1164" s="8">
        <v>170.9</v>
      </c>
    </row>
    <row r="1165" spans="1:2">
      <c r="A1165" s="7">
        <v>39814</v>
      </c>
      <c r="B1165" s="8">
        <v>171.2</v>
      </c>
    </row>
    <row r="1166" spans="1:2">
      <c r="A1166" s="7">
        <v>39845</v>
      </c>
      <c r="B1166" s="8">
        <v>169.3</v>
      </c>
    </row>
    <row r="1167" spans="1:2">
      <c r="A1167" s="7">
        <v>39873</v>
      </c>
      <c r="B1167" s="8">
        <v>168.1</v>
      </c>
    </row>
    <row r="1168" spans="1:2">
      <c r="A1168" s="7">
        <v>39904</v>
      </c>
      <c r="B1168" s="8">
        <v>169.1</v>
      </c>
    </row>
    <row r="1169" spans="1:2">
      <c r="A1169" s="7">
        <v>39934</v>
      </c>
      <c r="B1169" s="8">
        <v>170.8</v>
      </c>
    </row>
    <row r="1170" spans="1:2">
      <c r="A1170" s="7">
        <v>39965</v>
      </c>
      <c r="B1170" s="8">
        <v>174.1</v>
      </c>
    </row>
    <row r="1171" spans="1:2">
      <c r="A1171" s="7">
        <v>39995</v>
      </c>
      <c r="B1171" s="8">
        <v>172.5</v>
      </c>
    </row>
    <row r="1172" spans="1:2">
      <c r="A1172" s="7">
        <v>40026</v>
      </c>
      <c r="B1172" s="8">
        <v>175</v>
      </c>
    </row>
    <row r="1173" spans="1:2">
      <c r="A1173" s="7">
        <v>40057</v>
      </c>
      <c r="B1173" s="8">
        <v>174.1</v>
      </c>
    </row>
    <row r="1174" spans="1:2">
      <c r="A1174" s="7">
        <v>40087</v>
      </c>
      <c r="B1174" s="8">
        <v>175.2</v>
      </c>
    </row>
    <row r="1175" spans="1:2">
      <c r="A1175" s="7">
        <v>40118</v>
      </c>
      <c r="B1175" s="8">
        <v>177.4</v>
      </c>
    </row>
    <row r="1176" spans="1:2">
      <c r="A1176" s="7">
        <v>40148</v>
      </c>
      <c r="B1176" s="8">
        <v>178.1</v>
      </c>
    </row>
    <row r="1177" spans="1:2">
      <c r="A1177" s="7">
        <v>40179</v>
      </c>
      <c r="B1177" s="8">
        <v>181.9</v>
      </c>
    </row>
    <row r="1178" spans="1:2">
      <c r="A1178" s="7">
        <v>40210</v>
      </c>
      <c r="B1178" s="8">
        <v>181</v>
      </c>
    </row>
    <row r="1179" spans="1:2">
      <c r="A1179" s="7">
        <v>40238</v>
      </c>
      <c r="B1179" s="8">
        <v>183.3</v>
      </c>
    </row>
    <row r="1180" spans="1:2">
      <c r="A1180" s="7">
        <v>40269</v>
      </c>
      <c r="B1180" s="8">
        <v>184.4</v>
      </c>
    </row>
    <row r="1181" spans="1:2">
      <c r="A1181" s="7">
        <v>40299</v>
      </c>
      <c r="B1181" s="8">
        <v>184.8</v>
      </c>
    </row>
    <row r="1182" spans="1:2">
      <c r="A1182" s="7">
        <v>40330</v>
      </c>
      <c r="B1182" s="8">
        <v>183.5</v>
      </c>
    </row>
    <row r="1183" spans="1:2">
      <c r="A1183" s="7">
        <v>40360</v>
      </c>
      <c r="B1183" s="8">
        <v>184.1</v>
      </c>
    </row>
    <row r="1184" spans="1:2">
      <c r="A1184" s="7">
        <v>40391</v>
      </c>
      <c r="B1184" s="8">
        <v>184.9</v>
      </c>
    </row>
    <row r="1185" spans="1:2">
      <c r="A1185" s="7">
        <v>40422</v>
      </c>
      <c r="B1185" s="8">
        <v>184.9</v>
      </c>
    </row>
    <row r="1186" spans="1:2">
      <c r="A1186" s="7">
        <v>40452</v>
      </c>
      <c r="B1186" s="8">
        <v>186.6</v>
      </c>
    </row>
    <row r="1187" spans="1:2">
      <c r="A1187" s="7">
        <v>40483</v>
      </c>
      <c r="B1187" s="8">
        <v>187.7</v>
      </c>
    </row>
    <row r="1188" spans="1:2">
      <c r="A1188" s="7">
        <v>40513</v>
      </c>
      <c r="B1188" s="8">
        <v>189.7</v>
      </c>
    </row>
    <row r="1189" spans="1:2">
      <c r="A1189" s="7">
        <v>40544</v>
      </c>
      <c r="B1189" s="8">
        <v>192.7</v>
      </c>
    </row>
    <row r="1190" spans="1:2">
      <c r="A1190" s="7">
        <v>40575</v>
      </c>
      <c r="B1190" s="8">
        <v>195.8</v>
      </c>
    </row>
    <row r="1191" spans="1:2">
      <c r="A1191" s="7">
        <v>40603</v>
      </c>
      <c r="B1191" s="8">
        <v>199.2</v>
      </c>
    </row>
    <row r="1192" spans="1:2">
      <c r="A1192" s="7">
        <v>40634</v>
      </c>
      <c r="B1192" s="8">
        <v>203.1</v>
      </c>
    </row>
    <row r="1193" spans="1:2">
      <c r="A1193" s="7">
        <v>40664</v>
      </c>
      <c r="B1193" s="8">
        <v>204.1</v>
      </c>
    </row>
    <row r="1194" spans="1:2">
      <c r="A1194" s="7">
        <v>40695</v>
      </c>
      <c r="B1194" s="8">
        <v>203.9</v>
      </c>
    </row>
    <row r="1195" spans="1:2">
      <c r="A1195" s="7">
        <v>40725</v>
      </c>
      <c r="B1195" s="8">
        <v>204.6</v>
      </c>
    </row>
    <row r="1196" spans="1:2">
      <c r="A1196" s="7">
        <v>40756</v>
      </c>
      <c r="B1196" s="8">
        <v>203.2</v>
      </c>
    </row>
    <row r="1197" spans="1:2">
      <c r="A1197" s="7">
        <v>40787</v>
      </c>
      <c r="B1197" s="8">
        <v>203.7</v>
      </c>
    </row>
    <row r="1198" spans="1:2">
      <c r="A1198" s="7">
        <v>40817</v>
      </c>
      <c r="B1198" s="8">
        <v>201.1</v>
      </c>
    </row>
    <row r="1199" spans="1:2">
      <c r="A1199" s="7">
        <v>40848</v>
      </c>
      <c r="B1199" s="8">
        <v>201.4</v>
      </c>
    </row>
    <row r="1200" spans="1:2">
      <c r="A1200" s="7">
        <v>40878</v>
      </c>
      <c r="B1200" s="8">
        <v>199.8</v>
      </c>
    </row>
    <row r="1201" spans="1:2">
      <c r="A1201" s="7">
        <v>40909</v>
      </c>
      <c r="B1201" s="8">
        <v>200.7</v>
      </c>
    </row>
    <row r="1202" spans="1:2">
      <c r="A1202" s="7">
        <v>40940</v>
      </c>
      <c r="B1202" s="8">
        <v>201.6</v>
      </c>
    </row>
    <row r="1203" spans="1:2">
      <c r="A1203" s="7">
        <v>40969</v>
      </c>
      <c r="B1203" s="8">
        <v>204.2</v>
      </c>
    </row>
    <row r="1204" spans="1:2">
      <c r="A1204" s="7">
        <v>41000</v>
      </c>
      <c r="B1204" s="8">
        <v>203.7</v>
      </c>
    </row>
    <row r="1205" spans="1:2">
      <c r="A1205" s="7">
        <v>41030</v>
      </c>
      <c r="B1205" s="8">
        <v>201.9</v>
      </c>
    </row>
    <row r="1206" spans="1:2">
      <c r="A1206" s="7">
        <v>41061</v>
      </c>
      <c r="B1206" s="8">
        <v>199.8</v>
      </c>
    </row>
    <row r="1207" spans="1:2">
      <c r="A1207" s="7">
        <v>41091</v>
      </c>
      <c r="B1207" s="8">
        <v>200.1</v>
      </c>
    </row>
    <row r="1208" spans="1:2">
      <c r="A1208" s="7">
        <v>41122</v>
      </c>
      <c r="B1208" s="8">
        <v>202.7</v>
      </c>
    </row>
    <row r="1209" spans="1:2">
      <c r="A1209" s="7">
        <v>41153</v>
      </c>
      <c r="B1209" s="8">
        <v>204.4</v>
      </c>
    </row>
    <row r="1210" spans="1:2">
      <c r="A1210" s="7">
        <v>41183</v>
      </c>
      <c r="B1210" s="8">
        <v>203.5</v>
      </c>
    </row>
    <row r="1211" spans="1:2">
      <c r="A1211" s="7">
        <v>41214</v>
      </c>
      <c r="B1211" s="8">
        <v>201.8</v>
      </c>
    </row>
    <row r="1212" spans="1:2">
      <c r="A1212" s="7">
        <v>41244</v>
      </c>
      <c r="B1212" s="8">
        <v>201.5</v>
      </c>
    </row>
    <row r="1213" spans="1:2">
      <c r="A1213" s="7">
        <v>41275</v>
      </c>
      <c r="B1213" s="8">
        <v>202.4</v>
      </c>
    </row>
    <row r="1214" spans="1:2">
      <c r="A1214" s="7">
        <v>41306</v>
      </c>
      <c r="B1214" s="8">
        <v>204.3</v>
      </c>
    </row>
    <row r="1215" spans="1:2">
      <c r="A1215" s="7">
        <v>41334</v>
      </c>
      <c r="B1215" s="8">
        <v>204.1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4"/>
  <sheetViews>
    <sheetView workbookViewId="0">
      <pane xSplit="1" ySplit="12" topLeftCell="B13" activePane="bottomRight" state="frozen"/>
      <selection pane="topRight" activeCell="B1" sqref="B1"/>
      <selection pane="bottomLeft" activeCell="A13" sqref="A13"/>
      <selection pane="bottomRight" activeCell="G35" sqref="G35"/>
    </sheetView>
  </sheetViews>
  <sheetFormatPr baseColWidth="10" defaultColWidth="8.83203125" defaultRowHeight="15" x14ac:dyDescent="0"/>
  <cols>
    <col min="1" max="2" width="20.6640625" customWidth="1"/>
    <col min="6" max="6" width="15" bestFit="1" customWidth="1"/>
    <col min="7" max="7" width="15.83203125" bestFit="1" customWidth="1"/>
  </cols>
  <sheetData>
    <row r="1" spans="1:2">
      <c r="A1" s="6" t="s">
        <v>21</v>
      </c>
      <c r="B1" s="6" t="s">
        <v>43</v>
      </c>
    </row>
    <row r="2" spans="1:2">
      <c r="A2" s="6" t="s">
        <v>23</v>
      </c>
      <c r="B2" s="6" t="s">
        <v>44</v>
      </c>
    </row>
    <row r="3" spans="1:2">
      <c r="A3" s="6" t="s">
        <v>25</v>
      </c>
      <c r="B3" s="6" t="s">
        <v>26</v>
      </c>
    </row>
    <row r="4" spans="1:2">
      <c r="A4" s="6" t="s">
        <v>27</v>
      </c>
      <c r="B4" s="6" t="s">
        <v>28</v>
      </c>
    </row>
    <row r="5" spans="1:2">
      <c r="A5" s="6" t="s">
        <v>29</v>
      </c>
      <c r="B5" s="6" t="s">
        <v>45</v>
      </c>
    </row>
    <row r="6" spans="1:2">
      <c r="A6" s="6" t="s">
        <v>31</v>
      </c>
      <c r="B6" s="6" t="s">
        <v>32</v>
      </c>
    </row>
    <row r="7" spans="1:2">
      <c r="A7" s="6" t="s">
        <v>33</v>
      </c>
      <c r="B7" s="6" t="s">
        <v>34</v>
      </c>
    </row>
    <row r="8" spans="1:2">
      <c r="A8" s="6" t="s">
        <v>35</v>
      </c>
      <c r="B8" s="6" t="s">
        <v>46</v>
      </c>
    </row>
    <row r="9" spans="1:2">
      <c r="A9" s="6" t="s">
        <v>37</v>
      </c>
      <c r="B9" s="6" t="s">
        <v>38</v>
      </c>
    </row>
    <row r="10" spans="1:2">
      <c r="A10" s="6" t="s">
        <v>39</v>
      </c>
      <c r="B10" s="6" t="s">
        <v>40</v>
      </c>
    </row>
    <row r="12" spans="1:2">
      <c r="A12" s="6" t="s">
        <v>41</v>
      </c>
      <c r="B12" s="6" t="s">
        <v>42</v>
      </c>
    </row>
    <row r="13" spans="1:2">
      <c r="A13" s="7">
        <v>17258</v>
      </c>
      <c r="B13" s="8">
        <v>26</v>
      </c>
    </row>
    <row r="14" spans="1:2">
      <c r="A14" s="7">
        <v>17288</v>
      </c>
      <c r="B14" s="8">
        <v>26.1</v>
      </c>
    </row>
    <row r="15" spans="1:2">
      <c r="A15" s="7">
        <v>17319</v>
      </c>
      <c r="B15" s="8">
        <v>26.2</v>
      </c>
    </row>
    <row r="16" spans="1:2">
      <c r="A16" s="7">
        <v>17349</v>
      </c>
      <c r="B16" s="8">
        <v>26.2</v>
      </c>
    </row>
    <row r="17" spans="1:2">
      <c r="A17" s="7">
        <v>17380</v>
      </c>
      <c r="B17" s="8">
        <v>26.3</v>
      </c>
    </row>
    <row r="18" spans="1:2">
      <c r="A18" s="7">
        <v>17411</v>
      </c>
      <c r="B18" s="8">
        <v>26.7</v>
      </c>
    </row>
    <row r="19" spans="1:2">
      <c r="A19" s="7">
        <v>17441</v>
      </c>
      <c r="B19" s="8">
        <v>26.8</v>
      </c>
    </row>
    <row r="20" spans="1:2">
      <c r="A20" s="7">
        <v>17472</v>
      </c>
      <c r="B20" s="8">
        <v>27.1</v>
      </c>
    </row>
    <row r="21" spans="1:2">
      <c r="A21" s="7">
        <v>17502</v>
      </c>
      <c r="B21" s="8">
        <v>27.7</v>
      </c>
    </row>
    <row r="22" spans="1:2">
      <c r="A22" s="7">
        <v>17533</v>
      </c>
      <c r="B22" s="8">
        <v>28.1</v>
      </c>
    </row>
    <row r="23" spans="1:2">
      <c r="A23" s="7">
        <v>17564</v>
      </c>
      <c r="B23" s="8">
        <v>27.9</v>
      </c>
    </row>
    <row r="24" spans="1:2">
      <c r="A24" s="7">
        <v>17593</v>
      </c>
      <c r="B24" s="8">
        <v>28</v>
      </c>
    </row>
    <row r="25" spans="1:2">
      <c r="A25" s="7">
        <v>17624</v>
      </c>
      <c r="B25" s="8">
        <v>28.1</v>
      </c>
    </row>
    <row r="26" spans="1:2">
      <c r="A26" s="7">
        <v>17654</v>
      </c>
      <c r="B26" s="8">
        <v>28.4</v>
      </c>
    </row>
    <row r="27" spans="1:2">
      <c r="A27" s="7">
        <v>17685</v>
      </c>
      <c r="B27" s="8">
        <v>28.6</v>
      </c>
    </row>
    <row r="28" spans="1:2">
      <c r="A28" s="7">
        <v>17715</v>
      </c>
      <c r="B28" s="8">
        <v>28.8</v>
      </c>
    </row>
    <row r="29" spans="1:2">
      <c r="A29" s="7">
        <v>17746</v>
      </c>
      <c r="B29" s="8">
        <v>28.9</v>
      </c>
    </row>
    <row r="30" spans="1:2">
      <c r="A30" s="7">
        <v>17777</v>
      </c>
      <c r="B30" s="8">
        <v>28.8</v>
      </c>
    </row>
    <row r="31" spans="1:2">
      <c r="A31" s="7">
        <v>17807</v>
      </c>
      <c r="B31" s="8">
        <v>28.7</v>
      </c>
    </row>
    <row r="32" spans="1:2">
      <c r="A32" s="7">
        <v>17838</v>
      </c>
      <c r="B32" s="8">
        <v>28.5</v>
      </c>
    </row>
    <row r="33" spans="1:2">
      <c r="A33" s="7">
        <v>17868</v>
      </c>
      <c r="B33" s="8">
        <v>28.5</v>
      </c>
    </row>
    <row r="34" spans="1:2">
      <c r="A34" s="7">
        <v>17899</v>
      </c>
      <c r="B34" s="8">
        <v>28.3</v>
      </c>
    </row>
    <row r="35" spans="1:2">
      <c r="A35" s="7">
        <v>17930</v>
      </c>
      <c r="B35" s="8">
        <v>28</v>
      </c>
    </row>
    <row r="36" spans="1:2">
      <c r="A36" s="7">
        <v>17958</v>
      </c>
      <c r="B36" s="8">
        <v>28</v>
      </c>
    </row>
    <row r="37" spans="1:2">
      <c r="A37" s="7">
        <v>17989</v>
      </c>
      <c r="B37" s="8">
        <v>27.9</v>
      </c>
    </row>
    <row r="38" spans="1:2">
      <c r="A38" s="7">
        <v>18019</v>
      </c>
      <c r="B38" s="8">
        <v>27.8</v>
      </c>
    </row>
    <row r="39" spans="1:2">
      <c r="A39" s="7">
        <v>18050</v>
      </c>
      <c r="B39" s="8">
        <v>27.7</v>
      </c>
    </row>
    <row r="40" spans="1:2">
      <c r="A40" s="7">
        <v>18080</v>
      </c>
      <c r="B40" s="8">
        <v>27.5</v>
      </c>
    </row>
    <row r="41" spans="1:2">
      <c r="A41" s="7">
        <v>18111</v>
      </c>
      <c r="B41" s="8">
        <v>27.4</v>
      </c>
    </row>
    <row r="42" spans="1:2">
      <c r="A42" s="7">
        <v>18142</v>
      </c>
      <c r="B42" s="8">
        <v>27.4</v>
      </c>
    </row>
    <row r="43" spans="1:2">
      <c r="A43" s="7">
        <v>18172</v>
      </c>
      <c r="B43" s="8">
        <v>27.3</v>
      </c>
    </row>
    <row r="44" spans="1:2">
      <c r="A44" s="7">
        <v>18203</v>
      </c>
      <c r="B44" s="8">
        <v>27.2</v>
      </c>
    </row>
    <row r="45" spans="1:2">
      <c r="A45" s="7">
        <v>18233</v>
      </c>
      <c r="B45" s="8">
        <v>27.2</v>
      </c>
    </row>
    <row r="46" spans="1:2">
      <c r="A46" s="7">
        <v>18264</v>
      </c>
      <c r="B46" s="8">
        <v>27.2</v>
      </c>
    </row>
    <row r="47" spans="1:2">
      <c r="A47" s="7">
        <v>18295</v>
      </c>
      <c r="B47" s="8">
        <v>27.2</v>
      </c>
    </row>
    <row r="48" spans="1:2">
      <c r="A48" s="7">
        <v>18323</v>
      </c>
      <c r="B48" s="8">
        <v>27.3</v>
      </c>
    </row>
    <row r="49" spans="1:2">
      <c r="A49" s="7">
        <v>18354</v>
      </c>
      <c r="B49" s="8">
        <v>27.3</v>
      </c>
    </row>
    <row r="50" spans="1:2">
      <c r="A50" s="7">
        <v>18384</v>
      </c>
      <c r="B50" s="8">
        <v>27.5</v>
      </c>
    </row>
    <row r="51" spans="1:2">
      <c r="A51" s="7">
        <v>18415</v>
      </c>
      <c r="B51" s="8">
        <v>27.6</v>
      </c>
    </row>
    <row r="52" spans="1:2">
      <c r="A52" s="7">
        <v>18445</v>
      </c>
      <c r="B52" s="8">
        <v>28</v>
      </c>
    </row>
    <row r="53" spans="1:2">
      <c r="A53" s="7">
        <v>18476</v>
      </c>
      <c r="B53" s="8">
        <v>28.6</v>
      </c>
    </row>
    <row r="54" spans="1:2">
      <c r="A54" s="7">
        <v>18507</v>
      </c>
      <c r="B54" s="8">
        <v>28.9</v>
      </c>
    </row>
    <row r="55" spans="1:2">
      <c r="A55" s="7">
        <v>18537</v>
      </c>
      <c r="B55" s="8">
        <v>29</v>
      </c>
    </row>
    <row r="56" spans="1:2">
      <c r="A56" s="7">
        <v>18568</v>
      </c>
      <c r="B56" s="8">
        <v>29.4</v>
      </c>
    </row>
    <row r="57" spans="1:2">
      <c r="A57" s="7">
        <v>18598</v>
      </c>
      <c r="B57" s="8">
        <v>30</v>
      </c>
    </row>
    <row r="58" spans="1:2">
      <c r="A58" s="7">
        <v>18629</v>
      </c>
      <c r="B58" s="8">
        <v>30.5</v>
      </c>
    </row>
    <row r="59" spans="1:2">
      <c r="A59" s="7">
        <v>18660</v>
      </c>
      <c r="B59" s="8">
        <v>30.8</v>
      </c>
    </row>
    <row r="60" spans="1:2">
      <c r="A60" s="7">
        <v>18688</v>
      </c>
      <c r="B60" s="8">
        <v>30.9</v>
      </c>
    </row>
    <row r="61" spans="1:2">
      <c r="A61" s="7">
        <v>18719</v>
      </c>
      <c r="B61" s="8">
        <v>30.9</v>
      </c>
    </row>
    <row r="62" spans="1:2">
      <c r="A62" s="7">
        <v>18749</v>
      </c>
      <c r="B62" s="8">
        <v>31.1</v>
      </c>
    </row>
    <row r="63" spans="1:2">
      <c r="A63" s="7">
        <v>18780</v>
      </c>
      <c r="B63" s="8">
        <v>31</v>
      </c>
    </row>
    <row r="64" spans="1:2">
      <c r="A64" s="7">
        <v>18810</v>
      </c>
      <c r="B64" s="8">
        <v>30.8</v>
      </c>
    </row>
    <row r="65" spans="1:2">
      <c r="A65" s="7">
        <v>18841</v>
      </c>
      <c r="B65" s="8">
        <v>30.7</v>
      </c>
    </row>
    <row r="66" spans="1:2">
      <c r="A66" s="7">
        <v>18872</v>
      </c>
      <c r="B66" s="8">
        <v>30.6</v>
      </c>
    </row>
    <row r="67" spans="1:2">
      <c r="A67" s="7">
        <v>18902</v>
      </c>
      <c r="B67" s="8">
        <v>30.8</v>
      </c>
    </row>
    <row r="68" spans="1:2">
      <c r="A68" s="7">
        <v>18933</v>
      </c>
      <c r="B68" s="8">
        <v>30.9</v>
      </c>
    </row>
    <row r="69" spans="1:2">
      <c r="A69" s="7">
        <v>18963</v>
      </c>
      <c r="B69" s="8">
        <v>30.9</v>
      </c>
    </row>
    <row r="70" spans="1:2">
      <c r="A70" s="7">
        <v>18994</v>
      </c>
      <c r="B70" s="8">
        <v>30.8</v>
      </c>
    </row>
    <row r="71" spans="1:2">
      <c r="A71" s="7">
        <v>19025</v>
      </c>
      <c r="B71" s="8">
        <v>30.7</v>
      </c>
    </row>
    <row r="72" spans="1:2">
      <c r="A72" s="7">
        <v>19054</v>
      </c>
      <c r="B72" s="8">
        <v>30.9</v>
      </c>
    </row>
    <row r="73" spans="1:2">
      <c r="A73" s="7">
        <v>19085</v>
      </c>
      <c r="B73" s="8">
        <v>30.7</v>
      </c>
    </row>
    <row r="74" spans="1:2">
      <c r="A74" s="7">
        <v>19115</v>
      </c>
      <c r="B74" s="8">
        <v>30.7</v>
      </c>
    </row>
    <row r="75" spans="1:2">
      <c r="A75" s="7">
        <v>19146</v>
      </c>
      <c r="B75" s="8">
        <v>30.7</v>
      </c>
    </row>
    <row r="76" spans="1:2">
      <c r="A76" s="7">
        <v>19176</v>
      </c>
      <c r="B76" s="8">
        <v>30.8</v>
      </c>
    </row>
    <row r="77" spans="1:2">
      <c r="A77" s="7">
        <v>19207</v>
      </c>
      <c r="B77" s="8">
        <v>30.7</v>
      </c>
    </row>
    <row r="78" spans="1:2">
      <c r="A78" s="7">
        <v>19238</v>
      </c>
      <c r="B78" s="8">
        <v>30.6</v>
      </c>
    </row>
    <row r="79" spans="1:2">
      <c r="A79" s="7">
        <v>19268</v>
      </c>
      <c r="B79" s="8">
        <v>30.5</v>
      </c>
    </row>
    <row r="80" spans="1:2">
      <c r="A80" s="7">
        <v>19299</v>
      </c>
      <c r="B80" s="8">
        <v>30.4</v>
      </c>
    </row>
    <row r="81" spans="1:2">
      <c r="A81" s="7">
        <v>19329</v>
      </c>
      <c r="B81" s="8">
        <v>30.2</v>
      </c>
    </row>
    <row r="82" spans="1:2">
      <c r="A82" s="7">
        <v>19360</v>
      </c>
      <c r="B82" s="8">
        <v>30.3</v>
      </c>
    </row>
    <row r="83" spans="1:2">
      <c r="A83" s="7">
        <v>19391</v>
      </c>
      <c r="B83" s="8">
        <v>30.2</v>
      </c>
    </row>
    <row r="84" spans="1:2">
      <c r="A84" s="7">
        <v>19419</v>
      </c>
      <c r="B84" s="8">
        <v>30.3</v>
      </c>
    </row>
    <row r="85" spans="1:2">
      <c r="A85" s="7">
        <v>19450</v>
      </c>
      <c r="B85" s="8">
        <v>30.2</v>
      </c>
    </row>
    <row r="86" spans="1:2">
      <c r="A86" s="7">
        <v>19480</v>
      </c>
      <c r="B86" s="8">
        <v>30.3</v>
      </c>
    </row>
    <row r="87" spans="1:2">
      <c r="A87" s="7">
        <v>19511</v>
      </c>
      <c r="B87" s="8">
        <v>30.4</v>
      </c>
    </row>
    <row r="88" spans="1:2">
      <c r="A88" s="7">
        <v>19541</v>
      </c>
      <c r="B88" s="8">
        <v>30.5</v>
      </c>
    </row>
    <row r="89" spans="1:2">
      <c r="A89" s="7">
        <v>19572</v>
      </c>
      <c r="B89" s="8">
        <v>30.4</v>
      </c>
    </row>
    <row r="90" spans="1:2">
      <c r="A90" s="7">
        <v>19603</v>
      </c>
      <c r="B90" s="8">
        <v>30.4</v>
      </c>
    </row>
    <row r="91" spans="1:2">
      <c r="A91" s="7">
        <v>19633</v>
      </c>
      <c r="B91" s="8">
        <v>30.4</v>
      </c>
    </row>
    <row r="92" spans="1:2">
      <c r="A92" s="7">
        <v>19664</v>
      </c>
      <c r="B92" s="8">
        <v>30.3</v>
      </c>
    </row>
    <row r="93" spans="1:2">
      <c r="A93" s="7">
        <v>19694</v>
      </c>
      <c r="B93" s="8">
        <v>30.4</v>
      </c>
    </row>
    <row r="94" spans="1:2">
      <c r="A94" s="7">
        <v>19725</v>
      </c>
      <c r="B94" s="8">
        <v>30.5</v>
      </c>
    </row>
    <row r="95" spans="1:2">
      <c r="A95" s="7">
        <v>19756</v>
      </c>
      <c r="B95" s="8">
        <v>30.4</v>
      </c>
    </row>
    <row r="96" spans="1:2">
      <c r="A96" s="7">
        <v>19784</v>
      </c>
      <c r="B96" s="8">
        <v>30.4</v>
      </c>
    </row>
    <row r="97" spans="1:2">
      <c r="A97" s="7">
        <v>19815</v>
      </c>
      <c r="B97" s="8">
        <v>30.6</v>
      </c>
    </row>
    <row r="98" spans="1:2">
      <c r="A98" s="7">
        <v>19845</v>
      </c>
      <c r="B98" s="8">
        <v>30.6</v>
      </c>
    </row>
    <row r="99" spans="1:2">
      <c r="A99" s="7">
        <v>19876</v>
      </c>
      <c r="B99" s="8">
        <v>30.4</v>
      </c>
    </row>
    <row r="100" spans="1:2">
      <c r="A100" s="7">
        <v>19906</v>
      </c>
      <c r="B100" s="8">
        <v>30.5</v>
      </c>
    </row>
    <row r="101" spans="1:2">
      <c r="A101" s="7">
        <v>19937</v>
      </c>
      <c r="B101" s="8">
        <v>30.4</v>
      </c>
    </row>
    <row r="102" spans="1:2">
      <c r="A102" s="7">
        <v>19968</v>
      </c>
      <c r="B102" s="8">
        <v>30.3</v>
      </c>
    </row>
    <row r="103" spans="1:2">
      <c r="A103" s="7">
        <v>19998</v>
      </c>
      <c r="B103" s="8">
        <v>30.2</v>
      </c>
    </row>
    <row r="104" spans="1:2">
      <c r="A104" s="7">
        <v>20029</v>
      </c>
      <c r="B104" s="8">
        <v>30.3</v>
      </c>
    </row>
    <row r="105" spans="1:2">
      <c r="A105" s="7">
        <v>20059</v>
      </c>
      <c r="B105" s="8">
        <v>30.3</v>
      </c>
    </row>
    <row r="106" spans="1:2">
      <c r="A106" s="7">
        <v>20090</v>
      </c>
      <c r="B106" s="8">
        <v>30.4</v>
      </c>
    </row>
    <row r="107" spans="1:2">
      <c r="A107" s="7">
        <v>20121</v>
      </c>
      <c r="B107" s="8">
        <v>30.5</v>
      </c>
    </row>
    <row r="108" spans="1:2">
      <c r="A108" s="7">
        <v>20149</v>
      </c>
      <c r="B108" s="8">
        <v>30.3</v>
      </c>
    </row>
    <row r="109" spans="1:2">
      <c r="A109" s="7">
        <v>20180</v>
      </c>
      <c r="B109" s="8">
        <v>30.4</v>
      </c>
    </row>
    <row r="110" spans="1:2">
      <c r="A110" s="7">
        <v>20210</v>
      </c>
      <c r="B110" s="8">
        <v>30.4</v>
      </c>
    </row>
    <row r="111" spans="1:2">
      <c r="A111" s="7">
        <v>20241</v>
      </c>
      <c r="B111" s="8">
        <v>30.5</v>
      </c>
    </row>
    <row r="112" spans="1:2">
      <c r="A112" s="7">
        <v>20271</v>
      </c>
      <c r="B112" s="8">
        <v>30.4</v>
      </c>
    </row>
    <row r="113" spans="1:2">
      <c r="A113" s="7">
        <v>20302</v>
      </c>
      <c r="B113" s="8">
        <v>30.4</v>
      </c>
    </row>
    <row r="114" spans="1:2">
      <c r="A114" s="7">
        <v>20333</v>
      </c>
      <c r="B114" s="8">
        <v>30.5</v>
      </c>
    </row>
    <row r="115" spans="1:2">
      <c r="A115" s="7">
        <v>20363</v>
      </c>
      <c r="B115" s="8">
        <v>30.6</v>
      </c>
    </row>
    <row r="116" spans="1:2">
      <c r="A116" s="7">
        <v>20394</v>
      </c>
      <c r="B116" s="8">
        <v>30.6</v>
      </c>
    </row>
    <row r="117" spans="1:2">
      <c r="A117" s="7">
        <v>20424</v>
      </c>
      <c r="B117" s="8">
        <v>30.7</v>
      </c>
    </row>
    <row r="118" spans="1:2">
      <c r="A118" s="7">
        <v>20455</v>
      </c>
      <c r="B118" s="8">
        <v>30.7</v>
      </c>
    </row>
    <row r="119" spans="1:2">
      <c r="A119" s="7">
        <v>20486</v>
      </c>
      <c r="B119" s="8">
        <v>30.8</v>
      </c>
    </row>
    <row r="120" spans="1:2">
      <c r="A120" s="7">
        <v>20515</v>
      </c>
      <c r="B120" s="8">
        <v>30.9</v>
      </c>
    </row>
    <row r="121" spans="1:2">
      <c r="A121" s="7">
        <v>20546</v>
      </c>
      <c r="B121" s="8">
        <v>31</v>
      </c>
    </row>
    <row r="122" spans="1:2">
      <c r="A122" s="7">
        <v>20576</v>
      </c>
      <c r="B122" s="8">
        <v>31.2</v>
      </c>
    </row>
    <row r="123" spans="1:2">
      <c r="A123" s="7">
        <v>20607</v>
      </c>
      <c r="B123" s="8">
        <v>31.4</v>
      </c>
    </row>
    <row r="124" spans="1:2">
      <c r="A124" s="7">
        <v>20637</v>
      </c>
      <c r="B124" s="8">
        <v>31.3</v>
      </c>
    </row>
    <row r="125" spans="1:2">
      <c r="A125" s="7">
        <v>20668</v>
      </c>
      <c r="B125" s="8">
        <v>31.4</v>
      </c>
    </row>
    <row r="126" spans="1:2">
      <c r="A126" s="7">
        <v>20699</v>
      </c>
      <c r="B126" s="8">
        <v>31.6</v>
      </c>
    </row>
    <row r="127" spans="1:2">
      <c r="A127" s="7">
        <v>20729</v>
      </c>
      <c r="B127" s="8">
        <v>31.8</v>
      </c>
    </row>
    <row r="128" spans="1:2">
      <c r="A128" s="7">
        <v>20760</v>
      </c>
      <c r="B128" s="8">
        <v>31.9</v>
      </c>
    </row>
    <row r="129" spans="1:2">
      <c r="A129" s="7">
        <v>20790</v>
      </c>
      <c r="B129" s="8">
        <v>31.9</v>
      </c>
    </row>
    <row r="130" spans="1:2">
      <c r="A130" s="7">
        <v>20821</v>
      </c>
      <c r="B130" s="8">
        <v>32.1</v>
      </c>
    </row>
    <row r="131" spans="1:2">
      <c r="A131" s="7">
        <v>20852</v>
      </c>
      <c r="B131" s="8">
        <v>32.200000000000003</v>
      </c>
    </row>
    <row r="132" spans="1:2">
      <c r="A132" s="7">
        <v>20880</v>
      </c>
      <c r="B132" s="8">
        <v>32.1</v>
      </c>
    </row>
    <row r="133" spans="1:2">
      <c r="A133" s="7">
        <v>20911</v>
      </c>
      <c r="B133" s="8">
        <v>32.299999999999997</v>
      </c>
    </row>
    <row r="134" spans="1:2">
      <c r="A134" s="7">
        <v>20941</v>
      </c>
      <c r="B134" s="8">
        <v>32.299999999999997</v>
      </c>
    </row>
    <row r="135" spans="1:2">
      <c r="A135" s="7">
        <v>20972</v>
      </c>
      <c r="B135" s="8">
        <v>32.5</v>
      </c>
    </row>
    <row r="136" spans="1:2">
      <c r="A136" s="7">
        <v>21002</v>
      </c>
      <c r="B136" s="8">
        <v>32.6</v>
      </c>
    </row>
    <row r="137" spans="1:2">
      <c r="A137" s="7">
        <v>21033</v>
      </c>
      <c r="B137" s="8">
        <v>32.6</v>
      </c>
    </row>
    <row r="138" spans="1:2">
      <c r="A138" s="7">
        <v>21064</v>
      </c>
      <c r="B138" s="8">
        <v>32.6</v>
      </c>
    </row>
    <row r="139" spans="1:2">
      <c r="A139" s="7">
        <v>21094</v>
      </c>
      <c r="B139" s="8">
        <v>32.700000000000003</v>
      </c>
    </row>
    <row r="140" spans="1:2">
      <c r="A140" s="7">
        <v>21125</v>
      </c>
      <c r="B140" s="8">
        <v>32.9</v>
      </c>
    </row>
    <row r="141" spans="1:2">
      <c r="A141" s="7">
        <v>21155</v>
      </c>
      <c r="B141" s="8">
        <v>33</v>
      </c>
    </row>
    <row r="142" spans="1:2">
      <c r="A142" s="7">
        <v>21186</v>
      </c>
      <c r="B142" s="8">
        <v>33.200000000000003</v>
      </c>
    </row>
    <row r="143" spans="1:2">
      <c r="A143" s="7">
        <v>21217</v>
      </c>
      <c r="B143" s="8">
        <v>33.200000000000003</v>
      </c>
    </row>
    <row r="144" spans="1:2">
      <c r="A144" s="7">
        <v>21245</v>
      </c>
      <c r="B144" s="8">
        <v>33.4</v>
      </c>
    </row>
    <row r="145" spans="1:2">
      <c r="A145" s="7">
        <v>21276</v>
      </c>
      <c r="B145" s="8">
        <v>33.200000000000003</v>
      </c>
    </row>
    <row r="146" spans="1:2">
      <c r="A146" s="7">
        <v>21306</v>
      </c>
      <c r="B146" s="8">
        <v>33.200000000000003</v>
      </c>
    </row>
    <row r="147" spans="1:2">
      <c r="A147" s="7">
        <v>21337</v>
      </c>
      <c r="B147" s="8">
        <v>33.299999999999997</v>
      </c>
    </row>
    <row r="148" spans="1:2">
      <c r="A148" s="7">
        <v>21367</v>
      </c>
      <c r="B148" s="8">
        <v>33.200000000000003</v>
      </c>
    </row>
    <row r="149" spans="1:2">
      <c r="A149" s="7">
        <v>21398</v>
      </c>
      <c r="B149" s="8">
        <v>33.200000000000003</v>
      </c>
    </row>
    <row r="150" spans="1:2">
      <c r="A150" s="7">
        <v>21429</v>
      </c>
      <c r="B150" s="8">
        <v>33.200000000000003</v>
      </c>
    </row>
    <row r="151" spans="1:2">
      <c r="A151" s="7">
        <v>21459</v>
      </c>
      <c r="B151" s="8">
        <v>33.200000000000003</v>
      </c>
    </row>
    <row r="152" spans="1:2">
      <c r="A152" s="7">
        <v>21490</v>
      </c>
      <c r="B152" s="8">
        <v>33.200000000000003</v>
      </c>
    </row>
    <row r="153" spans="1:2">
      <c r="A153" s="7">
        <v>21520</v>
      </c>
      <c r="B153" s="8">
        <v>33.1</v>
      </c>
    </row>
    <row r="154" spans="1:2">
      <c r="A154" s="7">
        <v>21551</v>
      </c>
      <c r="B154" s="8">
        <v>33.1</v>
      </c>
    </row>
    <row r="155" spans="1:2">
      <c r="A155" s="7">
        <v>21582</v>
      </c>
      <c r="B155" s="8">
        <v>33.200000000000003</v>
      </c>
    </row>
    <row r="156" spans="1:2">
      <c r="A156" s="7">
        <v>21610</v>
      </c>
      <c r="B156" s="8">
        <v>33.200000000000003</v>
      </c>
    </row>
    <row r="157" spans="1:2">
      <c r="A157" s="7">
        <v>21641</v>
      </c>
      <c r="B157" s="8">
        <v>33.200000000000003</v>
      </c>
    </row>
    <row r="158" spans="1:2">
      <c r="A158" s="7">
        <v>21671</v>
      </c>
      <c r="B158" s="8">
        <v>33.299999999999997</v>
      </c>
    </row>
    <row r="159" spans="1:2">
      <c r="A159" s="7">
        <v>21702</v>
      </c>
      <c r="B159" s="8">
        <v>33.200000000000003</v>
      </c>
    </row>
    <row r="160" spans="1:2">
      <c r="A160" s="7">
        <v>21732</v>
      </c>
      <c r="B160" s="8">
        <v>33.1</v>
      </c>
    </row>
    <row r="161" spans="1:2">
      <c r="A161" s="7">
        <v>21763</v>
      </c>
      <c r="B161" s="8">
        <v>33</v>
      </c>
    </row>
    <row r="162" spans="1:2">
      <c r="A162" s="7">
        <v>21794</v>
      </c>
      <c r="B162" s="8">
        <v>33.4</v>
      </c>
    </row>
    <row r="163" spans="1:2">
      <c r="A163" s="7">
        <v>21824</v>
      </c>
      <c r="B163" s="8">
        <v>33.1</v>
      </c>
    </row>
    <row r="164" spans="1:2">
      <c r="A164" s="7">
        <v>21855</v>
      </c>
      <c r="B164" s="8">
        <v>33</v>
      </c>
    </row>
    <row r="165" spans="1:2">
      <c r="A165" s="7">
        <v>21885</v>
      </c>
      <c r="B165" s="8">
        <v>33</v>
      </c>
    </row>
    <row r="166" spans="1:2">
      <c r="A166" s="7">
        <v>21916</v>
      </c>
      <c r="B166" s="8">
        <v>33.1</v>
      </c>
    </row>
    <row r="167" spans="1:2">
      <c r="A167" s="7">
        <v>21947</v>
      </c>
      <c r="B167" s="8">
        <v>33.1</v>
      </c>
    </row>
    <row r="168" spans="1:2">
      <c r="A168" s="7">
        <v>21976</v>
      </c>
      <c r="B168" s="8">
        <v>33.4</v>
      </c>
    </row>
    <row r="169" spans="1:2">
      <c r="A169" s="7">
        <v>22007</v>
      </c>
      <c r="B169" s="8">
        <v>33.4</v>
      </c>
    </row>
    <row r="170" spans="1:2">
      <c r="A170" s="7">
        <v>22037</v>
      </c>
      <c r="B170" s="8">
        <v>33.4</v>
      </c>
    </row>
    <row r="171" spans="1:2">
      <c r="A171" s="7">
        <v>22068</v>
      </c>
      <c r="B171" s="8">
        <v>33.4</v>
      </c>
    </row>
    <row r="172" spans="1:2">
      <c r="A172" s="7">
        <v>22098</v>
      </c>
      <c r="B172" s="8">
        <v>33.5</v>
      </c>
    </row>
    <row r="173" spans="1:2">
      <c r="A173" s="7">
        <v>22129</v>
      </c>
      <c r="B173" s="8">
        <v>33.4</v>
      </c>
    </row>
    <row r="174" spans="1:2">
      <c r="A174" s="7">
        <v>22160</v>
      </c>
      <c r="B174" s="8">
        <v>33.4</v>
      </c>
    </row>
    <row r="175" spans="1:2">
      <c r="A175" s="7">
        <v>22190</v>
      </c>
      <c r="B175" s="8">
        <v>33.700000000000003</v>
      </c>
    </row>
    <row r="176" spans="1:2">
      <c r="A176" s="7">
        <v>22221</v>
      </c>
      <c r="B176" s="8">
        <v>33.700000000000003</v>
      </c>
    </row>
    <row r="177" spans="1:2">
      <c r="A177" s="7">
        <v>22251</v>
      </c>
      <c r="B177" s="8">
        <v>33.6</v>
      </c>
    </row>
    <row r="178" spans="1:2">
      <c r="A178" s="7">
        <v>22282</v>
      </c>
      <c r="B178" s="8">
        <v>33.6</v>
      </c>
    </row>
    <row r="179" spans="1:2">
      <c r="A179" s="7">
        <v>22313</v>
      </c>
      <c r="B179" s="8">
        <v>33.700000000000003</v>
      </c>
    </row>
    <row r="180" spans="1:2">
      <c r="A180" s="7">
        <v>22341</v>
      </c>
      <c r="B180" s="8">
        <v>33.6</v>
      </c>
    </row>
    <row r="181" spans="1:2">
      <c r="A181" s="7">
        <v>22372</v>
      </c>
      <c r="B181" s="8">
        <v>33.4</v>
      </c>
    </row>
    <row r="182" spans="1:2">
      <c r="A182" s="7">
        <v>22402</v>
      </c>
      <c r="B182" s="8">
        <v>33.299999999999997</v>
      </c>
    </row>
    <row r="183" spans="1:2">
      <c r="A183" s="7">
        <v>22433</v>
      </c>
      <c r="B183" s="8">
        <v>33.299999999999997</v>
      </c>
    </row>
    <row r="184" spans="1:2">
      <c r="A184" s="7">
        <v>22463</v>
      </c>
      <c r="B184" s="8">
        <v>33.299999999999997</v>
      </c>
    </row>
    <row r="185" spans="1:2">
      <c r="A185" s="7">
        <v>22494</v>
      </c>
      <c r="B185" s="8">
        <v>33.4</v>
      </c>
    </row>
    <row r="186" spans="1:2">
      <c r="A186" s="7">
        <v>22525</v>
      </c>
      <c r="B186" s="8">
        <v>33.299999999999997</v>
      </c>
    </row>
    <row r="187" spans="1:2">
      <c r="A187" s="7">
        <v>22555</v>
      </c>
      <c r="B187" s="8">
        <v>33.299999999999997</v>
      </c>
    </row>
    <row r="188" spans="1:2">
      <c r="A188" s="7">
        <v>22586</v>
      </c>
      <c r="B188" s="8">
        <v>33.4</v>
      </c>
    </row>
    <row r="189" spans="1:2">
      <c r="A189" s="7">
        <v>22616</v>
      </c>
      <c r="B189" s="8">
        <v>33.4</v>
      </c>
    </row>
    <row r="190" spans="1:2">
      <c r="A190" s="7">
        <v>22647</v>
      </c>
      <c r="B190" s="8">
        <v>33.5</v>
      </c>
    </row>
    <row r="191" spans="1:2">
      <c r="A191" s="7">
        <v>22678</v>
      </c>
      <c r="B191" s="8">
        <v>33.6</v>
      </c>
    </row>
    <row r="192" spans="1:2">
      <c r="A192" s="7">
        <v>22706</v>
      </c>
      <c r="B192" s="8">
        <v>33.5</v>
      </c>
    </row>
    <row r="193" spans="1:2">
      <c r="A193" s="7">
        <v>22737</v>
      </c>
      <c r="B193" s="8">
        <v>33.5</v>
      </c>
    </row>
    <row r="194" spans="1:2">
      <c r="A194" s="7">
        <v>22767</v>
      </c>
      <c r="B194" s="8">
        <v>33.4</v>
      </c>
    </row>
    <row r="195" spans="1:2">
      <c r="A195" s="7">
        <v>22798</v>
      </c>
      <c r="B195" s="8">
        <v>33.4</v>
      </c>
    </row>
    <row r="196" spans="1:2">
      <c r="A196" s="7">
        <v>22828</v>
      </c>
      <c r="B196" s="8">
        <v>33.4</v>
      </c>
    </row>
    <row r="197" spans="1:2">
      <c r="A197" s="7">
        <v>22859</v>
      </c>
      <c r="B197" s="8">
        <v>33.5</v>
      </c>
    </row>
    <row r="198" spans="1:2">
      <c r="A198" s="7">
        <v>22890</v>
      </c>
      <c r="B198" s="8">
        <v>33.799999999999997</v>
      </c>
    </row>
    <row r="199" spans="1:2">
      <c r="A199" s="7">
        <v>22920</v>
      </c>
      <c r="B199" s="8">
        <v>33.6</v>
      </c>
    </row>
    <row r="200" spans="1:2">
      <c r="A200" s="7">
        <v>22951</v>
      </c>
      <c r="B200" s="8">
        <v>33.6</v>
      </c>
    </row>
    <row r="201" spans="1:2">
      <c r="A201" s="7">
        <v>22981</v>
      </c>
      <c r="B201" s="8">
        <v>33.5</v>
      </c>
    </row>
    <row r="202" spans="1:2">
      <c r="A202" s="7">
        <v>23012</v>
      </c>
      <c r="B202" s="8">
        <v>33.4</v>
      </c>
    </row>
    <row r="203" spans="1:2">
      <c r="A203" s="7">
        <v>23043</v>
      </c>
      <c r="B203" s="8">
        <v>33.4</v>
      </c>
    </row>
    <row r="204" spans="1:2">
      <c r="A204" s="7">
        <v>23071</v>
      </c>
      <c r="B204" s="8">
        <v>33.299999999999997</v>
      </c>
    </row>
    <row r="205" spans="1:2">
      <c r="A205" s="7">
        <v>23102</v>
      </c>
      <c r="B205" s="8">
        <v>33.299999999999997</v>
      </c>
    </row>
    <row r="206" spans="1:2">
      <c r="A206" s="7">
        <v>23132</v>
      </c>
      <c r="B206" s="8">
        <v>33.4</v>
      </c>
    </row>
    <row r="207" spans="1:2">
      <c r="A207" s="7">
        <v>23163</v>
      </c>
      <c r="B207" s="8">
        <v>33.5</v>
      </c>
    </row>
    <row r="208" spans="1:2">
      <c r="A208" s="7">
        <v>23193</v>
      </c>
      <c r="B208" s="8">
        <v>33.4</v>
      </c>
    </row>
    <row r="209" spans="1:2">
      <c r="A209" s="7">
        <v>23224</v>
      </c>
      <c r="B209" s="8">
        <v>33.4</v>
      </c>
    </row>
    <row r="210" spans="1:2">
      <c r="A210" s="7">
        <v>23255</v>
      </c>
      <c r="B210" s="8">
        <v>33.4</v>
      </c>
    </row>
    <row r="211" spans="1:2">
      <c r="A211" s="7">
        <v>23285</v>
      </c>
      <c r="B211" s="8">
        <v>33.5</v>
      </c>
    </row>
    <row r="212" spans="1:2">
      <c r="A212" s="7">
        <v>23316</v>
      </c>
      <c r="B212" s="8">
        <v>33.5</v>
      </c>
    </row>
    <row r="213" spans="1:2">
      <c r="A213" s="7">
        <v>23346</v>
      </c>
      <c r="B213" s="8">
        <v>33.4</v>
      </c>
    </row>
    <row r="214" spans="1:2">
      <c r="A214" s="7">
        <v>23377</v>
      </c>
      <c r="B214" s="8">
        <v>33.5</v>
      </c>
    </row>
    <row r="215" spans="1:2">
      <c r="A215" s="7">
        <v>23408</v>
      </c>
      <c r="B215" s="8">
        <v>33.5</v>
      </c>
    </row>
    <row r="216" spans="1:2">
      <c r="A216" s="7">
        <v>23437</v>
      </c>
      <c r="B216" s="8">
        <v>33.4</v>
      </c>
    </row>
    <row r="217" spans="1:2">
      <c r="A217" s="7">
        <v>23468</v>
      </c>
      <c r="B217" s="8">
        <v>33.5</v>
      </c>
    </row>
    <row r="218" spans="1:2">
      <c r="A218" s="7">
        <v>23498</v>
      </c>
      <c r="B218" s="8">
        <v>33.5</v>
      </c>
    </row>
    <row r="219" spans="1:2">
      <c r="A219" s="7">
        <v>23529</v>
      </c>
      <c r="B219" s="8">
        <v>33.5</v>
      </c>
    </row>
    <row r="220" spans="1:2">
      <c r="A220" s="7">
        <v>23559</v>
      </c>
      <c r="B220" s="8">
        <v>33.5</v>
      </c>
    </row>
    <row r="221" spans="1:2">
      <c r="A221" s="7">
        <v>23590</v>
      </c>
      <c r="B221" s="8">
        <v>33.6</v>
      </c>
    </row>
    <row r="222" spans="1:2">
      <c r="A222" s="7">
        <v>23621</v>
      </c>
      <c r="B222" s="8">
        <v>33.6</v>
      </c>
    </row>
    <row r="223" spans="1:2">
      <c r="A223" s="7">
        <v>23651</v>
      </c>
      <c r="B223" s="8">
        <v>33.6</v>
      </c>
    </row>
    <row r="224" spans="1:2">
      <c r="A224" s="7">
        <v>23682</v>
      </c>
      <c r="B224" s="8">
        <v>33.6</v>
      </c>
    </row>
    <row r="225" spans="1:2">
      <c r="A225" s="7">
        <v>23712</v>
      </c>
      <c r="B225" s="8">
        <v>33.6</v>
      </c>
    </row>
    <row r="226" spans="1:2">
      <c r="A226" s="7">
        <v>23743</v>
      </c>
      <c r="B226" s="8">
        <v>33.6</v>
      </c>
    </row>
    <row r="227" spans="1:2">
      <c r="A227" s="7">
        <v>23774</v>
      </c>
      <c r="B227" s="8">
        <v>33.700000000000003</v>
      </c>
    </row>
    <row r="228" spans="1:2">
      <c r="A228" s="7">
        <v>23802</v>
      </c>
      <c r="B228" s="8">
        <v>33.700000000000003</v>
      </c>
    </row>
    <row r="229" spans="1:2">
      <c r="A229" s="7">
        <v>23833</v>
      </c>
      <c r="B229" s="8">
        <v>34</v>
      </c>
    </row>
    <row r="230" spans="1:2">
      <c r="A230" s="7">
        <v>23863</v>
      </c>
      <c r="B230" s="8">
        <v>34.1</v>
      </c>
    </row>
    <row r="231" spans="1:2">
      <c r="A231" s="7">
        <v>23894</v>
      </c>
      <c r="B231" s="8">
        <v>34.200000000000003</v>
      </c>
    </row>
    <row r="232" spans="1:2">
      <c r="A232" s="7">
        <v>23924</v>
      </c>
      <c r="B232" s="8">
        <v>34.1</v>
      </c>
    </row>
    <row r="233" spans="1:2">
      <c r="A233" s="7">
        <v>23955</v>
      </c>
      <c r="B233" s="8">
        <v>34.200000000000003</v>
      </c>
    </row>
    <row r="234" spans="1:2">
      <c r="A234" s="7">
        <v>23986</v>
      </c>
      <c r="B234" s="8">
        <v>34.299999999999997</v>
      </c>
    </row>
    <row r="235" spans="1:2">
      <c r="A235" s="7">
        <v>24016</v>
      </c>
      <c r="B235" s="8">
        <v>34.4</v>
      </c>
    </row>
    <row r="236" spans="1:2">
      <c r="A236" s="7">
        <v>24047</v>
      </c>
      <c r="B236" s="8">
        <v>34.5</v>
      </c>
    </row>
    <row r="237" spans="1:2">
      <c r="A237" s="7">
        <v>24077</v>
      </c>
      <c r="B237" s="8">
        <v>34.700000000000003</v>
      </c>
    </row>
    <row r="238" spans="1:2">
      <c r="A238" s="7">
        <v>24108</v>
      </c>
      <c r="B238" s="8">
        <v>34.700000000000003</v>
      </c>
    </row>
    <row r="239" spans="1:2">
      <c r="A239" s="7">
        <v>24139</v>
      </c>
      <c r="B239" s="8">
        <v>35</v>
      </c>
    </row>
    <row r="240" spans="1:2">
      <c r="A240" s="7">
        <v>24167</v>
      </c>
      <c r="B240" s="8">
        <v>35</v>
      </c>
    </row>
    <row r="241" spans="1:2">
      <c r="A241" s="7">
        <v>24198</v>
      </c>
      <c r="B241" s="8">
        <v>35.1</v>
      </c>
    </row>
    <row r="242" spans="1:2">
      <c r="A242" s="7">
        <v>24228</v>
      </c>
      <c r="B242" s="8">
        <v>35.1</v>
      </c>
    </row>
    <row r="243" spans="1:2">
      <c r="A243" s="7">
        <v>24259</v>
      </c>
      <c r="B243" s="8">
        <v>34.9</v>
      </c>
    </row>
    <row r="244" spans="1:2">
      <c r="A244" s="7">
        <v>24289</v>
      </c>
      <c r="B244" s="8">
        <v>35.1</v>
      </c>
    </row>
    <row r="245" spans="1:2">
      <c r="A245" s="7">
        <v>24320</v>
      </c>
      <c r="B245" s="8">
        <v>35.4</v>
      </c>
    </row>
    <row r="246" spans="1:2">
      <c r="A246" s="7">
        <v>24351</v>
      </c>
      <c r="B246" s="8">
        <v>35.6</v>
      </c>
    </row>
    <row r="247" spans="1:2">
      <c r="A247" s="7">
        <v>24381</v>
      </c>
      <c r="B247" s="8">
        <v>35.5</v>
      </c>
    </row>
    <row r="248" spans="1:2">
      <c r="A248" s="7">
        <v>24412</v>
      </c>
      <c r="B248" s="8">
        <v>35.5</v>
      </c>
    </row>
    <row r="249" spans="1:2">
      <c r="A249" s="7">
        <v>24442</v>
      </c>
      <c r="B249" s="8">
        <v>35.4</v>
      </c>
    </row>
    <row r="250" spans="1:2">
      <c r="A250" s="7">
        <v>24473</v>
      </c>
      <c r="B250" s="8">
        <v>35.4</v>
      </c>
    </row>
    <row r="251" spans="1:2">
      <c r="A251" s="7">
        <v>24504</v>
      </c>
      <c r="B251" s="8">
        <v>35.299999999999997</v>
      </c>
    </row>
    <row r="252" spans="1:2">
      <c r="A252" s="7">
        <v>24532</v>
      </c>
      <c r="B252" s="8">
        <v>35.299999999999997</v>
      </c>
    </row>
    <row r="253" spans="1:2">
      <c r="A253" s="7">
        <v>24563</v>
      </c>
      <c r="B253" s="8">
        <v>35.299999999999997</v>
      </c>
    </row>
    <row r="254" spans="1:2">
      <c r="A254" s="7">
        <v>24593</v>
      </c>
      <c r="B254" s="8">
        <v>35.4</v>
      </c>
    </row>
    <row r="255" spans="1:2">
      <c r="A255" s="7">
        <v>24624</v>
      </c>
      <c r="B255" s="8">
        <v>35.700000000000003</v>
      </c>
    </row>
    <row r="256" spans="1:2">
      <c r="A256" s="7">
        <v>24654</v>
      </c>
      <c r="B256" s="8">
        <v>35.700000000000003</v>
      </c>
    </row>
    <row r="257" spans="1:2">
      <c r="A257" s="7">
        <v>24685</v>
      </c>
      <c r="B257" s="8">
        <v>35.799999999999997</v>
      </c>
    </row>
    <row r="258" spans="1:2">
      <c r="A258" s="7">
        <v>24716</v>
      </c>
      <c r="B258" s="8">
        <v>35.799999999999997</v>
      </c>
    </row>
    <row r="259" spans="1:2">
      <c r="A259" s="7">
        <v>24746</v>
      </c>
      <c r="B259" s="8">
        <v>35.9</v>
      </c>
    </row>
    <row r="260" spans="1:2">
      <c r="A260" s="7">
        <v>24777</v>
      </c>
      <c r="B260" s="8">
        <v>35.9</v>
      </c>
    </row>
    <row r="261" spans="1:2">
      <c r="A261" s="7">
        <v>24807</v>
      </c>
      <c r="B261" s="8">
        <v>36</v>
      </c>
    </row>
    <row r="262" spans="1:2">
      <c r="A262" s="7">
        <v>24838</v>
      </c>
      <c r="B262" s="8">
        <v>36.1</v>
      </c>
    </row>
    <row r="263" spans="1:2">
      <c r="A263" s="7">
        <v>24869</v>
      </c>
      <c r="B263" s="8">
        <v>36.200000000000003</v>
      </c>
    </row>
    <row r="264" spans="1:2">
      <c r="A264" s="7">
        <v>24898</v>
      </c>
      <c r="B264" s="8">
        <v>36.299999999999997</v>
      </c>
    </row>
    <row r="265" spans="1:2">
      <c r="A265" s="7">
        <v>24929</v>
      </c>
      <c r="B265" s="8">
        <v>36.5</v>
      </c>
    </row>
    <row r="266" spans="1:2">
      <c r="A266" s="7">
        <v>24959</v>
      </c>
      <c r="B266" s="8">
        <v>36.5</v>
      </c>
    </row>
    <row r="267" spans="1:2">
      <c r="A267" s="7">
        <v>24990</v>
      </c>
      <c r="B267" s="8">
        <v>36.6</v>
      </c>
    </row>
    <row r="268" spans="1:2">
      <c r="A268" s="7">
        <v>25020</v>
      </c>
      <c r="B268" s="8">
        <v>36.700000000000003</v>
      </c>
    </row>
    <row r="269" spans="1:2">
      <c r="A269" s="7">
        <v>25051</v>
      </c>
      <c r="B269" s="8">
        <v>36.799999999999997</v>
      </c>
    </row>
    <row r="270" spans="1:2">
      <c r="A270" s="7">
        <v>25082</v>
      </c>
      <c r="B270" s="8">
        <v>37</v>
      </c>
    </row>
    <row r="271" spans="1:2">
      <c r="A271" s="7">
        <v>25112</v>
      </c>
      <c r="B271" s="8">
        <v>37</v>
      </c>
    </row>
    <row r="272" spans="1:2">
      <c r="A272" s="7">
        <v>25143</v>
      </c>
      <c r="B272" s="8">
        <v>37.1</v>
      </c>
    </row>
    <row r="273" spans="1:2">
      <c r="A273" s="7">
        <v>25173</v>
      </c>
      <c r="B273" s="8">
        <v>37.1</v>
      </c>
    </row>
    <row r="274" spans="1:2">
      <c r="A274" s="7">
        <v>25204</v>
      </c>
      <c r="B274" s="8">
        <v>37.200000000000003</v>
      </c>
    </row>
    <row r="275" spans="1:2">
      <c r="A275" s="7">
        <v>25235</v>
      </c>
      <c r="B275" s="8">
        <v>37.200000000000003</v>
      </c>
    </row>
    <row r="276" spans="1:2">
      <c r="A276" s="7">
        <v>25263</v>
      </c>
      <c r="B276" s="8">
        <v>37.4</v>
      </c>
    </row>
    <row r="277" spans="1:2">
      <c r="A277" s="7">
        <v>25294</v>
      </c>
      <c r="B277" s="8">
        <v>37.6</v>
      </c>
    </row>
    <row r="278" spans="1:2">
      <c r="A278" s="7">
        <v>25324</v>
      </c>
      <c r="B278" s="8">
        <v>37.799999999999997</v>
      </c>
    </row>
    <row r="279" spans="1:2">
      <c r="A279" s="7">
        <v>25355</v>
      </c>
      <c r="B279" s="8">
        <v>38</v>
      </c>
    </row>
    <row r="280" spans="1:2">
      <c r="A280" s="7">
        <v>25385</v>
      </c>
      <c r="B280" s="8">
        <v>38.1</v>
      </c>
    </row>
    <row r="281" spans="1:2">
      <c r="A281" s="7">
        <v>25416</v>
      </c>
      <c r="B281" s="8">
        <v>38.200000000000003</v>
      </c>
    </row>
    <row r="282" spans="1:2">
      <c r="A282" s="7">
        <v>25447</v>
      </c>
      <c r="B282" s="8">
        <v>38.299999999999997</v>
      </c>
    </row>
    <row r="283" spans="1:2">
      <c r="A283" s="7">
        <v>25477</v>
      </c>
      <c r="B283" s="8">
        <v>38.5</v>
      </c>
    </row>
    <row r="284" spans="1:2">
      <c r="A284" s="7">
        <v>25508</v>
      </c>
      <c r="B284" s="8">
        <v>38.799999999999997</v>
      </c>
    </row>
    <row r="285" spans="1:2">
      <c r="A285" s="7">
        <v>25538</v>
      </c>
      <c r="B285" s="8">
        <v>38.9</v>
      </c>
    </row>
    <row r="286" spans="1:2">
      <c r="A286" s="7">
        <v>25569</v>
      </c>
      <c r="B286" s="8">
        <v>39.1</v>
      </c>
    </row>
    <row r="287" spans="1:2">
      <c r="A287" s="7">
        <v>25600</v>
      </c>
      <c r="B287" s="8">
        <v>39</v>
      </c>
    </row>
    <row r="288" spans="1:2">
      <c r="A288" s="7">
        <v>25628</v>
      </c>
      <c r="B288" s="8">
        <v>39.1</v>
      </c>
    </row>
    <row r="289" spans="1:2">
      <c r="A289" s="7">
        <v>25659</v>
      </c>
      <c r="B289" s="8">
        <v>39.1</v>
      </c>
    </row>
    <row r="290" spans="1:2">
      <c r="A290" s="7">
        <v>25689</v>
      </c>
      <c r="B290" s="8">
        <v>39.1</v>
      </c>
    </row>
    <row r="291" spans="1:2">
      <c r="A291" s="7">
        <v>25720</v>
      </c>
      <c r="B291" s="8">
        <v>39.200000000000003</v>
      </c>
    </row>
    <row r="292" spans="1:2">
      <c r="A292" s="7">
        <v>25750</v>
      </c>
      <c r="B292" s="8">
        <v>39.200000000000003</v>
      </c>
    </row>
    <row r="293" spans="1:2">
      <c r="A293" s="7">
        <v>25781</v>
      </c>
      <c r="B293" s="8">
        <v>39.200000000000003</v>
      </c>
    </row>
    <row r="294" spans="1:2">
      <c r="A294" s="7">
        <v>25812</v>
      </c>
      <c r="B294" s="8">
        <v>39.6</v>
      </c>
    </row>
    <row r="295" spans="1:2">
      <c r="A295" s="7">
        <v>25842</v>
      </c>
      <c r="B295" s="8">
        <v>39.6</v>
      </c>
    </row>
    <row r="296" spans="1:2">
      <c r="A296" s="7">
        <v>25873</v>
      </c>
      <c r="B296" s="8">
        <v>39.799999999999997</v>
      </c>
    </row>
    <row r="297" spans="1:2">
      <c r="A297" s="7">
        <v>25903</v>
      </c>
      <c r="B297" s="8">
        <v>39.799999999999997</v>
      </c>
    </row>
    <row r="298" spans="1:2">
      <c r="A298" s="7">
        <v>25934</v>
      </c>
      <c r="B298" s="8">
        <v>39.9</v>
      </c>
    </row>
    <row r="299" spans="1:2">
      <c r="A299" s="7">
        <v>25965</v>
      </c>
      <c r="B299" s="8">
        <v>40.1</v>
      </c>
    </row>
    <row r="300" spans="1:2">
      <c r="A300" s="7">
        <v>25993</v>
      </c>
      <c r="B300" s="8">
        <v>40.200000000000003</v>
      </c>
    </row>
    <row r="301" spans="1:2">
      <c r="A301" s="7">
        <v>26024</v>
      </c>
      <c r="B301" s="8">
        <v>40.299999999999997</v>
      </c>
    </row>
    <row r="302" spans="1:2">
      <c r="A302" s="7">
        <v>26054</v>
      </c>
      <c r="B302" s="8">
        <v>40.5</v>
      </c>
    </row>
    <row r="303" spans="1:2">
      <c r="A303" s="7">
        <v>26085</v>
      </c>
      <c r="B303" s="8">
        <v>40.6</v>
      </c>
    </row>
    <row r="304" spans="1:2">
      <c r="A304" s="7">
        <v>26115</v>
      </c>
      <c r="B304" s="8">
        <v>40.4</v>
      </c>
    </row>
    <row r="305" spans="1:2">
      <c r="A305" s="7">
        <v>26146</v>
      </c>
      <c r="B305" s="8">
        <v>40.700000000000003</v>
      </c>
    </row>
    <row r="306" spans="1:2">
      <c r="A306" s="7">
        <v>26177</v>
      </c>
      <c r="B306" s="8">
        <v>40.700000000000003</v>
      </c>
    </row>
    <row r="307" spans="1:2">
      <c r="A307" s="7">
        <v>26207</v>
      </c>
      <c r="B307" s="8">
        <v>40.700000000000003</v>
      </c>
    </row>
    <row r="308" spans="1:2">
      <c r="A308" s="7">
        <v>26238</v>
      </c>
      <c r="B308" s="8">
        <v>40.799999999999997</v>
      </c>
    </row>
    <row r="309" spans="1:2">
      <c r="A309" s="7">
        <v>26268</v>
      </c>
      <c r="B309" s="8">
        <v>41.1</v>
      </c>
    </row>
    <row r="310" spans="1:2">
      <c r="A310" s="7">
        <v>26299</v>
      </c>
      <c r="B310" s="8">
        <v>41</v>
      </c>
    </row>
    <row r="311" spans="1:2">
      <c r="A311" s="7">
        <v>26330</v>
      </c>
      <c r="B311" s="8">
        <v>41.3</v>
      </c>
    </row>
    <row r="312" spans="1:2">
      <c r="A312" s="7">
        <v>26359</v>
      </c>
      <c r="B312" s="8">
        <v>41.3</v>
      </c>
    </row>
    <row r="313" spans="1:2">
      <c r="A313" s="7">
        <v>26390</v>
      </c>
      <c r="B313" s="8">
        <v>41.3</v>
      </c>
    </row>
    <row r="314" spans="1:2">
      <c r="A314" s="7">
        <v>26420</v>
      </c>
      <c r="B314" s="8">
        <v>41.5</v>
      </c>
    </row>
    <row r="315" spans="1:2">
      <c r="A315" s="7">
        <v>26451</v>
      </c>
      <c r="B315" s="8">
        <v>41.7</v>
      </c>
    </row>
    <row r="316" spans="1:2">
      <c r="A316" s="7">
        <v>26481</v>
      </c>
      <c r="B316" s="8">
        <v>41.8</v>
      </c>
    </row>
    <row r="317" spans="1:2">
      <c r="A317" s="7">
        <v>26512</v>
      </c>
      <c r="B317" s="8">
        <v>42</v>
      </c>
    </row>
    <row r="318" spans="1:2">
      <c r="A318" s="7">
        <v>26543</v>
      </c>
      <c r="B318" s="8">
        <v>42.2</v>
      </c>
    </row>
    <row r="319" spans="1:2">
      <c r="A319" s="7">
        <v>26573</v>
      </c>
      <c r="B319" s="8">
        <v>42</v>
      </c>
    </row>
    <row r="320" spans="1:2">
      <c r="A320" s="7">
        <v>26604</v>
      </c>
      <c r="B320" s="8">
        <v>42.3</v>
      </c>
    </row>
    <row r="321" spans="1:2">
      <c r="A321" s="7">
        <v>26634</v>
      </c>
      <c r="B321" s="8">
        <v>42.7</v>
      </c>
    </row>
    <row r="322" spans="1:2">
      <c r="A322" s="7">
        <v>26665</v>
      </c>
      <c r="B322" s="8">
        <v>43</v>
      </c>
    </row>
    <row r="323" spans="1:2">
      <c r="A323" s="7">
        <v>26696</v>
      </c>
      <c r="B323" s="8">
        <v>43.5</v>
      </c>
    </row>
    <row r="324" spans="1:2">
      <c r="A324" s="7">
        <v>26724</v>
      </c>
      <c r="B324" s="8">
        <v>44.4</v>
      </c>
    </row>
    <row r="325" spans="1:2">
      <c r="A325" s="7">
        <v>26755</v>
      </c>
      <c r="B325" s="8">
        <v>44.7</v>
      </c>
    </row>
    <row r="326" spans="1:2">
      <c r="A326" s="7">
        <v>26785</v>
      </c>
      <c r="B326" s="8">
        <v>45</v>
      </c>
    </row>
    <row r="327" spans="1:2">
      <c r="A327" s="7">
        <v>26816</v>
      </c>
      <c r="B327" s="8">
        <v>45.5</v>
      </c>
    </row>
    <row r="328" spans="1:2">
      <c r="A328" s="7">
        <v>26846</v>
      </c>
      <c r="B328" s="8">
        <v>45.4</v>
      </c>
    </row>
    <row r="329" spans="1:2">
      <c r="A329" s="7">
        <v>26877</v>
      </c>
      <c r="B329" s="8">
        <v>47</v>
      </c>
    </row>
    <row r="330" spans="1:2">
      <c r="A330" s="7">
        <v>26908</v>
      </c>
      <c r="B330" s="8">
        <v>46.9</v>
      </c>
    </row>
    <row r="331" spans="1:2">
      <c r="A331" s="7">
        <v>26938</v>
      </c>
      <c r="B331" s="8">
        <v>46.8</v>
      </c>
    </row>
    <row r="332" spans="1:2">
      <c r="A332" s="7">
        <v>26969</v>
      </c>
      <c r="B332" s="8">
        <v>47.2</v>
      </c>
    </row>
    <row r="333" spans="1:2">
      <c r="A333" s="7">
        <v>26999</v>
      </c>
      <c r="B333" s="8">
        <v>47.6</v>
      </c>
    </row>
    <row r="334" spans="1:2">
      <c r="A334" s="7">
        <v>27030</v>
      </c>
      <c r="B334" s="8">
        <v>48.8</v>
      </c>
    </row>
    <row r="335" spans="1:2">
      <c r="A335" s="7">
        <v>27061</v>
      </c>
      <c r="B335" s="8">
        <v>49.7</v>
      </c>
    </row>
    <row r="336" spans="1:2">
      <c r="A336" s="7">
        <v>27089</v>
      </c>
      <c r="B336" s="8">
        <v>50.2</v>
      </c>
    </row>
    <row r="337" spans="1:2">
      <c r="A337" s="7">
        <v>27120</v>
      </c>
      <c r="B337" s="8">
        <v>50.7</v>
      </c>
    </row>
    <row r="338" spans="1:2">
      <c r="A338" s="7">
        <v>27150</v>
      </c>
      <c r="B338" s="8">
        <v>51.3</v>
      </c>
    </row>
    <row r="339" spans="1:2">
      <c r="A339" s="7">
        <v>27181</v>
      </c>
      <c r="B339" s="8">
        <v>51.3</v>
      </c>
    </row>
    <row r="340" spans="1:2">
      <c r="A340" s="7">
        <v>27211</v>
      </c>
      <c r="B340" s="8">
        <v>52.7</v>
      </c>
    </row>
    <row r="341" spans="1:2">
      <c r="A341" s="7">
        <v>27242</v>
      </c>
      <c r="B341" s="8">
        <v>53.7</v>
      </c>
    </row>
    <row r="342" spans="1:2">
      <c r="A342" s="7">
        <v>27273</v>
      </c>
      <c r="B342" s="8">
        <v>54.3</v>
      </c>
    </row>
    <row r="343" spans="1:2">
      <c r="A343" s="7">
        <v>27303</v>
      </c>
      <c r="B343" s="8">
        <v>55.3</v>
      </c>
    </row>
    <row r="344" spans="1:2">
      <c r="A344" s="7">
        <v>27334</v>
      </c>
      <c r="B344" s="8">
        <v>56.4</v>
      </c>
    </row>
    <row r="345" spans="1:2">
      <c r="A345" s="7">
        <v>27364</v>
      </c>
      <c r="B345" s="8">
        <v>56.4</v>
      </c>
    </row>
    <row r="346" spans="1:2">
      <c r="A346" s="7">
        <v>27395</v>
      </c>
      <c r="B346" s="8">
        <v>56.7</v>
      </c>
    </row>
    <row r="347" spans="1:2">
      <c r="A347" s="7">
        <v>27426</v>
      </c>
      <c r="B347" s="8">
        <v>56.6</v>
      </c>
    </row>
    <row r="348" spans="1:2">
      <c r="A348" s="7">
        <v>27454</v>
      </c>
      <c r="B348" s="8">
        <v>56.6</v>
      </c>
    </row>
    <row r="349" spans="1:2">
      <c r="A349" s="7">
        <v>27485</v>
      </c>
      <c r="B349" s="8">
        <v>57.1</v>
      </c>
    </row>
    <row r="350" spans="1:2">
      <c r="A350" s="7">
        <v>27515</v>
      </c>
      <c r="B350" s="8">
        <v>57.4</v>
      </c>
    </row>
    <row r="351" spans="1:2">
      <c r="A351" s="7">
        <v>27546</v>
      </c>
      <c r="B351" s="8">
        <v>57.9</v>
      </c>
    </row>
    <row r="352" spans="1:2">
      <c r="A352" s="7">
        <v>27576</v>
      </c>
      <c r="B352" s="8">
        <v>58.4</v>
      </c>
    </row>
    <row r="353" spans="1:2">
      <c r="A353" s="7">
        <v>27607</v>
      </c>
      <c r="B353" s="8">
        <v>58.9</v>
      </c>
    </row>
    <row r="354" spans="1:2">
      <c r="A354" s="7">
        <v>27638</v>
      </c>
      <c r="B354" s="8">
        <v>59.3</v>
      </c>
    </row>
    <row r="355" spans="1:2">
      <c r="A355" s="7">
        <v>27668</v>
      </c>
      <c r="B355" s="8">
        <v>59.8</v>
      </c>
    </row>
    <row r="356" spans="1:2">
      <c r="A356" s="7">
        <v>27699</v>
      </c>
      <c r="B356" s="8">
        <v>60</v>
      </c>
    </row>
    <row r="357" spans="1:2">
      <c r="A357" s="7">
        <v>27729</v>
      </c>
      <c r="B357" s="8">
        <v>60.1</v>
      </c>
    </row>
    <row r="358" spans="1:2">
      <c r="A358" s="7">
        <v>27760</v>
      </c>
      <c r="B358" s="8">
        <v>60</v>
      </c>
    </row>
    <row r="359" spans="1:2">
      <c r="A359" s="7">
        <v>27791</v>
      </c>
      <c r="B359" s="8">
        <v>59.9</v>
      </c>
    </row>
    <row r="360" spans="1:2">
      <c r="A360" s="7">
        <v>27820</v>
      </c>
      <c r="B360" s="8">
        <v>60</v>
      </c>
    </row>
    <row r="361" spans="1:2">
      <c r="A361" s="7">
        <v>27851</v>
      </c>
      <c r="B361" s="8">
        <v>60.3</v>
      </c>
    </row>
    <row r="362" spans="1:2">
      <c r="A362" s="7">
        <v>27881</v>
      </c>
      <c r="B362" s="8">
        <v>60.4</v>
      </c>
    </row>
    <row r="363" spans="1:2">
      <c r="A363" s="7">
        <v>27912</v>
      </c>
      <c r="B363" s="8">
        <v>60.5</v>
      </c>
    </row>
    <row r="364" spans="1:2">
      <c r="A364" s="7">
        <v>27942</v>
      </c>
      <c r="B364" s="8">
        <v>60.7</v>
      </c>
    </row>
    <row r="365" spans="1:2">
      <c r="A365" s="7">
        <v>27973</v>
      </c>
      <c r="B365" s="8">
        <v>60.9</v>
      </c>
    </row>
    <row r="366" spans="1:2">
      <c r="A366" s="7">
        <v>28004</v>
      </c>
      <c r="B366" s="8">
        <v>61.1</v>
      </c>
    </row>
    <row r="367" spans="1:2">
      <c r="A367" s="7">
        <v>28034</v>
      </c>
      <c r="B367" s="8">
        <v>61.4</v>
      </c>
    </row>
    <row r="368" spans="1:2">
      <c r="A368" s="7">
        <v>28065</v>
      </c>
      <c r="B368" s="8">
        <v>61.9</v>
      </c>
    </row>
    <row r="369" spans="1:2">
      <c r="A369" s="7">
        <v>28095</v>
      </c>
      <c r="B369" s="8">
        <v>62.4</v>
      </c>
    </row>
    <row r="370" spans="1:2">
      <c r="A370" s="7">
        <v>28126</v>
      </c>
      <c r="B370" s="8">
        <v>62.5</v>
      </c>
    </row>
    <row r="371" spans="1:2">
      <c r="A371" s="7">
        <v>28157</v>
      </c>
      <c r="B371" s="8">
        <v>63.2</v>
      </c>
    </row>
    <row r="372" spans="1:2">
      <c r="A372" s="7">
        <v>28185</v>
      </c>
      <c r="B372" s="8">
        <v>63.7</v>
      </c>
    </row>
    <row r="373" spans="1:2">
      <c r="A373" s="7">
        <v>28216</v>
      </c>
      <c r="B373" s="8">
        <v>64</v>
      </c>
    </row>
    <row r="374" spans="1:2">
      <c r="A374" s="7">
        <v>28246</v>
      </c>
      <c r="B374" s="8">
        <v>64.400000000000006</v>
      </c>
    </row>
    <row r="375" spans="1:2">
      <c r="A375" s="7">
        <v>28277</v>
      </c>
      <c r="B375" s="8">
        <v>64.599999999999994</v>
      </c>
    </row>
    <row r="376" spans="1:2">
      <c r="A376" s="7">
        <v>28307</v>
      </c>
      <c r="B376" s="8">
        <v>64.8</v>
      </c>
    </row>
    <row r="377" spans="1:2">
      <c r="A377" s="7">
        <v>28338</v>
      </c>
      <c r="B377" s="8">
        <v>65.2</v>
      </c>
    </row>
    <row r="378" spans="1:2">
      <c r="A378" s="7">
        <v>28369</v>
      </c>
      <c r="B378" s="8">
        <v>65.5</v>
      </c>
    </row>
    <row r="379" spans="1:2">
      <c r="A379" s="7">
        <v>28399</v>
      </c>
      <c r="B379" s="8">
        <v>65.900000000000006</v>
      </c>
    </row>
    <row r="380" spans="1:2">
      <c r="A380" s="7">
        <v>28430</v>
      </c>
      <c r="B380" s="8">
        <v>66.400000000000006</v>
      </c>
    </row>
    <row r="381" spans="1:2">
      <c r="A381" s="7">
        <v>28460</v>
      </c>
      <c r="B381" s="8">
        <v>66.7</v>
      </c>
    </row>
    <row r="382" spans="1:2">
      <c r="A382" s="7">
        <v>28491</v>
      </c>
      <c r="B382" s="8">
        <v>67</v>
      </c>
    </row>
    <row r="383" spans="1:2">
      <c r="A383" s="7">
        <v>28522</v>
      </c>
      <c r="B383" s="8">
        <v>67.5</v>
      </c>
    </row>
    <row r="384" spans="1:2">
      <c r="A384" s="7">
        <v>28550</v>
      </c>
      <c r="B384" s="8">
        <v>67.8</v>
      </c>
    </row>
    <row r="385" spans="1:2">
      <c r="A385" s="7">
        <v>28581</v>
      </c>
      <c r="B385" s="8">
        <v>68.599999999999994</v>
      </c>
    </row>
    <row r="386" spans="1:2">
      <c r="A386" s="7">
        <v>28611</v>
      </c>
      <c r="B386" s="8">
        <v>69.099999999999994</v>
      </c>
    </row>
    <row r="387" spans="1:2">
      <c r="A387" s="7">
        <v>28642</v>
      </c>
      <c r="B387" s="8">
        <v>69.7</v>
      </c>
    </row>
    <row r="388" spans="1:2">
      <c r="A388" s="7">
        <v>28672</v>
      </c>
      <c r="B388" s="8">
        <v>70.3</v>
      </c>
    </row>
    <row r="389" spans="1:2">
      <c r="A389" s="7">
        <v>28703</v>
      </c>
      <c r="B389" s="8">
        <v>70.400000000000006</v>
      </c>
    </row>
    <row r="390" spans="1:2">
      <c r="A390" s="7">
        <v>28734</v>
      </c>
      <c r="B390" s="8">
        <v>71.099999999999994</v>
      </c>
    </row>
    <row r="391" spans="1:2">
      <c r="A391" s="7">
        <v>28764</v>
      </c>
      <c r="B391" s="8">
        <v>71.400000000000006</v>
      </c>
    </row>
    <row r="392" spans="1:2">
      <c r="A392" s="7">
        <v>28795</v>
      </c>
      <c r="B392" s="8">
        <v>72</v>
      </c>
    </row>
    <row r="393" spans="1:2">
      <c r="A393" s="7">
        <v>28825</v>
      </c>
      <c r="B393" s="8">
        <v>72.8</v>
      </c>
    </row>
    <row r="394" spans="1:2">
      <c r="A394" s="7">
        <v>28856</v>
      </c>
      <c r="B394" s="8">
        <v>73.7</v>
      </c>
    </row>
    <row r="395" spans="1:2">
      <c r="A395" s="7">
        <v>28887</v>
      </c>
      <c r="B395" s="8">
        <v>74.400000000000006</v>
      </c>
    </row>
    <row r="396" spans="1:2">
      <c r="A396" s="7">
        <v>28915</v>
      </c>
      <c r="B396" s="8">
        <v>75</v>
      </c>
    </row>
    <row r="397" spans="1:2">
      <c r="A397" s="7">
        <v>28946</v>
      </c>
      <c r="B397" s="8">
        <v>75.8</v>
      </c>
    </row>
    <row r="398" spans="1:2">
      <c r="A398" s="7">
        <v>28976</v>
      </c>
      <c r="B398" s="8">
        <v>76.2</v>
      </c>
    </row>
    <row r="399" spans="1:2">
      <c r="A399" s="7">
        <v>29007</v>
      </c>
      <c r="B399" s="8">
        <v>76.599999999999994</v>
      </c>
    </row>
    <row r="400" spans="1:2">
      <c r="A400" s="7">
        <v>29037</v>
      </c>
      <c r="B400" s="8">
        <v>77.400000000000006</v>
      </c>
    </row>
    <row r="401" spans="1:2">
      <c r="A401" s="7">
        <v>29068</v>
      </c>
      <c r="B401" s="8">
        <v>78.2</v>
      </c>
    </row>
    <row r="402" spans="1:2">
      <c r="A402" s="7">
        <v>29099</v>
      </c>
      <c r="B402" s="8">
        <v>79.5</v>
      </c>
    </row>
    <row r="403" spans="1:2">
      <c r="A403" s="7">
        <v>29129</v>
      </c>
      <c r="B403" s="8">
        <v>80.400000000000006</v>
      </c>
    </row>
    <row r="404" spans="1:2">
      <c r="A404" s="7">
        <v>29160</v>
      </c>
      <c r="B404" s="8">
        <v>81.400000000000006</v>
      </c>
    </row>
    <row r="405" spans="1:2">
      <c r="A405" s="7">
        <v>29190</v>
      </c>
      <c r="B405" s="8">
        <v>82.2</v>
      </c>
    </row>
    <row r="406" spans="1:2">
      <c r="A406" s="7">
        <v>29221</v>
      </c>
      <c r="B406" s="8">
        <v>83.4</v>
      </c>
    </row>
    <row r="407" spans="1:2">
      <c r="A407" s="7">
        <v>29252</v>
      </c>
      <c r="B407" s="8">
        <v>84.6</v>
      </c>
    </row>
    <row r="408" spans="1:2">
      <c r="A408" s="7">
        <v>29281</v>
      </c>
      <c r="B408" s="8">
        <v>85.5</v>
      </c>
    </row>
    <row r="409" spans="1:2">
      <c r="A409" s="7">
        <v>29312</v>
      </c>
      <c r="B409" s="8">
        <v>86.2</v>
      </c>
    </row>
    <row r="410" spans="1:2">
      <c r="A410" s="7">
        <v>29342</v>
      </c>
      <c r="B410" s="8">
        <v>86.6</v>
      </c>
    </row>
    <row r="411" spans="1:2">
      <c r="A411" s="7">
        <v>29373</v>
      </c>
      <c r="B411" s="8">
        <v>87.3</v>
      </c>
    </row>
    <row r="412" spans="1:2">
      <c r="A412" s="7">
        <v>29403</v>
      </c>
      <c r="B412" s="8">
        <v>88.7</v>
      </c>
    </row>
    <row r="413" spans="1:2">
      <c r="A413" s="7">
        <v>29434</v>
      </c>
      <c r="B413" s="8">
        <v>89.7</v>
      </c>
    </row>
    <row r="414" spans="1:2">
      <c r="A414" s="7">
        <v>29465</v>
      </c>
      <c r="B414" s="8">
        <v>90.1</v>
      </c>
    </row>
    <row r="415" spans="1:2">
      <c r="A415" s="7">
        <v>29495</v>
      </c>
      <c r="B415" s="8">
        <v>90.8</v>
      </c>
    </row>
    <row r="416" spans="1:2">
      <c r="A416" s="7">
        <v>29526</v>
      </c>
      <c r="B416" s="8">
        <v>91.4</v>
      </c>
    </row>
    <row r="417" spans="1:2">
      <c r="A417" s="7">
        <v>29556</v>
      </c>
      <c r="B417" s="8">
        <v>91.8</v>
      </c>
    </row>
    <row r="418" spans="1:2">
      <c r="A418" s="7">
        <v>29587</v>
      </c>
      <c r="B418" s="8">
        <v>92.8</v>
      </c>
    </row>
    <row r="419" spans="1:2">
      <c r="A419" s="7">
        <v>29618</v>
      </c>
      <c r="B419" s="8">
        <v>93.6</v>
      </c>
    </row>
    <row r="420" spans="1:2">
      <c r="A420" s="7">
        <v>29646</v>
      </c>
      <c r="B420" s="8">
        <v>94.7</v>
      </c>
    </row>
    <row r="421" spans="1:2">
      <c r="A421" s="7">
        <v>29677</v>
      </c>
      <c r="B421" s="8">
        <v>95.7</v>
      </c>
    </row>
    <row r="422" spans="1:2">
      <c r="A422" s="7">
        <v>29707</v>
      </c>
      <c r="B422" s="8">
        <v>96</v>
      </c>
    </row>
    <row r="423" spans="1:2">
      <c r="A423" s="7">
        <v>29738</v>
      </c>
      <c r="B423" s="8">
        <v>96.5</v>
      </c>
    </row>
    <row r="424" spans="1:2">
      <c r="A424" s="7">
        <v>29768</v>
      </c>
      <c r="B424" s="8">
        <v>96.7</v>
      </c>
    </row>
    <row r="425" spans="1:2">
      <c r="A425" s="7">
        <v>29799</v>
      </c>
      <c r="B425" s="8">
        <v>96.8</v>
      </c>
    </row>
    <row r="426" spans="1:2">
      <c r="A426" s="7">
        <v>29830</v>
      </c>
      <c r="B426" s="8">
        <v>97.2</v>
      </c>
    </row>
    <row r="427" spans="1:2">
      <c r="A427" s="7">
        <v>29860</v>
      </c>
      <c r="B427" s="8">
        <v>97.6</v>
      </c>
    </row>
    <row r="428" spans="1:2">
      <c r="A428" s="7">
        <v>29891</v>
      </c>
      <c r="B428" s="8">
        <v>97.9</v>
      </c>
    </row>
    <row r="429" spans="1:2">
      <c r="A429" s="7">
        <v>29921</v>
      </c>
      <c r="B429" s="8">
        <v>98.3</v>
      </c>
    </row>
    <row r="430" spans="1:2">
      <c r="A430" s="7">
        <v>29952</v>
      </c>
      <c r="B430" s="8">
        <v>98.9</v>
      </c>
    </row>
    <row r="431" spans="1:2">
      <c r="A431" s="7">
        <v>29983</v>
      </c>
      <c r="B431" s="8">
        <v>98.8</v>
      </c>
    </row>
    <row r="432" spans="1:2">
      <c r="A432" s="7">
        <v>30011</v>
      </c>
      <c r="B432" s="8">
        <v>98.8</v>
      </c>
    </row>
    <row r="433" spans="1:2">
      <c r="A433" s="7">
        <v>30042</v>
      </c>
      <c r="B433" s="8">
        <v>99</v>
      </c>
    </row>
    <row r="434" spans="1:2">
      <c r="A434" s="7">
        <v>30072</v>
      </c>
      <c r="B434" s="8">
        <v>99</v>
      </c>
    </row>
    <row r="435" spans="1:2">
      <c r="A435" s="7">
        <v>30103</v>
      </c>
      <c r="B435" s="8">
        <v>99.8</v>
      </c>
    </row>
    <row r="436" spans="1:2">
      <c r="A436" s="7">
        <v>30133</v>
      </c>
      <c r="B436" s="8">
        <v>100.2</v>
      </c>
    </row>
    <row r="437" spans="1:2">
      <c r="A437" s="7">
        <v>30164</v>
      </c>
      <c r="B437" s="8">
        <v>100.6</v>
      </c>
    </row>
    <row r="438" spans="1:2">
      <c r="A438" s="7">
        <v>30195</v>
      </c>
      <c r="B438" s="8">
        <v>100.7</v>
      </c>
    </row>
    <row r="439" spans="1:2">
      <c r="A439" s="7">
        <v>30225</v>
      </c>
      <c r="B439" s="8">
        <v>101</v>
      </c>
    </row>
    <row r="440" spans="1:2">
      <c r="A440" s="7">
        <v>30256</v>
      </c>
      <c r="B440" s="8">
        <v>101.4</v>
      </c>
    </row>
    <row r="441" spans="1:2">
      <c r="A441" s="7">
        <v>30286</v>
      </c>
      <c r="B441" s="8">
        <v>101.8</v>
      </c>
    </row>
    <row r="442" spans="1:2">
      <c r="A442" s="7">
        <v>30317</v>
      </c>
      <c r="B442" s="8">
        <v>101</v>
      </c>
    </row>
    <row r="443" spans="1:2">
      <c r="A443" s="7">
        <v>30348</v>
      </c>
      <c r="B443" s="8">
        <v>101.1</v>
      </c>
    </row>
    <row r="444" spans="1:2">
      <c r="A444" s="7">
        <v>30376</v>
      </c>
      <c r="B444" s="8">
        <v>101</v>
      </c>
    </row>
    <row r="445" spans="1:2">
      <c r="A445" s="7">
        <v>30407</v>
      </c>
      <c r="B445" s="8">
        <v>101.1</v>
      </c>
    </row>
    <row r="446" spans="1:2">
      <c r="A446" s="7">
        <v>30437</v>
      </c>
      <c r="B446" s="8">
        <v>101.4</v>
      </c>
    </row>
    <row r="447" spans="1:2">
      <c r="A447" s="7">
        <v>30468</v>
      </c>
      <c r="B447" s="8">
        <v>101.6</v>
      </c>
    </row>
    <row r="448" spans="1:2">
      <c r="A448" s="7">
        <v>30498</v>
      </c>
      <c r="B448" s="8">
        <v>101.6</v>
      </c>
    </row>
    <row r="449" spans="1:2">
      <c r="A449" s="7">
        <v>30529</v>
      </c>
      <c r="B449" s="8">
        <v>101.9</v>
      </c>
    </row>
    <row r="450" spans="1:2">
      <c r="A450" s="7">
        <v>30560</v>
      </c>
      <c r="B450" s="8">
        <v>102.2</v>
      </c>
    </row>
    <row r="451" spans="1:2">
      <c r="A451" s="7">
        <v>30590</v>
      </c>
      <c r="B451" s="8">
        <v>102.2</v>
      </c>
    </row>
    <row r="452" spans="1:2">
      <c r="A452" s="7">
        <v>30621</v>
      </c>
      <c r="B452" s="8">
        <v>102</v>
      </c>
    </row>
    <row r="453" spans="1:2">
      <c r="A453" s="7">
        <v>30651</v>
      </c>
      <c r="B453" s="8">
        <v>102.3</v>
      </c>
    </row>
    <row r="454" spans="1:2">
      <c r="A454" s="7">
        <v>30682</v>
      </c>
      <c r="B454" s="8">
        <v>103</v>
      </c>
    </row>
    <row r="455" spans="1:2">
      <c r="A455" s="7">
        <v>30713</v>
      </c>
      <c r="B455" s="8">
        <v>103.4</v>
      </c>
    </row>
    <row r="456" spans="1:2">
      <c r="A456" s="7">
        <v>30742</v>
      </c>
      <c r="B456" s="8">
        <v>103.8</v>
      </c>
    </row>
    <row r="457" spans="1:2">
      <c r="A457" s="7">
        <v>30773</v>
      </c>
      <c r="B457" s="8">
        <v>103.9</v>
      </c>
    </row>
    <row r="458" spans="1:2">
      <c r="A458" s="7">
        <v>30803</v>
      </c>
      <c r="B458" s="8">
        <v>103.8</v>
      </c>
    </row>
    <row r="459" spans="1:2">
      <c r="A459" s="7">
        <v>30834</v>
      </c>
      <c r="B459" s="8">
        <v>103.8</v>
      </c>
    </row>
    <row r="460" spans="1:2">
      <c r="A460" s="7">
        <v>30864</v>
      </c>
      <c r="B460" s="8">
        <v>104</v>
      </c>
    </row>
    <row r="461" spans="1:2">
      <c r="A461" s="7">
        <v>30895</v>
      </c>
      <c r="B461" s="8">
        <v>103.8</v>
      </c>
    </row>
    <row r="462" spans="1:2">
      <c r="A462" s="7">
        <v>30926</v>
      </c>
      <c r="B462" s="8">
        <v>103.8</v>
      </c>
    </row>
    <row r="463" spans="1:2">
      <c r="A463" s="7">
        <v>30956</v>
      </c>
      <c r="B463" s="8">
        <v>103.6</v>
      </c>
    </row>
    <row r="464" spans="1:2">
      <c r="A464" s="7">
        <v>30987</v>
      </c>
      <c r="B464" s="8">
        <v>104</v>
      </c>
    </row>
    <row r="465" spans="1:2">
      <c r="A465" s="7">
        <v>31017</v>
      </c>
      <c r="B465" s="8">
        <v>104</v>
      </c>
    </row>
    <row r="466" spans="1:2">
      <c r="A466" s="7">
        <v>31048</v>
      </c>
      <c r="B466" s="8">
        <v>104</v>
      </c>
    </row>
    <row r="467" spans="1:2">
      <c r="A467" s="7">
        <v>31079</v>
      </c>
      <c r="B467" s="8">
        <v>104.1</v>
      </c>
    </row>
    <row r="468" spans="1:2">
      <c r="A468" s="7">
        <v>31107</v>
      </c>
      <c r="B468" s="8">
        <v>104.1</v>
      </c>
    </row>
    <row r="469" spans="1:2">
      <c r="A469" s="7">
        <v>31138</v>
      </c>
      <c r="B469" s="8">
        <v>104.6</v>
      </c>
    </row>
    <row r="470" spans="1:2">
      <c r="A470" s="7">
        <v>31168</v>
      </c>
      <c r="B470" s="8">
        <v>104.9</v>
      </c>
    </row>
    <row r="471" spans="1:2">
      <c r="A471" s="7">
        <v>31199</v>
      </c>
      <c r="B471" s="8">
        <v>104.6</v>
      </c>
    </row>
    <row r="472" spans="1:2">
      <c r="A472" s="7">
        <v>31229</v>
      </c>
      <c r="B472" s="8">
        <v>104.7</v>
      </c>
    </row>
    <row r="473" spans="1:2">
      <c r="A473" s="7">
        <v>31260</v>
      </c>
      <c r="B473" s="8">
        <v>104.5</v>
      </c>
    </row>
    <row r="474" spans="1:2">
      <c r="A474" s="7">
        <v>31291</v>
      </c>
      <c r="B474" s="8">
        <v>103.8</v>
      </c>
    </row>
    <row r="475" spans="1:2">
      <c r="A475" s="7">
        <v>31321</v>
      </c>
      <c r="B475" s="8">
        <v>104.9</v>
      </c>
    </row>
    <row r="476" spans="1:2">
      <c r="A476" s="7">
        <v>31352</v>
      </c>
      <c r="B476" s="8">
        <v>105.5</v>
      </c>
    </row>
    <row r="477" spans="1:2">
      <c r="A477" s="7">
        <v>31382</v>
      </c>
      <c r="B477" s="8">
        <v>106</v>
      </c>
    </row>
    <row r="478" spans="1:2">
      <c r="A478" s="7">
        <v>31413</v>
      </c>
      <c r="B478" s="8">
        <v>105.5</v>
      </c>
    </row>
    <row r="479" spans="1:2">
      <c r="A479" s="7">
        <v>31444</v>
      </c>
      <c r="B479" s="8">
        <v>104.1</v>
      </c>
    </row>
    <row r="480" spans="1:2">
      <c r="A480" s="7">
        <v>31472</v>
      </c>
      <c r="B480" s="8">
        <v>102.8</v>
      </c>
    </row>
    <row r="481" spans="1:2">
      <c r="A481" s="7">
        <v>31503</v>
      </c>
      <c r="B481" s="8">
        <v>102.3</v>
      </c>
    </row>
    <row r="482" spans="1:2">
      <c r="A482" s="7">
        <v>31533</v>
      </c>
      <c r="B482" s="8">
        <v>102.8</v>
      </c>
    </row>
    <row r="483" spans="1:2">
      <c r="A483" s="7">
        <v>31564</v>
      </c>
      <c r="B483" s="8">
        <v>103.1</v>
      </c>
    </row>
    <row r="484" spans="1:2">
      <c r="A484" s="7">
        <v>31594</v>
      </c>
      <c r="B484" s="8">
        <v>102.3</v>
      </c>
    </row>
    <row r="485" spans="1:2">
      <c r="A485" s="7">
        <v>31625</v>
      </c>
      <c r="B485" s="8">
        <v>102.7</v>
      </c>
    </row>
    <row r="486" spans="1:2">
      <c r="A486" s="7">
        <v>31656</v>
      </c>
      <c r="B486" s="8">
        <v>102.9</v>
      </c>
    </row>
    <row r="487" spans="1:2">
      <c r="A487" s="7">
        <v>31686</v>
      </c>
      <c r="B487" s="8">
        <v>103.5</v>
      </c>
    </row>
    <row r="488" spans="1:2">
      <c r="A488" s="7">
        <v>31717</v>
      </c>
      <c r="B488" s="8">
        <v>103.4</v>
      </c>
    </row>
    <row r="489" spans="1:2">
      <c r="A489" s="7">
        <v>31747</v>
      </c>
      <c r="B489" s="8">
        <v>103.6</v>
      </c>
    </row>
    <row r="490" spans="1:2">
      <c r="A490" s="7">
        <v>31778</v>
      </c>
      <c r="B490" s="8">
        <v>104.1</v>
      </c>
    </row>
    <row r="491" spans="1:2">
      <c r="A491" s="7">
        <v>31809</v>
      </c>
      <c r="B491" s="8">
        <v>104.4</v>
      </c>
    </row>
    <row r="492" spans="1:2">
      <c r="A492" s="7">
        <v>31837</v>
      </c>
      <c r="B492" s="8">
        <v>104.5</v>
      </c>
    </row>
    <row r="493" spans="1:2">
      <c r="A493" s="7">
        <v>31868</v>
      </c>
      <c r="B493" s="8">
        <v>105.1</v>
      </c>
    </row>
    <row r="494" spans="1:2">
      <c r="A494" s="7">
        <v>31898</v>
      </c>
      <c r="B494" s="8">
        <v>105.2</v>
      </c>
    </row>
    <row r="495" spans="1:2">
      <c r="A495" s="7">
        <v>31929</v>
      </c>
      <c r="B495" s="8">
        <v>105.5</v>
      </c>
    </row>
    <row r="496" spans="1:2">
      <c r="A496" s="7">
        <v>31959</v>
      </c>
      <c r="B496" s="8">
        <v>105.7</v>
      </c>
    </row>
    <row r="497" spans="1:2">
      <c r="A497" s="7">
        <v>31990</v>
      </c>
      <c r="B497" s="8">
        <v>105.9</v>
      </c>
    </row>
    <row r="498" spans="1:2">
      <c r="A498" s="7">
        <v>32021</v>
      </c>
      <c r="B498" s="8">
        <v>106.2</v>
      </c>
    </row>
    <row r="499" spans="1:2">
      <c r="A499" s="7">
        <v>32051</v>
      </c>
      <c r="B499" s="8">
        <v>106</v>
      </c>
    </row>
    <row r="500" spans="1:2">
      <c r="A500" s="7">
        <v>32082</v>
      </c>
      <c r="B500" s="8">
        <v>106</v>
      </c>
    </row>
    <row r="501" spans="1:2">
      <c r="A501" s="7">
        <v>32112</v>
      </c>
      <c r="B501" s="8">
        <v>105.8</v>
      </c>
    </row>
    <row r="502" spans="1:2">
      <c r="A502" s="7">
        <v>32143</v>
      </c>
      <c r="B502" s="8">
        <v>106.4</v>
      </c>
    </row>
    <row r="503" spans="1:2">
      <c r="A503" s="7">
        <v>32174</v>
      </c>
      <c r="B503" s="8">
        <v>106.3</v>
      </c>
    </row>
    <row r="504" spans="1:2">
      <c r="A504" s="7">
        <v>32203</v>
      </c>
      <c r="B504" s="8">
        <v>106.6</v>
      </c>
    </row>
    <row r="505" spans="1:2">
      <c r="A505" s="7">
        <v>32234</v>
      </c>
      <c r="B505" s="8">
        <v>107</v>
      </c>
    </row>
    <row r="506" spans="1:2">
      <c r="A506" s="7">
        <v>32264</v>
      </c>
      <c r="B506" s="8">
        <v>107.2</v>
      </c>
    </row>
    <row r="507" spans="1:2">
      <c r="A507" s="7">
        <v>32295</v>
      </c>
      <c r="B507" s="8">
        <v>107.5</v>
      </c>
    </row>
    <row r="508" spans="1:2">
      <c r="A508" s="7">
        <v>32325</v>
      </c>
      <c r="B508" s="8">
        <v>108.4</v>
      </c>
    </row>
    <row r="509" spans="1:2">
      <c r="A509" s="7">
        <v>32356</v>
      </c>
      <c r="B509" s="8">
        <v>108.8</v>
      </c>
    </row>
    <row r="510" spans="1:2">
      <c r="A510" s="7">
        <v>32387</v>
      </c>
      <c r="B510" s="8">
        <v>109</v>
      </c>
    </row>
    <row r="511" spans="1:2">
      <c r="A511" s="7">
        <v>32417</v>
      </c>
      <c r="B511" s="8">
        <v>109.2</v>
      </c>
    </row>
    <row r="512" spans="1:2">
      <c r="A512" s="7">
        <v>32448</v>
      </c>
      <c r="B512" s="8">
        <v>109.6</v>
      </c>
    </row>
    <row r="513" spans="1:2">
      <c r="A513" s="7">
        <v>32478</v>
      </c>
      <c r="B513" s="8">
        <v>110</v>
      </c>
    </row>
    <row r="514" spans="1:2">
      <c r="A514" s="7">
        <v>32509</v>
      </c>
      <c r="B514" s="8">
        <v>111.1</v>
      </c>
    </row>
    <row r="515" spans="1:2">
      <c r="A515" s="7">
        <v>32540</v>
      </c>
      <c r="B515" s="8">
        <v>111.9</v>
      </c>
    </row>
    <row r="516" spans="1:2">
      <c r="A516" s="7">
        <v>32568</v>
      </c>
      <c r="B516" s="8">
        <v>112.3</v>
      </c>
    </row>
    <row r="517" spans="1:2">
      <c r="A517" s="7">
        <v>32599</v>
      </c>
      <c r="B517" s="8">
        <v>113.1</v>
      </c>
    </row>
    <row r="518" spans="1:2">
      <c r="A518" s="7">
        <v>32629</v>
      </c>
      <c r="B518" s="8">
        <v>114</v>
      </c>
    </row>
    <row r="519" spans="1:2">
      <c r="A519" s="7">
        <v>32660</v>
      </c>
      <c r="B519" s="8">
        <v>114</v>
      </c>
    </row>
    <row r="520" spans="1:2">
      <c r="A520" s="7">
        <v>32690</v>
      </c>
      <c r="B520" s="8">
        <v>113.8</v>
      </c>
    </row>
    <row r="521" spans="1:2">
      <c r="A521" s="7">
        <v>32721</v>
      </c>
      <c r="B521" s="8">
        <v>113.4</v>
      </c>
    </row>
    <row r="522" spans="1:2">
      <c r="A522" s="7">
        <v>32752</v>
      </c>
      <c r="B522" s="8">
        <v>114</v>
      </c>
    </row>
    <row r="523" spans="1:2">
      <c r="A523" s="7">
        <v>32782</v>
      </c>
      <c r="B523" s="8">
        <v>114.6</v>
      </c>
    </row>
    <row r="524" spans="1:2">
      <c r="A524" s="7">
        <v>32813</v>
      </c>
      <c r="B524" s="8">
        <v>114.8</v>
      </c>
    </row>
    <row r="525" spans="1:2">
      <c r="A525" s="7">
        <v>32843</v>
      </c>
      <c r="B525" s="8">
        <v>115.5</v>
      </c>
    </row>
    <row r="526" spans="1:2">
      <c r="A526" s="7">
        <v>32874</v>
      </c>
      <c r="B526" s="8">
        <v>117.7</v>
      </c>
    </row>
    <row r="527" spans="1:2">
      <c r="A527" s="7">
        <v>32905</v>
      </c>
      <c r="B527" s="8">
        <v>117.6</v>
      </c>
    </row>
    <row r="528" spans="1:2">
      <c r="A528" s="7">
        <v>32933</v>
      </c>
      <c r="B528" s="8">
        <v>117.5</v>
      </c>
    </row>
    <row r="529" spans="1:2">
      <c r="A529" s="7">
        <v>32964</v>
      </c>
      <c r="B529" s="8">
        <v>117.4</v>
      </c>
    </row>
    <row r="530" spans="1:2">
      <c r="A530" s="7">
        <v>32994</v>
      </c>
      <c r="B530" s="8">
        <v>117.5</v>
      </c>
    </row>
    <row r="531" spans="1:2">
      <c r="A531" s="7">
        <v>33025</v>
      </c>
      <c r="B531" s="8">
        <v>117.6</v>
      </c>
    </row>
    <row r="532" spans="1:2">
      <c r="A532" s="7">
        <v>33055</v>
      </c>
      <c r="B532" s="8">
        <v>117.9</v>
      </c>
    </row>
    <row r="533" spans="1:2">
      <c r="A533" s="7">
        <v>33086</v>
      </c>
      <c r="B533" s="8">
        <v>119.2</v>
      </c>
    </row>
    <row r="534" spans="1:2">
      <c r="A534" s="7">
        <v>33117</v>
      </c>
      <c r="B534" s="8">
        <v>120.7</v>
      </c>
    </row>
    <row r="535" spans="1:2">
      <c r="A535" s="7">
        <v>33147</v>
      </c>
      <c r="B535" s="8">
        <v>121.9</v>
      </c>
    </row>
    <row r="536" spans="1:2">
      <c r="A536" s="7">
        <v>33178</v>
      </c>
      <c r="B536" s="8">
        <v>122.6</v>
      </c>
    </row>
    <row r="537" spans="1:2">
      <c r="A537" s="7">
        <v>33208</v>
      </c>
      <c r="B537" s="8">
        <v>122</v>
      </c>
    </row>
    <row r="538" spans="1:2">
      <c r="A538" s="7">
        <v>33239</v>
      </c>
      <c r="B538" s="8">
        <v>122.6</v>
      </c>
    </row>
    <row r="539" spans="1:2">
      <c r="A539" s="7">
        <v>33270</v>
      </c>
      <c r="B539" s="8">
        <v>121.8</v>
      </c>
    </row>
    <row r="540" spans="1:2">
      <c r="A540" s="7">
        <v>33298</v>
      </c>
      <c r="B540" s="8">
        <v>121.3</v>
      </c>
    </row>
    <row r="541" spans="1:2">
      <c r="A541" s="7">
        <v>33329</v>
      </c>
      <c r="B541" s="8">
        <v>121.3</v>
      </c>
    </row>
    <row r="542" spans="1:2">
      <c r="A542" s="7">
        <v>33359</v>
      </c>
      <c r="B542" s="8">
        <v>121.6</v>
      </c>
    </row>
    <row r="543" spans="1:2">
      <c r="A543" s="7">
        <v>33390</v>
      </c>
      <c r="B543" s="8">
        <v>121.4</v>
      </c>
    </row>
    <row r="544" spans="1:2">
      <c r="A544" s="7">
        <v>33420</v>
      </c>
      <c r="B544" s="8">
        <v>121.1</v>
      </c>
    </row>
    <row r="545" spans="1:2">
      <c r="A545" s="7">
        <v>33451</v>
      </c>
      <c r="B545" s="8">
        <v>121.3</v>
      </c>
    </row>
    <row r="546" spans="1:2">
      <c r="A546" s="7">
        <v>33482</v>
      </c>
      <c r="B546" s="8">
        <v>121.5</v>
      </c>
    </row>
    <row r="547" spans="1:2">
      <c r="A547" s="7">
        <v>33512</v>
      </c>
      <c r="B547" s="8">
        <v>121.9</v>
      </c>
    </row>
    <row r="548" spans="1:2">
      <c r="A548" s="7">
        <v>33543</v>
      </c>
      <c r="B548" s="8">
        <v>122.4</v>
      </c>
    </row>
    <row r="549" spans="1:2">
      <c r="A549" s="7">
        <v>33573</v>
      </c>
      <c r="B549" s="8">
        <v>122.3</v>
      </c>
    </row>
    <row r="550" spans="1:2">
      <c r="A550" s="7">
        <v>33604</v>
      </c>
      <c r="B550" s="8">
        <v>122</v>
      </c>
    </row>
    <row r="551" spans="1:2">
      <c r="A551" s="7">
        <v>33635</v>
      </c>
      <c r="B551" s="8">
        <v>122.3</v>
      </c>
    </row>
    <row r="552" spans="1:2">
      <c r="A552" s="7">
        <v>33664</v>
      </c>
      <c r="B552" s="8">
        <v>122.4</v>
      </c>
    </row>
    <row r="553" spans="1:2">
      <c r="A553" s="7">
        <v>33695</v>
      </c>
      <c r="B553" s="8">
        <v>122.5</v>
      </c>
    </row>
    <row r="554" spans="1:2">
      <c r="A554" s="7">
        <v>33725</v>
      </c>
      <c r="B554" s="8">
        <v>122.9</v>
      </c>
    </row>
    <row r="555" spans="1:2">
      <c r="A555" s="7">
        <v>33756</v>
      </c>
      <c r="B555" s="8">
        <v>123.4</v>
      </c>
    </row>
    <row r="556" spans="1:2">
      <c r="A556" s="7">
        <v>33786</v>
      </c>
      <c r="B556" s="8">
        <v>123.3</v>
      </c>
    </row>
    <row r="557" spans="1:2">
      <c r="A557" s="7">
        <v>33817</v>
      </c>
      <c r="B557" s="8">
        <v>123.4</v>
      </c>
    </row>
    <row r="558" spans="1:2">
      <c r="A558" s="7">
        <v>33848</v>
      </c>
      <c r="B558" s="8">
        <v>123.7</v>
      </c>
    </row>
    <row r="559" spans="1:2">
      <c r="A559" s="7">
        <v>33878</v>
      </c>
      <c r="B559" s="8">
        <v>124.2</v>
      </c>
    </row>
    <row r="560" spans="1:2">
      <c r="A560" s="7">
        <v>33909</v>
      </c>
      <c r="B560" s="8">
        <v>124.1</v>
      </c>
    </row>
    <row r="561" spans="1:2">
      <c r="A561" s="7">
        <v>33939</v>
      </c>
      <c r="B561" s="8">
        <v>124.2</v>
      </c>
    </row>
    <row r="562" spans="1:2">
      <c r="A562" s="7">
        <v>33970</v>
      </c>
      <c r="B562" s="8">
        <v>124.4</v>
      </c>
    </row>
    <row r="563" spans="1:2">
      <c r="A563" s="7">
        <v>34001</v>
      </c>
      <c r="B563" s="8">
        <v>124.7</v>
      </c>
    </row>
    <row r="564" spans="1:2">
      <c r="A564" s="7">
        <v>34029</v>
      </c>
      <c r="B564" s="8">
        <v>125</v>
      </c>
    </row>
    <row r="565" spans="1:2">
      <c r="A565" s="7">
        <v>34060</v>
      </c>
      <c r="B565" s="8">
        <v>125.7</v>
      </c>
    </row>
    <row r="566" spans="1:2">
      <c r="A566" s="7">
        <v>34090</v>
      </c>
      <c r="B566" s="8">
        <v>125.7</v>
      </c>
    </row>
    <row r="567" spans="1:2">
      <c r="A567" s="7">
        <v>34121</v>
      </c>
      <c r="B567" s="8">
        <v>125.2</v>
      </c>
    </row>
    <row r="568" spans="1:2">
      <c r="A568" s="7">
        <v>34151</v>
      </c>
      <c r="B568" s="8">
        <v>125.1</v>
      </c>
    </row>
    <row r="569" spans="1:2">
      <c r="A569" s="7">
        <v>34182</v>
      </c>
      <c r="B569" s="8">
        <v>123.9</v>
      </c>
    </row>
    <row r="570" spans="1:2">
      <c r="A570" s="7">
        <v>34213</v>
      </c>
      <c r="B570" s="8">
        <v>124.1</v>
      </c>
    </row>
    <row r="571" spans="1:2">
      <c r="A571" s="7">
        <v>34243</v>
      </c>
      <c r="B571" s="8">
        <v>124.2</v>
      </c>
    </row>
    <row r="572" spans="1:2">
      <c r="A572" s="7">
        <v>34274</v>
      </c>
      <c r="B572" s="8">
        <v>124.4</v>
      </c>
    </row>
    <row r="573" spans="1:2">
      <c r="A573" s="7">
        <v>34304</v>
      </c>
      <c r="B573" s="8">
        <v>124.4</v>
      </c>
    </row>
    <row r="574" spans="1:2">
      <c r="A574" s="7">
        <v>34335</v>
      </c>
      <c r="B574" s="8">
        <v>124.8</v>
      </c>
    </row>
    <row r="575" spans="1:2">
      <c r="A575" s="7">
        <v>34366</v>
      </c>
      <c r="B575" s="8">
        <v>125</v>
      </c>
    </row>
    <row r="576" spans="1:2">
      <c r="A576" s="7">
        <v>34394</v>
      </c>
      <c r="B576" s="8">
        <v>125.1</v>
      </c>
    </row>
    <row r="577" spans="1:2">
      <c r="A577" s="7">
        <v>34425</v>
      </c>
      <c r="B577" s="8">
        <v>125.1</v>
      </c>
    </row>
    <row r="578" spans="1:2">
      <c r="A578" s="7">
        <v>34455</v>
      </c>
      <c r="B578" s="8">
        <v>125.1</v>
      </c>
    </row>
    <row r="579" spans="1:2">
      <c r="A579" s="7">
        <v>34486</v>
      </c>
      <c r="B579" s="8">
        <v>125.2</v>
      </c>
    </row>
    <row r="580" spans="1:2">
      <c r="A580" s="7">
        <v>34516</v>
      </c>
      <c r="B580" s="8">
        <v>125.7</v>
      </c>
    </row>
    <row r="581" spans="1:2">
      <c r="A581" s="7">
        <v>34547</v>
      </c>
      <c r="B581" s="8">
        <v>126.2</v>
      </c>
    </row>
    <row r="582" spans="1:2">
      <c r="A582" s="7">
        <v>34578</v>
      </c>
      <c r="B582" s="8">
        <v>125.9</v>
      </c>
    </row>
    <row r="583" spans="1:2">
      <c r="A583" s="7">
        <v>34608</v>
      </c>
      <c r="B583" s="8">
        <v>125.5</v>
      </c>
    </row>
    <row r="584" spans="1:2">
      <c r="A584" s="7">
        <v>34639</v>
      </c>
      <c r="B584" s="8">
        <v>126.1</v>
      </c>
    </row>
    <row r="585" spans="1:2">
      <c r="A585" s="7">
        <v>34669</v>
      </c>
      <c r="B585" s="8">
        <v>126.6</v>
      </c>
    </row>
    <row r="586" spans="1:2">
      <c r="A586" s="7">
        <v>34700</v>
      </c>
      <c r="B586" s="8">
        <v>126.9</v>
      </c>
    </row>
    <row r="587" spans="1:2">
      <c r="A587" s="7">
        <v>34731</v>
      </c>
      <c r="B587" s="8">
        <v>127.2</v>
      </c>
    </row>
    <row r="588" spans="1:2">
      <c r="A588" s="7">
        <v>34759</v>
      </c>
      <c r="B588" s="8">
        <v>127.4</v>
      </c>
    </row>
    <row r="589" spans="1:2">
      <c r="A589" s="7">
        <v>34790</v>
      </c>
      <c r="B589" s="8">
        <v>127.7</v>
      </c>
    </row>
    <row r="590" spans="1:2">
      <c r="A590" s="7">
        <v>34820</v>
      </c>
      <c r="B590" s="8">
        <v>127.8</v>
      </c>
    </row>
    <row r="591" spans="1:2">
      <c r="A591" s="7">
        <v>34851</v>
      </c>
      <c r="B591" s="8">
        <v>127.8</v>
      </c>
    </row>
    <row r="592" spans="1:2">
      <c r="A592" s="7">
        <v>34881</v>
      </c>
      <c r="B592" s="8">
        <v>128</v>
      </c>
    </row>
    <row r="593" spans="1:2">
      <c r="A593" s="7">
        <v>34912</v>
      </c>
      <c r="B593" s="8">
        <v>127.9</v>
      </c>
    </row>
    <row r="594" spans="1:2">
      <c r="A594" s="7">
        <v>34943</v>
      </c>
      <c r="B594" s="8">
        <v>128.1</v>
      </c>
    </row>
    <row r="595" spans="1:2">
      <c r="A595" s="7">
        <v>34973</v>
      </c>
      <c r="B595" s="8">
        <v>128.4</v>
      </c>
    </row>
    <row r="596" spans="1:2">
      <c r="A596" s="7">
        <v>35004</v>
      </c>
      <c r="B596" s="8">
        <v>128.69999999999999</v>
      </c>
    </row>
    <row r="597" spans="1:2">
      <c r="A597" s="7">
        <v>35034</v>
      </c>
      <c r="B597" s="8">
        <v>129.30000000000001</v>
      </c>
    </row>
    <row r="598" spans="1:2">
      <c r="A598" s="7">
        <v>35065</v>
      </c>
      <c r="B598" s="8">
        <v>129.69999999999999</v>
      </c>
    </row>
    <row r="599" spans="1:2">
      <c r="A599" s="7">
        <v>35096</v>
      </c>
      <c r="B599" s="8">
        <v>129.69999999999999</v>
      </c>
    </row>
    <row r="600" spans="1:2">
      <c r="A600" s="7">
        <v>35125</v>
      </c>
      <c r="B600" s="8">
        <v>130.5</v>
      </c>
    </row>
    <row r="601" spans="1:2">
      <c r="A601" s="7">
        <v>35156</v>
      </c>
      <c r="B601" s="8">
        <v>130.9</v>
      </c>
    </row>
    <row r="602" spans="1:2">
      <c r="A602" s="7">
        <v>35186</v>
      </c>
      <c r="B602" s="8">
        <v>130.9</v>
      </c>
    </row>
    <row r="603" spans="1:2">
      <c r="A603" s="7">
        <v>35217</v>
      </c>
      <c r="B603" s="8">
        <v>131.30000000000001</v>
      </c>
    </row>
    <row r="604" spans="1:2">
      <c r="A604" s="7">
        <v>35247</v>
      </c>
      <c r="B604" s="8">
        <v>131.19999999999999</v>
      </c>
    </row>
    <row r="605" spans="1:2">
      <c r="A605" s="7">
        <v>35278</v>
      </c>
      <c r="B605" s="8">
        <v>131.6</v>
      </c>
    </row>
    <row r="606" spans="1:2">
      <c r="A606" s="7">
        <v>35309</v>
      </c>
      <c r="B606" s="8">
        <v>131.69999999999999</v>
      </c>
    </row>
    <row r="607" spans="1:2">
      <c r="A607" s="7">
        <v>35339</v>
      </c>
      <c r="B607" s="8">
        <v>132.4</v>
      </c>
    </row>
    <row r="608" spans="1:2">
      <c r="A608" s="7">
        <v>35370</v>
      </c>
      <c r="B608" s="8">
        <v>132.5</v>
      </c>
    </row>
    <row r="609" spans="1:2">
      <c r="A609" s="7">
        <v>35400</v>
      </c>
      <c r="B609" s="8">
        <v>132.9</v>
      </c>
    </row>
    <row r="610" spans="1:2">
      <c r="A610" s="7">
        <v>35431</v>
      </c>
      <c r="B610" s="8">
        <v>133</v>
      </c>
    </row>
    <row r="611" spans="1:2">
      <c r="A611" s="7">
        <v>35462</v>
      </c>
      <c r="B611" s="8">
        <v>132.69999999999999</v>
      </c>
    </row>
    <row r="612" spans="1:2">
      <c r="A612" s="7">
        <v>35490</v>
      </c>
      <c r="B612" s="8">
        <v>132.6</v>
      </c>
    </row>
    <row r="613" spans="1:2">
      <c r="A613" s="7">
        <v>35521</v>
      </c>
      <c r="B613" s="8">
        <v>131.80000000000001</v>
      </c>
    </row>
    <row r="614" spans="1:2">
      <c r="A614" s="7">
        <v>35551</v>
      </c>
      <c r="B614" s="8">
        <v>131.5</v>
      </c>
    </row>
    <row r="615" spans="1:2">
      <c r="A615" s="7">
        <v>35582</v>
      </c>
      <c r="B615" s="8">
        <v>131.30000000000001</v>
      </c>
    </row>
    <row r="616" spans="1:2">
      <c r="A616" s="7">
        <v>35612</v>
      </c>
      <c r="B616" s="8">
        <v>130.9</v>
      </c>
    </row>
    <row r="617" spans="1:2">
      <c r="A617" s="7">
        <v>35643</v>
      </c>
      <c r="B617" s="8">
        <v>131.4</v>
      </c>
    </row>
    <row r="618" spans="1:2">
      <c r="A618" s="7">
        <v>35674</v>
      </c>
      <c r="B618" s="8">
        <v>131.6</v>
      </c>
    </row>
    <row r="619" spans="1:2">
      <c r="A619" s="7">
        <v>35704</v>
      </c>
      <c r="B619" s="8">
        <v>131.9</v>
      </c>
    </row>
    <row r="620" spans="1:2">
      <c r="A620" s="7">
        <v>35735</v>
      </c>
      <c r="B620" s="8">
        <v>131.6</v>
      </c>
    </row>
    <row r="621" spans="1:2">
      <c r="A621" s="7">
        <v>35765</v>
      </c>
      <c r="B621" s="8">
        <v>131.4</v>
      </c>
    </row>
    <row r="622" spans="1:2">
      <c r="A622" s="7">
        <v>35796</v>
      </c>
      <c r="B622" s="8">
        <v>130.69999999999999</v>
      </c>
    </row>
    <row r="623" spans="1:2">
      <c r="A623" s="7">
        <v>35827</v>
      </c>
      <c r="B623" s="8">
        <v>130.6</v>
      </c>
    </row>
    <row r="624" spans="1:2">
      <c r="A624" s="7">
        <v>35855</v>
      </c>
      <c r="B624" s="8">
        <v>130.5</v>
      </c>
    </row>
    <row r="625" spans="1:8">
      <c r="A625" s="7">
        <v>35886</v>
      </c>
      <c r="B625" s="8">
        <v>130.69999999999999</v>
      </c>
    </row>
    <row r="626" spans="1:8">
      <c r="A626" s="7">
        <v>35916</v>
      </c>
      <c r="B626" s="8">
        <v>130.5</v>
      </c>
    </row>
    <row r="627" spans="1:8">
      <c r="A627" s="7">
        <v>35947</v>
      </c>
      <c r="B627" s="8">
        <v>130.4</v>
      </c>
    </row>
    <row r="628" spans="1:8">
      <c r="A628" s="7">
        <v>35977</v>
      </c>
      <c r="B628" s="8">
        <v>130.69999999999999</v>
      </c>
    </row>
    <row r="629" spans="1:8">
      <c r="A629" s="7">
        <v>36008</v>
      </c>
      <c r="B629" s="8">
        <v>130.4</v>
      </c>
    </row>
    <row r="630" spans="1:8">
      <c r="A630" s="7">
        <v>36039</v>
      </c>
      <c r="B630" s="8">
        <v>130.4</v>
      </c>
    </row>
    <row r="631" spans="1:8">
      <c r="A631" s="7">
        <v>36069</v>
      </c>
      <c r="B631" s="8">
        <v>130.9</v>
      </c>
    </row>
    <row r="632" spans="1:8">
      <c r="A632" s="7">
        <v>36100</v>
      </c>
      <c r="B632" s="8">
        <v>130.80000000000001</v>
      </c>
    </row>
    <row r="633" spans="1:8">
      <c r="A633" s="7">
        <v>36130</v>
      </c>
      <c r="B633" s="8">
        <v>131.30000000000001</v>
      </c>
    </row>
    <row r="634" spans="1:8">
      <c r="A634" s="7">
        <v>36161</v>
      </c>
      <c r="B634" s="8">
        <v>131.69999999999999</v>
      </c>
    </row>
    <row r="635" spans="1:8">
      <c r="A635" s="7">
        <v>36192</v>
      </c>
      <c r="B635" s="8">
        <v>131.19999999999999</v>
      </c>
    </row>
    <row r="636" spans="1:8">
      <c r="A636" s="7">
        <v>36220</v>
      </c>
      <c r="B636" s="8">
        <v>131.5</v>
      </c>
    </row>
    <row r="637" spans="1:8">
      <c r="A637" s="7">
        <v>36251</v>
      </c>
      <c r="B637" s="8">
        <v>132.1</v>
      </c>
    </row>
    <row r="638" spans="1:8">
      <c r="A638" s="7">
        <v>36281</v>
      </c>
      <c r="B638" s="8">
        <v>132.30000000000001</v>
      </c>
    </row>
    <row r="639" spans="1:8">
      <c r="A639" s="7">
        <v>36312</v>
      </c>
      <c r="B639" s="8">
        <v>132.4</v>
      </c>
      <c r="E639" t="s">
        <v>47</v>
      </c>
      <c r="F639" t="s">
        <v>48</v>
      </c>
      <c r="G639" t="s">
        <v>49</v>
      </c>
      <c r="H639" t="s">
        <v>50</v>
      </c>
    </row>
    <row r="640" spans="1:8">
      <c r="A640" s="7">
        <v>36342</v>
      </c>
      <c r="B640" s="8">
        <v>132.69999999999999</v>
      </c>
    </row>
    <row r="641" spans="1:8">
      <c r="A641" s="7">
        <v>36373</v>
      </c>
      <c r="B641" s="8">
        <v>133.5</v>
      </c>
      <c r="D641">
        <f>B804/B641</f>
        <v>1.4696629213483146</v>
      </c>
      <c r="E641">
        <v>252</v>
      </c>
      <c r="F641">
        <v>270</v>
      </c>
      <c r="G641">
        <f>E641*75%</f>
        <v>189</v>
      </c>
      <c r="H641">
        <f>G641*1.3</f>
        <v>245.70000000000002</v>
      </c>
    </row>
    <row r="642" spans="1:8">
      <c r="A642" s="7">
        <v>36404</v>
      </c>
      <c r="B642" s="8">
        <v>134.5</v>
      </c>
      <c r="E642">
        <f>E641*$D641</f>
        <v>370.35505617977526</v>
      </c>
      <c r="F642">
        <f>F641*$D641</f>
        <v>396.80898876404495</v>
      </c>
      <c r="G642">
        <f>G641*$D641</f>
        <v>277.76629213483147</v>
      </c>
      <c r="H642">
        <f>H641*$D641</f>
        <v>361.09617977528092</v>
      </c>
    </row>
    <row r="643" spans="1:8">
      <c r="A643" s="7">
        <v>36434</v>
      </c>
      <c r="B643" s="8">
        <v>134.4</v>
      </c>
    </row>
    <row r="644" spans="1:8">
      <c r="A644" s="7">
        <v>36465</v>
      </c>
      <c r="B644" s="8">
        <v>134.9</v>
      </c>
    </row>
    <row r="645" spans="1:8">
      <c r="A645" s="7">
        <v>36495</v>
      </c>
      <c r="B645" s="8">
        <v>135.19999999999999</v>
      </c>
    </row>
    <row r="646" spans="1:8">
      <c r="A646" s="7">
        <v>36526</v>
      </c>
      <c r="B646" s="8">
        <v>135.19999999999999</v>
      </c>
      <c r="G646">
        <f>(E641-G641)/G641</f>
        <v>0.33333333333333331</v>
      </c>
    </row>
    <row r="647" spans="1:8">
      <c r="A647" s="7">
        <v>36557</v>
      </c>
      <c r="B647" s="8">
        <v>136.6</v>
      </c>
    </row>
    <row r="648" spans="1:8">
      <c r="A648" s="7">
        <v>36586</v>
      </c>
      <c r="B648" s="8">
        <v>137.30000000000001</v>
      </c>
    </row>
    <row r="649" spans="1:8">
      <c r="A649" s="7">
        <v>36617</v>
      </c>
      <c r="B649" s="8">
        <v>136.9</v>
      </c>
    </row>
    <row r="650" spans="1:8">
      <c r="A650" s="7">
        <v>36647</v>
      </c>
      <c r="B650" s="8">
        <v>137</v>
      </c>
    </row>
    <row r="651" spans="1:8">
      <c r="A651" s="7">
        <v>36678</v>
      </c>
      <c r="B651" s="8">
        <v>138.1</v>
      </c>
    </row>
    <row r="652" spans="1:8">
      <c r="A652" s="7">
        <v>36708</v>
      </c>
      <c r="B652" s="8">
        <v>138.19999999999999</v>
      </c>
    </row>
    <row r="653" spans="1:8">
      <c r="A653" s="7">
        <v>36739</v>
      </c>
      <c r="B653" s="8">
        <v>137.9</v>
      </c>
    </row>
    <row r="654" spans="1:8">
      <c r="A654" s="7">
        <v>36770</v>
      </c>
      <c r="B654" s="8">
        <v>139</v>
      </c>
    </row>
    <row r="655" spans="1:8">
      <c r="A655" s="7">
        <v>36800</v>
      </c>
      <c r="B655" s="8">
        <v>139.5</v>
      </c>
    </row>
    <row r="656" spans="1:8">
      <c r="A656" s="7">
        <v>36831</v>
      </c>
      <c r="B656" s="8">
        <v>140.19999999999999</v>
      </c>
    </row>
    <row r="657" spans="1:2">
      <c r="A657" s="7">
        <v>36861</v>
      </c>
      <c r="B657" s="8">
        <v>140.5</v>
      </c>
    </row>
    <row r="658" spans="1:2">
      <c r="A658" s="7">
        <v>36892</v>
      </c>
      <c r="B658" s="8">
        <v>141.69999999999999</v>
      </c>
    </row>
    <row r="659" spans="1:2">
      <c r="A659" s="7">
        <v>36923</v>
      </c>
      <c r="B659" s="8">
        <v>141.9</v>
      </c>
    </row>
    <row r="660" spans="1:2">
      <c r="A660" s="7">
        <v>36951</v>
      </c>
      <c r="B660" s="8">
        <v>141.19999999999999</v>
      </c>
    </row>
    <row r="661" spans="1:2">
      <c r="A661" s="7">
        <v>36982</v>
      </c>
      <c r="B661" s="8">
        <v>142</v>
      </c>
    </row>
    <row r="662" spans="1:2">
      <c r="A662" s="7">
        <v>37012</v>
      </c>
      <c r="B662" s="8">
        <v>142.30000000000001</v>
      </c>
    </row>
    <row r="663" spans="1:2">
      <c r="A663" s="7">
        <v>37043</v>
      </c>
      <c r="B663" s="8">
        <v>141.80000000000001</v>
      </c>
    </row>
    <row r="664" spans="1:2">
      <c r="A664" s="7">
        <v>37073</v>
      </c>
      <c r="B664" s="8">
        <v>140.1</v>
      </c>
    </row>
    <row r="665" spans="1:2">
      <c r="A665" s="7">
        <v>37104</v>
      </c>
      <c r="B665" s="8">
        <v>140.69999999999999</v>
      </c>
    </row>
    <row r="666" spans="1:2">
      <c r="A666" s="7">
        <v>37135</v>
      </c>
      <c r="B666" s="8">
        <v>141.30000000000001</v>
      </c>
    </row>
    <row r="667" spans="1:2">
      <c r="A667" s="7">
        <v>37165</v>
      </c>
      <c r="B667" s="8">
        <v>139</v>
      </c>
    </row>
    <row r="668" spans="1:2">
      <c r="A668" s="7">
        <v>37196</v>
      </c>
      <c r="B668" s="8">
        <v>138.5</v>
      </c>
    </row>
    <row r="669" spans="1:2">
      <c r="A669" s="7">
        <v>37226</v>
      </c>
      <c r="B669" s="8">
        <v>138</v>
      </c>
    </row>
    <row r="670" spans="1:2">
      <c r="A670" s="7">
        <v>37257</v>
      </c>
      <c r="B670" s="8">
        <v>137.69999999999999</v>
      </c>
    </row>
    <row r="671" spans="1:2">
      <c r="A671" s="7">
        <v>37288</v>
      </c>
      <c r="B671" s="8">
        <v>138</v>
      </c>
    </row>
    <row r="672" spans="1:2">
      <c r="A672" s="7">
        <v>37316</v>
      </c>
      <c r="B672" s="8">
        <v>138.80000000000001</v>
      </c>
    </row>
    <row r="673" spans="1:2">
      <c r="A673" s="7">
        <v>37347</v>
      </c>
      <c r="B673" s="8">
        <v>138.69999999999999</v>
      </c>
    </row>
    <row r="674" spans="1:2">
      <c r="A674" s="7">
        <v>37377</v>
      </c>
      <c r="B674" s="8">
        <v>138.4</v>
      </c>
    </row>
    <row r="675" spans="1:2">
      <c r="A675" s="7">
        <v>37408</v>
      </c>
      <c r="B675" s="8">
        <v>138.80000000000001</v>
      </c>
    </row>
    <row r="676" spans="1:2">
      <c r="A676" s="7">
        <v>37438</v>
      </c>
      <c r="B676" s="8">
        <v>138.6</v>
      </c>
    </row>
    <row r="677" spans="1:2">
      <c r="A677" s="7">
        <v>37469</v>
      </c>
      <c r="B677" s="8">
        <v>138.69999999999999</v>
      </c>
    </row>
    <row r="678" spans="1:2">
      <c r="A678" s="7">
        <v>37500</v>
      </c>
      <c r="B678" s="8">
        <v>139.19999999999999</v>
      </c>
    </row>
    <row r="679" spans="1:2">
      <c r="A679" s="7">
        <v>37530</v>
      </c>
      <c r="B679" s="8">
        <v>140</v>
      </c>
    </row>
    <row r="680" spans="1:2">
      <c r="A680" s="7">
        <v>37561</v>
      </c>
      <c r="B680" s="8">
        <v>140</v>
      </c>
    </row>
    <row r="681" spans="1:2">
      <c r="A681" s="7">
        <v>37591</v>
      </c>
      <c r="B681" s="8">
        <v>139.69999999999999</v>
      </c>
    </row>
    <row r="682" spans="1:2">
      <c r="A682" s="7">
        <v>37622</v>
      </c>
      <c r="B682" s="8">
        <v>141.1</v>
      </c>
    </row>
    <row r="683" spans="1:2">
      <c r="A683" s="7">
        <v>37653</v>
      </c>
      <c r="B683" s="8">
        <v>142.69999999999999</v>
      </c>
    </row>
    <row r="684" spans="1:2">
      <c r="A684" s="7">
        <v>37681</v>
      </c>
      <c r="B684" s="8">
        <v>144</v>
      </c>
    </row>
    <row r="685" spans="1:2">
      <c r="A685" s="7">
        <v>37712</v>
      </c>
      <c r="B685" s="8">
        <v>142.19999999999999</v>
      </c>
    </row>
    <row r="686" spans="1:2">
      <c r="A686" s="7">
        <v>37742</v>
      </c>
      <c r="B686" s="8">
        <v>141.9</v>
      </c>
    </row>
    <row r="687" spans="1:2">
      <c r="A687" s="7">
        <v>37773</v>
      </c>
      <c r="B687" s="8">
        <v>142.69999999999999</v>
      </c>
    </row>
    <row r="688" spans="1:2">
      <c r="A688" s="7">
        <v>37803</v>
      </c>
      <c r="B688" s="8">
        <v>142.80000000000001</v>
      </c>
    </row>
    <row r="689" spans="1:2">
      <c r="A689" s="7">
        <v>37834</v>
      </c>
      <c r="B689" s="8">
        <v>143.69999999999999</v>
      </c>
    </row>
    <row r="690" spans="1:2">
      <c r="A690" s="7">
        <v>37865</v>
      </c>
      <c r="B690" s="8">
        <v>144</v>
      </c>
    </row>
    <row r="691" spans="1:2">
      <c r="A691" s="7">
        <v>37895</v>
      </c>
      <c r="B691" s="8">
        <v>144.80000000000001</v>
      </c>
    </row>
    <row r="692" spans="1:2">
      <c r="A692" s="7">
        <v>37926</v>
      </c>
      <c r="B692" s="8">
        <v>144.6</v>
      </c>
    </row>
    <row r="693" spans="1:2">
      <c r="A693" s="7">
        <v>37956</v>
      </c>
      <c r="B693" s="8">
        <v>145.1</v>
      </c>
    </row>
    <row r="694" spans="1:2">
      <c r="A694" s="7">
        <v>37987</v>
      </c>
      <c r="B694" s="8">
        <v>145.9</v>
      </c>
    </row>
    <row r="695" spans="1:2">
      <c r="A695" s="7">
        <v>38018</v>
      </c>
      <c r="B695" s="8">
        <v>145.80000000000001</v>
      </c>
    </row>
    <row r="696" spans="1:2">
      <c r="A696" s="7">
        <v>38047</v>
      </c>
      <c r="B696" s="8">
        <v>146.19999999999999</v>
      </c>
    </row>
    <row r="697" spans="1:2">
      <c r="A697" s="7">
        <v>38078</v>
      </c>
      <c r="B697" s="8">
        <v>147.19999999999999</v>
      </c>
    </row>
    <row r="698" spans="1:2">
      <c r="A698" s="7">
        <v>38108</v>
      </c>
      <c r="B698" s="8">
        <v>148.4</v>
      </c>
    </row>
    <row r="699" spans="1:2">
      <c r="A699" s="7">
        <v>38139</v>
      </c>
      <c r="B699" s="8">
        <v>148.4</v>
      </c>
    </row>
    <row r="700" spans="1:2">
      <c r="A700" s="7">
        <v>38169</v>
      </c>
      <c r="B700" s="8">
        <v>148.19999999999999</v>
      </c>
    </row>
    <row r="701" spans="1:2">
      <c r="A701" s="7">
        <v>38200</v>
      </c>
      <c r="B701" s="8">
        <v>148.6</v>
      </c>
    </row>
    <row r="702" spans="1:2">
      <c r="A702" s="7">
        <v>38231</v>
      </c>
      <c r="B702" s="8">
        <v>148.80000000000001</v>
      </c>
    </row>
    <row r="703" spans="1:2">
      <c r="A703" s="7">
        <v>38261</v>
      </c>
      <c r="B703" s="8">
        <v>151.19999999999999</v>
      </c>
    </row>
    <row r="704" spans="1:2">
      <c r="A704" s="7">
        <v>38292</v>
      </c>
      <c r="B704" s="8">
        <v>152.1</v>
      </c>
    </row>
    <row r="705" spans="1:2">
      <c r="A705" s="7">
        <v>38322</v>
      </c>
      <c r="B705" s="8">
        <v>151.4</v>
      </c>
    </row>
    <row r="706" spans="1:2">
      <c r="A706" s="7">
        <v>38353</v>
      </c>
      <c r="B706" s="8">
        <v>151.9</v>
      </c>
    </row>
    <row r="707" spans="1:2">
      <c r="A707" s="7">
        <v>38384</v>
      </c>
      <c r="B707" s="8">
        <v>152.69999999999999</v>
      </c>
    </row>
    <row r="708" spans="1:2">
      <c r="A708" s="7">
        <v>38412</v>
      </c>
      <c r="B708" s="8">
        <v>153.69999999999999</v>
      </c>
    </row>
    <row r="709" spans="1:2">
      <c r="A709" s="7">
        <v>38443</v>
      </c>
      <c r="B709" s="8">
        <v>154.19999999999999</v>
      </c>
    </row>
    <row r="710" spans="1:2">
      <c r="A710" s="7">
        <v>38473</v>
      </c>
      <c r="B710" s="8">
        <v>153.9</v>
      </c>
    </row>
    <row r="711" spans="1:2">
      <c r="A711" s="7">
        <v>38504</v>
      </c>
      <c r="B711" s="8">
        <v>153.9</v>
      </c>
    </row>
    <row r="712" spans="1:2">
      <c r="A712" s="7">
        <v>38534</v>
      </c>
      <c r="B712" s="8">
        <v>155</v>
      </c>
    </row>
    <row r="713" spans="1:2">
      <c r="A713" s="7">
        <v>38565</v>
      </c>
      <c r="B713" s="8">
        <v>156.30000000000001</v>
      </c>
    </row>
    <row r="714" spans="1:2">
      <c r="A714" s="7">
        <v>38596</v>
      </c>
      <c r="B714" s="8">
        <v>158.80000000000001</v>
      </c>
    </row>
    <row r="715" spans="1:2">
      <c r="A715" s="7">
        <v>38626</v>
      </c>
      <c r="B715" s="8">
        <v>160.5</v>
      </c>
    </row>
    <row r="716" spans="1:2">
      <c r="A716" s="7">
        <v>38657</v>
      </c>
      <c r="B716" s="8">
        <v>158.69999999999999</v>
      </c>
    </row>
    <row r="717" spans="1:2">
      <c r="A717" s="7">
        <v>38687</v>
      </c>
      <c r="B717" s="8">
        <v>159.6</v>
      </c>
    </row>
    <row r="718" spans="1:2">
      <c r="A718" s="7">
        <v>38718</v>
      </c>
      <c r="B718" s="8">
        <v>160.5</v>
      </c>
    </row>
    <row r="719" spans="1:2">
      <c r="A719" s="7">
        <v>38749</v>
      </c>
      <c r="B719" s="8">
        <v>158.69999999999999</v>
      </c>
    </row>
    <row r="720" spans="1:2">
      <c r="A720" s="7">
        <v>38777</v>
      </c>
      <c r="B720" s="8">
        <v>159.30000000000001</v>
      </c>
    </row>
    <row r="721" spans="1:2">
      <c r="A721" s="7">
        <v>38808</v>
      </c>
      <c r="B721" s="8">
        <v>160.6</v>
      </c>
    </row>
    <row r="722" spans="1:2">
      <c r="A722" s="7">
        <v>38838</v>
      </c>
      <c r="B722" s="8">
        <v>160.6</v>
      </c>
    </row>
    <row r="723" spans="1:2">
      <c r="A723" s="7">
        <v>38869</v>
      </c>
      <c r="B723" s="8">
        <v>161.4</v>
      </c>
    </row>
    <row r="724" spans="1:2">
      <c r="A724" s="7">
        <v>38899</v>
      </c>
      <c r="B724" s="8">
        <v>161</v>
      </c>
    </row>
    <row r="725" spans="1:2">
      <c r="A725" s="7">
        <v>38930</v>
      </c>
      <c r="B725" s="8">
        <v>162.1</v>
      </c>
    </row>
    <row r="726" spans="1:2">
      <c r="A726" s="7">
        <v>38961</v>
      </c>
      <c r="B726" s="8">
        <v>160.19999999999999</v>
      </c>
    </row>
    <row r="727" spans="1:2">
      <c r="A727" s="7">
        <v>38991</v>
      </c>
      <c r="B727" s="8">
        <v>158.69999999999999</v>
      </c>
    </row>
    <row r="728" spans="1:2">
      <c r="A728" s="7">
        <v>39022</v>
      </c>
      <c r="B728" s="8">
        <v>160</v>
      </c>
    </row>
    <row r="729" spans="1:2">
      <c r="A729" s="7">
        <v>39052</v>
      </c>
      <c r="B729" s="8">
        <v>161.1</v>
      </c>
    </row>
    <row r="730" spans="1:2">
      <c r="A730" s="7">
        <v>39083</v>
      </c>
      <c r="B730" s="8">
        <v>160.9</v>
      </c>
    </row>
    <row r="731" spans="1:2">
      <c r="A731" s="7">
        <v>39114</v>
      </c>
      <c r="B731" s="8">
        <v>162.69999999999999</v>
      </c>
    </row>
    <row r="732" spans="1:2">
      <c r="A732" s="7">
        <v>39142</v>
      </c>
      <c r="B732" s="8">
        <v>164.1</v>
      </c>
    </row>
    <row r="733" spans="1:2">
      <c r="A733" s="7">
        <v>39173</v>
      </c>
      <c r="B733" s="8">
        <v>165.3</v>
      </c>
    </row>
    <row r="734" spans="1:2">
      <c r="A734" s="7">
        <v>39203</v>
      </c>
      <c r="B734" s="8">
        <v>166</v>
      </c>
    </row>
    <row r="735" spans="1:2">
      <c r="A735" s="7">
        <v>39234</v>
      </c>
      <c r="B735" s="8">
        <v>166.1</v>
      </c>
    </row>
    <row r="736" spans="1:2">
      <c r="A736" s="7">
        <v>39264</v>
      </c>
      <c r="B736" s="8">
        <v>167.2</v>
      </c>
    </row>
    <row r="737" spans="1:2">
      <c r="A737" s="7">
        <v>39295</v>
      </c>
      <c r="B737" s="8">
        <v>166</v>
      </c>
    </row>
    <row r="738" spans="1:2">
      <c r="A738" s="7">
        <v>39326</v>
      </c>
      <c r="B738" s="8">
        <v>167.6</v>
      </c>
    </row>
    <row r="739" spans="1:2">
      <c r="A739" s="7">
        <v>39356</v>
      </c>
      <c r="B739" s="8">
        <v>169.3</v>
      </c>
    </row>
    <row r="740" spans="1:2">
      <c r="A740" s="7">
        <v>39387</v>
      </c>
      <c r="B740" s="8">
        <v>172.4</v>
      </c>
    </row>
    <row r="741" spans="1:2">
      <c r="A741" s="7">
        <v>39417</v>
      </c>
      <c r="B741" s="8">
        <v>171.7</v>
      </c>
    </row>
    <row r="742" spans="1:2">
      <c r="A742" s="7">
        <v>39448</v>
      </c>
      <c r="B742" s="8">
        <v>173.3</v>
      </c>
    </row>
    <row r="743" spans="1:2">
      <c r="A743" s="7">
        <v>39479</v>
      </c>
      <c r="B743" s="8">
        <v>173.9</v>
      </c>
    </row>
    <row r="744" spans="1:2">
      <c r="A744" s="7">
        <v>39508</v>
      </c>
      <c r="B744" s="8">
        <v>175.4</v>
      </c>
    </row>
    <row r="745" spans="1:2">
      <c r="A745" s="7">
        <v>39539</v>
      </c>
      <c r="B745" s="8">
        <v>175.9</v>
      </c>
    </row>
    <row r="746" spans="1:2">
      <c r="A746" s="7">
        <v>39569</v>
      </c>
      <c r="B746" s="8">
        <v>178.4</v>
      </c>
    </row>
    <row r="747" spans="1:2">
      <c r="A747" s="7">
        <v>39600</v>
      </c>
      <c r="B747" s="8">
        <v>181.2</v>
      </c>
    </row>
    <row r="748" spans="1:2">
      <c r="A748" s="7">
        <v>39630</v>
      </c>
      <c r="B748" s="8">
        <v>183.4</v>
      </c>
    </row>
    <row r="749" spans="1:2">
      <c r="A749" s="7">
        <v>39661</v>
      </c>
      <c r="B749" s="8">
        <v>182</v>
      </c>
    </row>
    <row r="750" spans="1:2">
      <c r="A750" s="7">
        <v>39692</v>
      </c>
      <c r="B750" s="8">
        <v>182.7</v>
      </c>
    </row>
    <row r="751" spans="1:2">
      <c r="A751" s="7">
        <v>39722</v>
      </c>
      <c r="B751" s="8">
        <v>178.3</v>
      </c>
    </row>
    <row r="752" spans="1:2">
      <c r="A752" s="7">
        <v>39753</v>
      </c>
      <c r="B752" s="8">
        <v>172.9</v>
      </c>
    </row>
    <row r="753" spans="1:2">
      <c r="A753" s="7">
        <v>39783</v>
      </c>
      <c r="B753" s="8">
        <v>169.7</v>
      </c>
    </row>
    <row r="754" spans="1:2">
      <c r="A754" s="7">
        <v>39814</v>
      </c>
      <c r="B754" s="8">
        <v>171.1</v>
      </c>
    </row>
    <row r="755" spans="1:2">
      <c r="A755" s="7">
        <v>39845</v>
      </c>
      <c r="B755" s="8">
        <v>170.7</v>
      </c>
    </row>
    <row r="756" spans="1:2">
      <c r="A756" s="7">
        <v>39873</v>
      </c>
      <c r="B756" s="8">
        <v>169.2</v>
      </c>
    </row>
    <row r="757" spans="1:2">
      <c r="A757" s="7">
        <v>39904</v>
      </c>
      <c r="B757" s="8">
        <v>170.1</v>
      </c>
    </row>
    <row r="758" spans="1:2">
      <c r="A758" s="7">
        <v>39934</v>
      </c>
      <c r="B758" s="8">
        <v>170.4</v>
      </c>
    </row>
    <row r="759" spans="1:2">
      <c r="A759" s="7">
        <v>39965</v>
      </c>
      <c r="B759" s="8">
        <v>173.6</v>
      </c>
    </row>
    <row r="760" spans="1:2">
      <c r="A760" s="7">
        <v>39995</v>
      </c>
      <c r="B760" s="8">
        <v>171.6</v>
      </c>
    </row>
    <row r="761" spans="1:2">
      <c r="A761" s="7">
        <v>40026</v>
      </c>
      <c r="B761" s="8">
        <v>174.1</v>
      </c>
    </row>
    <row r="762" spans="1:2">
      <c r="A762" s="7">
        <v>40057</v>
      </c>
      <c r="B762" s="8">
        <v>173.7</v>
      </c>
    </row>
    <row r="763" spans="1:2">
      <c r="A763" s="7">
        <v>40087</v>
      </c>
      <c r="B763" s="8">
        <v>174.5</v>
      </c>
    </row>
    <row r="764" spans="1:2">
      <c r="A764" s="7">
        <v>40118</v>
      </c>
      <c r="B764" s="8">
        <v>176.9</v>
      </c>
    </row>
    <row r="765" spans="1:2">
      <c r="A765" s="7">
        <v>40148</v>
      </c>
      <c r="B765" s="8">
        <v>177.4</v>
      </c>
    </row>
    <row r="766" spans="1:2">
      <c r="A766" s="7">
        <v>40179</v>
      </c>
      <c r="B766" s="8">
        <v>179.2</v>
      </c>
    </row>
    <row r="767" spans="1:2">
      <c r="A767" s="7">
        <v>40210</v>
      </c>
      <c r="B767" s="8">
        <v>178</v>
      </c>
    </row>
    <row r="768" spans="1:2">
      <c r="A768" s="7">
        <v>40238</v>
      </c>
      <c r="B768" s="8">
        <v>179.2</v>
      </c>
    </row>
    <row r="769" spans="1:2">
      <c r="A769" s="7">
        <v>40269</v>
      </c>
      <c r="B769" s="8">
        <v>178.9</v>
      </c>
    </row>
    <row r="770" spans="1:2">
      <c r="A770" s="7">
        <v>40299</v>
      </c>
      <c r="B770" s="8">
        <v>178.9</v>
      </c>
    </row>
    <row r="771" spans="1:2">
      <c r="A771" s="7">
        <v>40330</v>
      </c>
      <c r="B771" s="8">
        <v>178.4</v>
      </c>
    </row>
    <row r="772" spans="1:2">
      <c r="A772" s="7">
        <v>40360</v>
      </c>
      <c r="B772" s="8">
        <v>178.9</v>
      </c>
    </row>
    <row r="773" spans="1:2">
      <c r="A773" s="7">
        <v>40391</v>
      </c>
      <c r="B773" s="8">
        <v>179.7</v>
      </c>
    </row>
    <row r="774" spans="1:2">
      <c r="A774" s="7">
        <v>40422</v>
      </c>
      <c r="B774" s="8">
        <v>180.4</v>
      </c>
    </row>
    <row r="775" spans="1:2">
      <c r="A775" s="7">
        <v>40452</v>
      </c>
      <c r="B775" s="8">
        <v>181.7</v>
      </c>
    </row>
    <row r="776" spans="1:2">
      <c r="A776" s="7">
        <v>40483</v>
      </c>
      <c r="B776" s="8">
        <v>182.8</v>
      </c>
    </row>
    <row r="777" spans="1:2">
      <c r="A777" s="7">
        <v>40513</v>
      </c>
      <c r="B777" s="8">
        <v>184.4</v>
      </c>
    </row>
    <row r="778" spans="1:2">
      <c r="A778" s="7">
        <v>40544</v>
      </c>
      <c r="B778" s="8">
        <v>185.6</v>
      </c>
    </row>
    <row r="779" spans="1:2">
      <c r="A779" s="7">
        <v>40575</v>
      </c>
      <c r="B779" s="8">
        <v>187.6</v>
      </c>
    </row>
    <row r="780" spans="1:2">
      <c r="A780" s="7">
        <v>40603</v>
      </c>
      <c r="B780" s="8">
        <v>188.9</v>
      </c>
    </row>
    <row r="781" spans="1:2">
      <c r="A781" s="7">
        <v>40634</v>
      </c>
      <c r="B781" s="8">
        <v>190.2</v>
      </c>
    </row>
    <row r="782" spans="1:2">
      <c r="A782" s="7">
        <v>40664</v>
      </c>
      <c r="B782" s="8">
        <v>191</v>
      </c>
    </row>
    <row r="783" spans="1:2">
      <c r="A783" s="7">
        <v>40695</v>
      </c>
      <c r="B783" s="8">
        <v>190.9</v>
      </c>
    </row>
    <row r="784" spans="1:2">
      <c r="A784" s="7">
        <v>40725</v>
      </c>
      <c r="B784" s="8">
        <v>192</v>
      </c>
    </row>
    <row r="785" spans="1:2">
      <c r="A785" s="7">
        <v>40756</v>
      </c>
      <c r="B785" s="8">
        <v>191.4</v>
      </c>
    </row>
    <row r="786" spans="1:2">
      <c r="A786" s="7">
        <v>40787</v>
      </c>
      <c r="B786" s="8">
        <v>193.1</v>
      </c>
    </row>
    <row r="787" spans="1:2">
      <c r="A787" s="7">
        <v>40817</v>
      </c>
      <c r="B787" s="8">
        <v>192.5</v>
      </c>
    </row>
    <row r="788" spans="1:2">
      <c r="A788" s="7">
        <v>40848</v>
      </c>
      <c r="B788" s="8">
        <v>193.3</v>
      </c>
    </row>
    <row r="789" spans="1:2">
      <c r="A789" s="7">
        <v>40878</v>
      </c>
      <c r="B789" s="8">
        <v>193.1</v>
      </c>
    </row>
    <row r="790" spans="1:2">
      <c r="A790" s="7">
        <v>40909</v>
      </c>
      <c r="B790" s="8">
        <v>193.3</v>
      </c>
    </row>
    <row r="791" spans="1:2">
      <c r="A791" s="7">
        <v>40940</v>
      </c>
      <c r="B791" s="8">
        <v>193.9</v>
      </c>
    </row>
    <row r="792" spans="1:2">
      <c r="A792" s="7">
        <v>40969</v>
      </c>
      <c r="B792" s="8">
        <v>194</v>
      </c>
    </row>
    <row r="793" spans="1:2">
      <c r="A793" s="7">
        <v>41000</v>
      </c>
      <c r="B793" s="8">
        <v>193.6</v>
      </c>
    </row>
    <row r="794" spans="1:2">
      <c r="A794" s="7">
        <v>41030</v>
      </c>
      <c r="B794" s="8">
        <v>192.4</v>
      </c>
    </row>
    <row r="795" spans="1:2">
      <c r="A795" s="7">
        <v>41061</v>
      </c>
      <c r="B795" s="8">
        <v>192.5</v>
      </c>
    </row>
    <row r="796" spans="1:2">
      <c r="A796" s="7">
        <v>41091</v>
      </c>
      <c r="B796" s="8">
        <v>193.2</v>
      </c>
    </row>
    <row r="797" spans="1:2">
      <c r="A797" s="7">
        <v>41122</v>
      </c>
      <c r="B797" s="8">
        <v>195.2</v>
      </c>
    </row>
    <row r="798" spans="1:2">
      <c r="A798" s="7">
        <v>41153</v>
      </c>
      <c r="B798" s="8">
        <v>197.2</v>
      </c>
    </row>
    <row r="799" spans="1:2">
      <c r="A799" s="7">
        <v>41183</v>
      </c>
      <c r="B799" s="8">
        <v>196.9</v>
      </c>
    </row>
    <row r="800" spans="1:2">
      <c r="A800" s="7">
        <v>41214</v>
      </c>
      <c r="B800" s="8">
        <v>196</v>
      </c>
    </row>
    <row r="801" spans="1:2">
      <c r="A801" s="7">
        <v>41244</v>
      </c>
      <c r="B801" s="8">
        <v>195.6</v>
      </c>
    </row>
    <row r="802" spans="1:2">
      <c r="A802" s="7">
        <v>41275</v>
      </c>
      <c r="B802" s="8">
        <v>196</v>
      </c>
    </row>
    <row r="803" spans="1:2">
      <c r="A803" s="7">
        <v>41306</v>
      </c>
      <c r="B803" s="8">
        <v>197.3</v>
      </c>
    </row>
    <row r="804" spans="1:2">
      <c r="A804" s="7">
        <v>41334</v>
      </c>
      <c r="B804" s="8">
        <v>196.2</v>
      </c>
    </row>
  </sheetData>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24"/>
  <sheetViews>
    <sheetView topLeftCell="A17" workbookViewId="0">
      <selection activeCell="M33" sqref="M33"/>
    </sheetView>
  </sheetViews>
  <sheetFormatPr baseColWidth="10" defaultColWidth="9.1640625" defaultRowHeight="10" x14ac:dyDescent="0"/>
  <cols>
    <col min="1" max="1" width="5.6640625" style="40" customWidth="1"/>
    <col min="2" max="2" width="9.83203125" style="18" customWidth="1"/>
    <col min="3" max="3" width="10.5" style="18" customWidth="1"/>
    <col min="4" max="8" width="7.6640625" style="18" customWidth="1"/>
    <col min="9" max="9" width="8.5" style="18" customWidth="1"/>
    <col min="10" max="13" width="9.1640625" style="18"/>
    <col min="14" max="14" width="9.5" style="18" customWidth="1"/>
    <col min="15" max="15" width="9.1640625" style="18"/>
    <col min="16" max="16" width="9.6640625" style="18" customWidth="1"/>
    <col min="17" max="17" width="10.5" style="18" customWidth="1"/>
    <col min="18" max="18" width="13" style="18" customWidth="1"/>
    <col min="19" max="20" width="12.5" style="18" customWidth="1"/>
    <col min="21" max="21" width="16.1640625" style="18" customWidth="1"/>
    <col min="22" max="22" width="12.5" style="18" customWidth="1"/>
    <col min="23" max="23" width="13" style="54" customWidth="1"/>
    <col min="24" max="24" width="15.1640625" style="18" customWidth="1"/>
    <col min="25" max="25" width="12.83203125" style="18" customWidth="1"/>
    <col min="26" max="27" width="13.6640625" style="18" customWidth="1"/>
    <col min="28" max="28" width="11.33203125" style="18" customWidth="1"/>
    <col min="29" max="29" width="16.5" style="18" customWidth="1"/>
    <col min="30" max="31" width="9.1640625" style="18"/>
    <col min="32" max="32" width="11.1640625" style="18" customWidth="1"/>
    <col min="33" max="33" width="12.6640625" style="18" customWidth="1"/>
    <col min="34" max="34" width="12.83203125" style="18" customWidth="1"/>
    <col min="35" max="35" width="13.33203125" style="18" customWidth="1"/>
    <col min="36" max="16384" width="9.1640625" style="18"/>
  </cols>
  <sheetData>
    <row r="1" spans="1:21" s="18" customFormat="1" ht="15">
      <c r="A1" s="15"/>
      <c r="B1" s="107" t="s">
        <v>168</v>
      </c>
      <c r="C1" s="108"/>
      <c r="D1" s="108"/>
      <c r="E1" s="108"/>
      <c r="F1" s="108"/>
      <c r="G1" s="108"/>
      <c r="H1" s="108"/>
      <c r="I1" s="108"/>
      <c r="J1" s="108"/>
      <c r="K1" s="108"/>
      <c r="L1" s="108"/>
      <c r="M1" s="14"/>
      <c r="N1" s="14"/>
      <c r="O1" s="14"/>
      <c r="P1" s="16"/>
      <c r="Q1" s="16"/>
      <c r="R1" s="17"/>
      <c r="S1" s="17"/>
      <c r="T1" s="17"/>
      <c r="U1" s="17"/>
    </row>
    <row r="2" spans="1:21" s="18" customFormat="1" ht="15">
      <c r="A2" s="15"/>
      <c r="B2" s="105"/>
      <c r="C2" s="106"/>
      <c r="D2" s="106"/>
      <c r="E2" s="106"/>
      <c r="F2" s="106"/>
      <c r="G2" s="106"/>
      <c r="H2" s="106"/>
      <c r="I2" s="106"/>
      <c r="J2" s="106"/>
      <c r="K2" s="106"/>
      <c r="L2" s="106"/>
      <c r="M2" s="16"/>
      <c r="N2" s="16"/>
      <c r="O2" s="16"/>
      <c r="P2" s="16"/>
      <c r="Q2" s="16"/>
      <c r="R2" s="17"/>
      <c r="S2" s="17"/>
      <c r="T2" s="17"/>
      <c r="U2" s="17"/>
    </row>
    <row r="3" spans="1:21" s="18" customFormat="1" ht="15">
      <c r="A3" s="15"/>
      <c r="B3" s="109" t="s">
        <v>169</v>
      </c>
      <c r="C3" s="110"/>
      <c r="D3" s="110"/>
      <c r="E3" s="110"/>
      <c r="F3" s="110"/>
      <c r="G3" s="110"/>
      <c r="H3" s="110"/>
      <c r="I3" s="110"/>
      <c r="J3" s="110"/>
      <c r="K3" s="110"/>
      <c r="L3" s="111"/>
      <c r="M3" s="19"/>
      <c r="N3" s="19"/>
      <c r="O3" s="19"/>
      <c r="P3" s="19"/>
      <c r="Q3" s="20"/>
      <c r="R3" s="17"/>
      <c r="S3" s="17"/>
      <c r="T3" s="17"/>
      <c r="U3" s="17"/>
    </row>
    <row r="4" spans="1:21" s="18" customFormat="1" ht="15">
      <c r="A4" s="15"/>
      <c r="B4" s="105"/>
      <c r="C4" s="106"/>
      <c r="D4" s="106"/>
      <c r="E4" s="106"/>
      <c r="F4" s="106"/>
      <c r="G4" s="106"/>
      <c r="H4" s="106"/>
      <c r="I4" s="106"/>
      <c r="J4" s="106"/>
      <c r="K4" s="106"/>
      <c r="L4" s="106"/>
      <c r="M4" s="16"/>
      <c r="N4" s="16"/>
      <c r="O4" s="16"/>
      <c r="P4" s="16"/>
      <c r="Q4" s="16"/>
      <c r="R4" s="17"/>
      <c r="S4" s="17"/>
      <c r="T4" s="17"/>
      <c r="U4" s="17"/>
    </row>
    <row r="5" spans="1:21" s="18" customFormat="1" ht="15">
      <c r="A5" s="15"/>
      <c r="B5" s="112" t="s">
        <v>170</v>
      </c>
      <c r="C5" s="113"/>
      <c r="D5" s="113"/>
      <c r="E5" s="113"/>
      <c r="F5" s="113"/>
      <c r="G5" s="113"/>
      <c r="H5" s="113"/>
      <c r="I5" s="113"/>
      <c r="J5" s="113"/>
      <c r="K5" s="113"/>
      <c r="L5" s="113"/>
      <c r="M5" s="16"/>
      <c r="N5" s="16"/>
      <c r="O5" s="16"/>
      <c r="P5" s="16"/>
      <c r="Q5" s="16"/>
      <c r="R5" s="17"/>
      <c r="S5" s="17"/>
      <c r="T5" s="17"/>
      <c r="U5" s="17"/>
    </row>
    <row r="6" spans="1:21" s="18" customFormat="1" ht="15">
      <c r="A6" s="15"/>
      <c r="B6" s="105" t="s">
        <v>64</v>
      </c>
      <c r="C6" s="106"/>
      <c r="D6" s="106"/>
      <c r="E6" s="106"/>
      <c r="F6" s="106"/>
      <c r="G6" s="106"/>
      <c r="H6" s="106"/>
      <c r="I6" s="106"/>
      <c r="J6" s="106"/>
      <c r="K6" s="106"/>
      <c r="L6" s="106"/>
      <c r="M6" s="16"/>
      <c r="N6" s="16"/>
      <c r="O6" s="16"/>
      <c r="P6" s="16"/>
      <c r="Q6" s="16"/>
      <c r="R6" s="17"/>
      <c r="S6" s="17"/>
      <c r="T6" s="17"/>
      <c r="U6" s="17"/>
    </row>
    <row r="7" spans="1:21" s="18" customFormat="1" ht="15">
      <c r="A7" s="15"/>
      <c r="B7" s="105" t="s">
        <v>171</v>
      </c>
      <c r="C7" s="114"/>
      <c r="D7" s="114"/>
      <c r="E7" s="114"/>
      <c r="F7" s="114"/>
      <c r="G7" s="114"/>
      <c r="H7" s="114"/>
      <c r="I7" s="114"/>
      <c r="J7" s="114"/>
      <c r="K7" s="114"/>
      <c r="L7" s="114"/>
      <c r="M7" s="21"/>
      <c r="N7" s="21"/>
      <c r="O7" s="21"/>
      <c r="P7" s="16"/>
      <c r="Q7" s="16"/>
      <c r="R7" s="17"/>
      <c r="S7" s="17"/>
      <c r="T7" s="17"/>
      <c r="U7" s="17"/>
    </row>
    <row r="8" spans="1:21" s="18" customFormat="1" ht="15">
      <c r="A8" s="15"/>
      <c r="B8" s="105" t="s">
        <v>172</v>
      </c>
      <c r="C8" s="106"/>
      <c r="D8" s="106"/>
      <c r="E8" s="106"/>
      <c r="F8" s="106"/>
      <c r="G8" s="106"/>
      <c r="H8" s="106"/>
      <c r="I8" s="106"/>
      <c r="J8" s="106"/>
      <c r="K8" s="106"/>
      <c r="L8" s="106"/>
      <c r="M8" s="16"/>
      <c r="N8" s="16"/>
      <c r="O8" s="16"/>
      <c r="P8" s="16"/>
      <c r="Q8" s="16"/>
      <c r="R8" s="17"/>
      <c r="S8" s="17"/>
      <c r="T8" s="17"/>
      <c r="U8" s="17"/>
    </row>
    <row r="9" spans="1:21" s="18" customFormat="1" ht="15">
      <c r="A9" s="15"/>
      <c r="B9" s="105" t="s">
        <v>173</v>
      </c>
      <c r="C9" s="106"/>
      <c r="D9" s="106"/>
      <c r="E9" s="106"/>
      <c r="F9" s="106"/>
      <c r="G9" s="106"/>
      <c r="H9" s="106"/>
      <c r="I9" s="106"/>
      <c r="J9" s="106"/>
      <c r="K9" s="106"/>
      <c r="L9" s="106"/>
      <c r="M9" s="16"/>
      <c r="N9" s="16"/>
      <c r="O9" s="16"/>
      <c r="P9" s="16"/>
      <c r="Q9" s="16"/>
      <c r="R9" s="17"/>
      <c r="S9" s="17"/>
      <c r="T9" s="17"/>
      <c r="U9" s="17"/>
    </row>
    <row r="10" spans="1:21" s="18" customFormat="1" ht="15">
      <c r="A10" s="15"/>
      <c r="B10" s="105" t="s">
        <v>174</v>
      </c>
      <c r="C10" s="106"/>
      <c r="D10" s="106"/>
      <c r="E10" s="106"/>
      <c r="F10" s="106"/>
      <c r="G10" s="106"/>
      <c r="H10" s="106"/>
      <c r="I10" s="106"/>
      <c r="J10" s="106"/>
      <c r="K10" s="106"/>
      <c r="L10" s="106"/>
      <c r="M10" s="16"/>
      <c r="N10" s="16"/>
      <c r="O10" s="16"/>
      <c r="P10" s="16"/>
      <c r="Q10" s="16"/>
      <c r="R10" s="17"/>
      <c r="S10" s="17"/>
      <c r="T10" s="17"/>
      <c r="U10" s="17"/>
    </row>
    <row r="11" spans="1:21" s="18" customFormat="1" ht="15">
      <c r="A11" s="15"/>
      <c r="B11" s="105" t="s">
        <v>175</v>
      </c>
      <c r="C11" s="106"/>
      <c r="D11" s="106"/>
      <c r="E11" s="106"/>
      <c r="F11" s="106"/>
      <c r="G11" s="106"/>
      <c r="H11" s="106"/>
      <c r="I11" s="106"/>
      <c r="J11" s="106"/>
      <c r="K11" s="106"/>
      <c r="L11" s="106"/>
      <c r="M11" s="16"/>
      <c r="N11" s="16"/>
      <c r="O11" s="16"/>
      <c r="P11" s="16"/>
      <c r="Q11" s="16"/>
      <c r="R11" s="17"/>
      <c r="S11" s="17"/>
      <c r="T11" s="17"/>
      <c r="U11" s="17"/>
    </row>
    <row r="12" spans="1:21" s="18" customFormat="1" ht="15">
      <c r="A12" s="15"/>
      <c r="B12" s="105" t="s">
        <v>176</v>
      </c>
      <c r="C12" s="106"/>
      <c r="D12" s="106"/>
      <c r="E12" s="106"/>
      <c r="F12" s="106"/>
      <c r="G12" s="106"/>
      <c r="H12" s="106"/>
      <c r="I12" s="106"/>
      <c r="J12" s="106"/>
      <c r="K12" s="106"/>
      <c r="L12" s="106"/>
      <c r="M12" s="16"/>
      <c r="N12" s="16"/>
      <c r="O12" s="16"/>
      <c r="P12" s="16"/>
      <c r="Q12" s="16"/>
      <c r="R12" s="17"/>
      <c r="S12" s="17"/>
      <c r="T12" s="17"/>
      <c r="U12" s="17"/>
    </row>
    <row r="13" spans="1:21" s="18" customFormat="1" ht="15">
      <c r="A13" s="15"/>
      <c r="B13" s="105" t="s">
        <v>177</v>
      </c>
      <c r="C13" s="106"/>
      <c r="D13" s="106"/>
      <c r="E13" s="106"/>
      <c r="F13" s="106"/>
      <c r="G13" s="106"/>
      <c r="H13" s="106"/>
      <c r="I13" s="106"/>
      <c r="J13" s="106"/>
      <c r="K13" s="106"/>
      <c r="L13" s="106"/>
      <c r="M13" s="16"/>
      <c r="N13" s="16"/>
      <c r="O13" s="16"/>
      <c r="P13" s="16"/>
      <c r="Q13" s="16"/>
      <c r="R13" s="17"/>
      <c r="S13" s="17"/>
      <c r="T13" s="17"/>
      <c r="U13" s="17"/>
    </row>
    <row r="14" spans="1:21" s="18" customFormat="1" ht="15">
      <c r="A14" s="15"/>
      <c r="B14" s="105" t="s">
        <v>73</v>
      </c>
      <c r="C14" s="106"/>
      <c r="D14" s="106"/>
      <c r="E14" s="106"/>
      <c r="F14" s="106"/>
      <c r="G14" s="106"/>
      <c r="H14" s="106"/>
      <c r="I14" s="106"/>
      <c r="J14" s="106"/>
      <c r="K14" s="106"/>
      <c r="L14" s="106"/>
      <c r="M14" s="16"/>
      <c r="N14" s="16"/>
      <c r="O14" s="16"/>
      <c r="P14" s="16"/>
      <c r="Q14" s="16"/>
      <c r="R14" s="17"/>
      <c r="S14" s="17"/>
      <c r="T14" s="17"/>
      <c r="U14" s="17"/>
    </row>
    <row r="15" spans="1:21" s="18" customFormat="1" ht="15">
      <c r="A15" s="15"/>
      <c r="B15" s="105" t="s">
        <v>178</v>
      </c>
      <c r="C15" s="106"/>
      <c r="D15" s="106"/>
      <c r="E15" s="106"/>
      <c r="F15" s="106"/>
      <c r="G15" s="106"/>
      <c r="H15" s="106"/>
      <c r="I15" s="106"/>
      <c r="J15" s="106"/>
      <c r="K15" s="106"/>
      <c r="L15" s="106"/>
      <c r="M15" s="16"/>
      <c r="N15" s="16"/>
      <c r="O15" s="16"/>
      <c r="P15" s="16"/>
      <c r="Q15" s="16"/>
      <c r="R15" s="17"/>
      <c r="S15" s="17"/>
      <c r="T15" s="17"/>
      <c r="U15" s="17"/>
    </row>
    <row r="16" spans="1:21" s="18" customFormat="1" ht="15">
      <c r="A16" s="15"/>
      <c r="B16" s="116" t="s">
        <v>179</v>
      </c>
      <c r="C16" s="110"/>
      <c r="D16" s="110"/>
      <c r="E16" s="110"/>
      <c r="F16" s="110"/>
      <c r="G16" s="110"/>
      <c r="H16" s="110"/>
      <c r="I16" s="110"/>
      <c r="J16" s="110"/>
      <c r="K16" s="110"/>
      <c r="L16" s="110"/>
      <c r="M16" s="14"/>
      <c r="N16" s="14"/>
      <c r="O16" s="14"/>
      <c r="P16" s="16"/>
      <c r="Q16" s="16"/>
      <c r="R16" s="17"/>
      <c r="S16" s="17"/>
      <c r="T16" s="17"/>
      <c r="U16" s="17"/>
    </row>
    <row r="17" spans="1:34" ht="15">
      <c r="A17" s="15"/>
      <c r="B17" s="105" t="s">
        <v>76</v>
      </c>
      <c r="C17" s="106"/>
      <c r="D17" s="106"/>
      <c r="E17" s="106"/>
      <c r="F17" s="106"/>
      <c r="G17" s="106"/>
      <c r="H17" s="106"/>
      <c r="I17" s="106"/>
      <c r="J17" s="106"/>
      <c r="K17" s="106"/>
      <c r="L17" s="106"/>
      <c r="M17" s="16"/>
      <c r="N17" s="16"/>
      <c r="O17" s="16"/>
      <c r="P17" s="20"/>
      <c r="Q17" s="20"/>
      <c r="R17" s="17"/>
      <c r="S17" s="17"/>
      <c r="T17" s="17"/>
      <c r="U17" s="17"/>
    </row>
    <row r="18" spans="1:34" ht="15">
      <c r="A18" s="15"/>
      <c r="B18" s="115" t="s">
        <v>180</v>
      </c>
      <c r="C18" s="113"/>
      <c r="D18" s="113"/>
      <c r="E18" s="113"/>
      <c r="F18" s="113"/>
      <c r="G18" s="113"/>
      <c r="H18" s="113"/>
      <c r="I18" s="113"/>
      <c r="J18" s="113"/>
      <c r="K18" s="113"/>
      <c r="L18" s="113"/>
      <c r="M18" s="22"/>
      <c r="N18" s="22"/>
      <c r="O18" s="22"/>
      <c r="P18" s="16"/>
      <c r="Q18" s="23"/>
      <c r="R18" s="17"/>
      <c r="S18" s="17"/>
      <c r="T18" s="17"/>
      <c r="U18" s="17"/>
    </row>
    <row r="19" spans="1:34" ht="15">
      <c r="A19" s="15"/>
      <c r="B19" s="115" t="s">
        <v>181</v>
      </c>
      <c r="C19" s="113"/>
      <c r="D19" s="113"/>
      <c r="E19" s="113"/>
      <c r="F19" s="113"/>
      <c r="G19" s="113"/>
      <c r="H19" s="113"/>
      <c r="I19" s="113"/>
      <c r="J19" s="113"/>
      <c r="K19" s="113"/>
      <c r="L19" s="113"/>
      <c r="M19" s="22"/>
      <c r="N19" s="22"/>
      <c r="O19" s="22"/>
      <c r="P19" s="16"/>
      <c r="Q19" s="23"/>
      <c r="R19" s="17"/>
      <c r="S19" s="17"/>
      <c r="T19" s="17"/>
      <c r="U19" s="17"/>
    </row>
    <row r="20" spans="1:34" ht="15">
      <c r="A20" s="15"/>
      <c r="B20" s="117" t="s">
        <v>182</v>
      </c>
      <c r="C20" s="118"/>
      <c r="D20" s="118"/>
      <c r="E20" s="118"/>
      <c r="F20" s="118"/>
      <c r="G20" s="118"/>
      <c r="H20" s="118"/>
      <c r="I20" s="118"/>
      <c r="J20" s="118"/>
      <c r="K20" s="118"/>
      <c r="L20" s="119"/>
      <c r="M20" s="22"/>
      <c r="N20" s="22"/>
      <c r="O20" s="22"/>
      <c r="P20" s="16"/>
      <c r="Q20" s="23"/>
      <c r="R20" s="17"/>
      <c r="S20" s="17"/>
      <c r="T20" s="17"/>
      <c r="W20" s="18"/>
    </row>
    <row r="21" spans="1:34" ht="15">
      <c r="A21" s="15"/>
      <c r="B21" s="115"/>
      <c r="C21" s="113"/>
      <c r="D21" s="113"/>
      <c r="E21" s="113"/>
      <c r="F21" s="113"/>
      <c r="G21" s="113"/>
      <c r="H21" s="113"/>
      <c r="I21" s="113"/>
      <c r="J21" s="113"/>
      <c r="K21" s="113"/>
      <c r="L21" s="113"/>
      <c r="M21" s="22"/>
      <c r="N21" s="22"/>
      <c r="O21" s="22"/>
      <c r="P21" s="16"/>
      <c r="Q21" s="23"/>
      <c r="R21" s="17"/>
      <c r="S21" s="17"/>
      <c r="T21" s="17"/>
      <c r="W21" s="18"/>
    </row>
    <row r="22" spans="1:34" ht="15">
      <c r="A22" s="15"/>
      <c r="B22" s="117" t="s">
        <v>183</v>
      </c>
      <c r="C22" s="118"/>
      <c r="D22" s="118"/>
      <c r="E22" s="118"/>
      <c r="F22" s="118"/>
      <c r="G22" s="118"/>
      <c r="H22" s="118"/>
      <c r="I22" s="118"/>
      <c r="J22" s="118"/>
      <c r="K22" s="118"/>
      <c r="L22" s="119"/>
      <c r="M22" s="22"/>
      <c r="N22" s="22"/>
      <c r="O22" s="22"/>
      <c r="P22" s="16"/>
      <c r="Q22" s="23"/>
      <c r="R22" s="17"/>
      <c r="S22" s="17"/>
      <c r="T22" s="17"/>
      <c r="W22" s="18"/>
    </row>
    <row r="23" spans="1:34" ht="15">
      <c r="A23" s="15"/>
      <c r="B23" s="115"/>
      <c r="C23" s="113"/>
      <c r="D23" s="113"/>
      <c r="E23" s="113"/>
      <c r="F23" s="113"/>
      <c r="G23" s="113"/>
      <c r="H23" s="113"/>
      <c r="I23" s="113"/>
      <c r="J23" s="113"/>
      <c r="K23" s="113"/>
      <c r="L23" s="113"/>
      <c r="M23" s="22"/>
      <c r="N23" s="22"/>
      <c r="O23" s="22"/>
      <c r="P23" s="16"/>
      <c r="Q23" s="23"/>
      <c r="R23" s="17"/>
      <c r="S23" s="17"/>
      <c r="T23" s="17"/>
      <c r="W23" s="18"/>
    </row>
    <row r="24" spans="1:34" ht="15">
      <c r="A24" s="15"/>
      <c r="B24" s="115" t="s">
        <v>184</v>
      </c>
      <c r="C24" s="113"/>
      <c r="D24" s="113"/>
      <c r="E24" s="113"/>
      <c r="F24" s="113"/>
      <c r="G24" s="113"/>
      <c r="H24" s="113"/>
      <c r="I24" s="113"/>
      <c r="J24" s="113"/>
      <c r="K24" s="113"/>
      <c r="L24" s="113"/>
      <c r="M24" s="22"/>
      <c r="N24" s="22"/>
      <c r="O24" s="22"/>
      <c r="P24" s="16"/>
      <c r="Q24" s="23"/>
      <c r="R24" s="17"/>
      <c r="S24" s="17"/>
      <c r="T24" s="17"/>
      <c r="W24" s="18"/>
    </row>
    <row r="25" spans="1:34" ht="15">
      <c r="A25" s="15"/>
      <c r="B25" s="115" t="s">
        <v>82</v>
      </c>
      <c r="C25" s="113"/>
      <c r="D25" s="113"/>
      <c r="E25" s="113"/>
      <c r="F25" s="113"/>
      <c r="G25" s="113"/>
      <c r="H25" s="113"/>
      <c r="I25" s="113"/>
      <c r="J25" s="113"/>
      <c r="K25" s="113"/>
      <c r="L25" s="113"/>
      <c r="M25" s="22"/>
      <c r="N25" s="22"/>
      <c r="O25" s="22"/>
      <c r="P25" s="16"/>
      <c r="Q25" s="23"/>
      <c r="R25" s="17"/>
      <c r="S25" s="17"/>
      <c r="T25" s="17"/>
      <c r="W25" s="18"/>
    </row>
    <row r="26" spans="1:34" s="59" customFormat="1" ht="70">
      <c r="A26" s="55"/>
      <c r="B26" s="56" t="s">
        <v>185</v>
      </c>
      <c r="C26" s="56" t="s">
        <v>186</v>
      </c>
      <c r="D26" s="56" t="s">
        <v>187</v>
      </c>
      <c r="E26" s="56" t="s">
        <v>188</v>
      </c>
      <c r="F26" s="56" t="s">
        <v>189</v>
      </c>
      <c r="G26" s="56" t="s">
        <v>190</v>
      </c>
      <c r="H26" s="56" t="s">
        <v>191</v>
      </c>
      <c r="I26" s="56" t="s">
        <v>192</v>
      </c>
      <c r="J26" s="56" t="s">
        <v>193</v>
      </c>
      <c r="K26" s="56" t="s">
        <v>194</v>
      </c>
      <c r="L26" s="56" t="s">
        <v>195</v>
      </c>
      <c r="M26" s="56" t="s">
        <v>196</v>
      </c>
      <c r="N26" s="56" t="s">
        <v>197</v>
      </c>
      <c r="O26" s="56" t="s">
        <v>198</v>
      </c>
      <c r="P26" s="57"/>
      <c r="Q26" s="57"/>
      <c r="R26" s="57"/>
      <c r="S26" s="57"/>
      <c r="T26" s="57"/>
      <c r="U26" s="122"/>
      <c r="V26" s="123"/>
      <c r="W26" s="124"/>
      <c r="X26" s="58"/>
      <c r="Y26" s="58"/>
      <c r="Z26" s="58"/>
      <c r="AA26" s="58"/>
      <c r="AB26" s="56"/>
    </row>
    <row r="27" spans="1:34" s="59" customFormat="1" ht="30">
      <c r="A27" s="60"/>
      <c r="B27" s="61" t="s">
        <v>199</v>
      </c>
      <c r="C27" s="61" t="s">
        <v>85</v>
      </c>
      <c r="D27" s="61" t="s">
        <v>86</v>
      </c>
      <c r="E27" s="61" t="s">
        <v>87</v>
      </c>
      <c r="F27" s="61" t="s">
        <v>88</v>
      </c>
      <c r="G27" s="61" t="s">
        <v>89</v>
      </c>
      <c r="H27" s="61" t="s">
        <v>90</v>
      </c>
      <c r="I27" s="61" t="s">
        <v>91</v>
      </c>
      <c r="J27" s="61" t="s">
        <v>92</v>
      </c>
      <c r="K27" s="61" t="s">
        <v>93</v>
      </c>
      <c r="L27" s="61" t="s">
        <v>94</v>
      </c>
      <c r="M27" s="61" t="s">
        <v>95</v>
      </c>
      <c r="N27" s="61" t="s">
        <v>96</v>
      </c>
      <c r="O27" s="61" t="s">
        <v>200</v>
      </c>
      <c r="P27" s="61" t="s">
        <v>201</v>
      </c>
      <c r="Q27" s="61" t="s">
        <v>202</v>
      </c>
      <c r="R27" s="62" t="s">
        <v>102</v>
      </c>
      <c r="S27" s="62" t="s">
        <v>103</v>
      </c>
      <c r="T27" s="62" t="s">
        <v>104</v>
      </c>
      <c r="U27" s="58"/>
      <c r="V27" s="63"/>
      <c r="W27" s="58"/>
      <c r="X27" s="58"/>
      <c r="Y27" s="58"/>
      <c r="Z27" s="58"/>
      <c r="AA27" s="58"/>
      <c r="AB27" s="58"/>
      <c r="AC27" s="58"/>
      <c r="AD27" s="58"/>
      <c r="AE27" s="58"/>
      <c r="AF27" s="58"/>
      <c r="AG27" s="58"/>
      <c r="AH27" s="58"/>
    </row>
    <row r="28" spans="1:34">
      <c r="A28" s="40">
        <v>1665</v>
      </c>
      <c r="B28" s="64">
        <v>9.1999999999999998E-2</v>
      </c>
      <c r="C28" s="65">
        <v>0.06</v>
      </c>
      <c r="D28" s="64">
        <v>5.8999999999999997E-2</v>
      </c>
      <c r="E28" s="65">
        <v>5.7000000000000002E-2</v>
      </c>
      <c r="F28" s="64">
        <v>5.6000000000000001E-2</v>
      </c>
      <c r="G28" s="65">
        <v>5.5E-2</v>
      </c>
      <c r="H28" s="64">
        <v>5.2999999999999999E-2</v>
      </c>
      <c r="I28" s="64">
        <v>5.1999999999999998E-2</v>
      </c>
      <c r="J28" s="64">
        <v>5.0999999999999997E-2</v>
      </c>
      <c r="K28" s="64">
        <v>0.05</v>
      </c>
      <c r="L28" s="64">
        <v>4.9000000000000002E-2</v>
      </c>
      <c r="M28" s="66">
        <v>4.7E-2</v>
      </c>
      <c r="N28" s="66">
        <v>4.5999999999999999E-2</v>
      </c>
      <c r="O28" s="66">
        <v>4.4999999999999998E-2</v>
      </c>
      <c r="P28" s="67"/>
      <c r="Q28" s="68"/>
      <c r="R28" s="68"/>
      <c r="S28" s="68"/>
      <c r="T28" s="68"/>
      <c r="U28" s="69"/>
      <c r="V28" s="70"/>
      <c r="W28" s="64"/>
      <c r="X28" s="70"/>
      <c r="Y28" s="64"/>
      <c r="Z28" s="64"/>
      <c r="AA28" s="64"/>
      <c r="AB28" s="71"/>
      <c r="AC28" s="72"/>
      <c r="AD28" s="72"/>
      <c r="AE28" s="72"/>
      <c r="AF28" s="72"/>
      <c r="AG28" s="72"/>
      <c r="AH28" s="73"/>
    </row>
    <row r="29" spans="1:34">
      <c r="A29" s="40">
        <v>1666</v>
      </c>
      <c r="B29" s="64">
        <v>9.1999999999999998E-2</v>
      </c>
      <c r="C29" s="65">
        <v>0.06</v>
      </c>
      <c r="D29" s="64">
        <v>5.8999999999999997E-2</v>
      </c>
      <c r="E29" s="65">
        <v>5.7000000000000002E-2</v>
      </c>
      <c r="F29" s="64">
        <v>5.6000000000000001E-2</v>
      </c>
      <c r="G29" s="65">
        <v>5.5E-2</v>
      </c>
      <c r="H29" s="64">
        <v>5.2999999999999999E-2</v>
      </c>
      <c r="I29" s="64">
        <v>5.1999999999999998E-2</v>
      </c>
      <c r="J29" s="64">
        <v>5.0999999999999997E-2</v>
      </c>
      <c r="K29" s="64">
        <v>0.05</v>
      </c>
      <c r="L29" s="64">
        <v>4.9000000000000002E-2</v>
      </c>
      <c r="M29" s="66">
        <v>4.7E-2</v>
      </c>
      <c r="N29" s="66">
        <v>4.5999999999999999E-2</v>
      </c>
      <c r="O29" s="66">
        <v>4.4999999999999998E-2</v>
      </c>
      <c r="P29" s="67"/>
      <c r="Q29" s="74"/>
      <c r="R29" s="73">
        <v>0</v>
      </c>
      <c r="S29" s="74"/>
      <c r="T29" s="74"/>
      <c r="U29" s="69"/>
      <c r="V29" s="70"/>
      <c r="W29" s="64"/>
      <c r="X29" s="70"/>
      <c r="Y29" s="64"/>
      <c r="Z29" s="64"/>
      <c r="AA29" s="64"/>
      <c r="AB29" s="71"/>
      <c r="AC29" s="72"/>
      <c r="AD29" s="72"/>
      <c r="AE29" s="72"/>
      <c r="AF29" s="72"/>
      <c r="AG29" s="72"/>
      <c r="AH29" s="73"/>
    </row>
    <row r="30" spans="1:34">
      <c r="A30" s="40">
        <v>1667</v>
      </c>
      <c r="B30" s="64">
        <v>9.9000000000000005E-2</v>
      </c>
      <c r="C30" s="65">
        <v>6.5000000000000002E-2</v>
      </c>
      <c r="D30" s="64">
        <v>6.3E-2</v>
      </c>
      <c r="E30" s="65">
        <v>6.2E-2</v>
      </c>
      <c r="F30" s="64">
        <v>6.0999999999999999E-2</v>
      </c>
      <c r="G30" s="65">
        <v>5.8999999999999997E-2</v>
      </c>
      <c r="H30" s="64">
        <v>5.7000000000000002E-2</v>
      </c>
      <c r="I30" s="64">
        <v>5.6000000000000001E-2</v>
      </c>
      <c r="J30" s="64">
        <v>5.5E-2</v>
      </c>
      <c r="K30" s="64">
        <v>5.3999999999999999E-2</v>
      </c>
      <c r="L30" s="64">
        <v>5.1999999999999998E-2</v>
      </c>
      <c r="M30" s="66">
        <v>5.0999999999999997E-2</v>
      </c>
      <c r="N30" s="66">
        <v>4.9000000000000002E-2</v>
      </c>
      <c r="O30" s="66">
        <v>4.8000000000000001E-2</v>
      </c>
      <c r="P30" s="67"/>
      <c r="Q30" s="74"/>
      <c r="R30" s="73">
        <v>7.6</v>
      </c>
      <c r="S30" s="74"/>
      <c r="T30" s="74"/>
      <c r="U30" s="69"/>
      <c r="V30" s="70"/>
      <c r="W30" s="64"/>
      <c r="X30" s="70"/>
      <c r="Y30" s="64"/>
      <c r="Z30" s="64"/>
      <c r="AA30" s="64"/>
      <c r="AB30" s="71"/>
      <c r="AC30" s="72"/>
      <c r="AD30" s="72"/>
      <c r="AE30" s="72"/>
      <c r="AF30" s="72"/>
      <c r="AG30" s="72"/>
      <c r="AH30" s="73"/>
    </row>
    <row r="31" spans="1:34">
      <c r="A31" s="40">
        <v>1668</v>
      </c>
      <c r="B31" s="64">
        <v>0.10199999999999999</v>
      </c>
      <c r="C31" s="65">
        <v>6.7000000000000004E-2</v>
      </c>
      <c r="D31" s="64">
        <v>6.5000000000000002E-2</v>
      </c>
      <c r="E31" s="65">
        <v>6.4000000000000001E-2</v>
      </c>
      <c r="F31" s="64">
        <v>6.3E-2</v>
      </c>
      <c r="G31" s="65">
        <v>6.0999999999999999E-2</v>
      </c>
      <c r="H31" s="64">
        <v>5.8999999999999997E-2</v>
      </c>
      <c r="I31" s="64">
        <v>5.8000000000000003E-2</v>
      </c>
      <c r="J31" s="64">
        <v>5.7000000000000002E-2</v>
      </c>
      <c r="K31" s="64">
        <v>5.5E-2</v>
      </c>
      <c r="L31" s="64">
        <v>5.3999999999999999E-2</v>
      </c>
      <c r="M31" s="64">
        <v>5.1999999999999998E-2</v>
      </c>
      <c r="N31" s="66">
        <v>5.0999999999999997E-2</v>
      </c>
      <c r="O31" s="66">
        <v>0.05</v>
      </c>
      <c r="P31" s="67"/>
      <c r="Q31" s="74"/>
      <c r="R31" s="73">
        <v>3</v>
      </c>
      <c r="S31" s="74"/>
      <c r="T31" s="74"/>
      <c r="U31" s="69"/>
      <c r="V31" s="70"/>
      <c r="W31" s="64"/>
      <c r="X31" s="70"/>
      <c r="Y31" s="64"/>
      <c r="Z31" s="64"/>
      <c r="AA31" s="64"/>
      <c r="AB31" s="71"/>
      <c r="AC31" s="72"/>
      <c r="AD31" s="72"/>
      <c r="AE31" s="72"/>
      <c r="AF31" s="72"/>
      <c r="AG31" s="72"/>
      <c r="AH31" s="73"/>
    </row>
    <row r="32" spans="1:34">
      <c r="A32" s="40">
        <v>1669</v>
      </c>
      <c r="B32" s="64">
        <v>9.5000000000000001E-2</v>
      </c>
      <c r="C32" s="65">
        <v>6.2E-2</v>
      </c>
      <c r="D32" s="64">
        <v>6.0999999999999999E-2</v>
      </c>
      <c r="E32" s="65">
        <v>5.8999999999999997E-2</v>
      </c>
      <c r="F32" s="64">
        <v>5.8000000000000003E-2</v>
      </c>
      <c r="G32" s="65">
        <v>5.7000000000000002E-2</v>
      </c>
      <c r="H32" s="64">
        <v>5.5E-2</v>
      </c>
      <c r="I32" s="64">
        <v>5.3999999999999999E-2</v>
      </c>
      <c r="J32" s="64">
        <v>5.2999999999999999E-2</v>
      </c>
      <c r="K32" s="64">
        <v>5.1999999999999998E-2</v>
      </c>
      <c r="L32" s="64">
        <v>0.05</v>
      </c>
      <c r="M32" s="64">
        <v>4.9000000000000002E-2</v>
      </c>
      <c r="N32" s="66">
        <v>4.7E-2</v>
      </c>
      <c r="O32" s="66">
        <v>4.5999999999999999E-2</v>
      </c>
      <c r="P32" s="67"/>
      <c r="Q32" s="74"/>
      <c r="R32" s="73">
        <v>-6.9</v>
      </c>
      <c r="S32" s="74"/>
      <c r="T32" s="74"/>
      <c r="U32" s="69"/>
      <c r="V32" s="70"/>
      <c r="W32" s="64"/>
      <c r="X32" s="70"/>
      <c r="Y32" s="64"/>
      <c r="Z32" s="64"/>
      <c r="AA32" s="64"/>
      <c r="AB32" s="71"/>
      <c r="AC32" s="72"/>
      <c r="AD32" s="72"/>
      <c r="AE32" s="72"/>
      <c r="AF32" s="72"/>
      <c r="AG32" s="72"/>
      <c r="AH32" s="73"/>
    </row>
    <row r="33" spans="1:34">
      <c r="A33" s="40">
        <v>1670</v>
      </c>
      <c r="B33" s="64">
        <v>9.4E-2</v>
      </c>
      <c r="C33" s="65">
        <v>6.2E-2</v>
      </c>
      <c r="D33" s="64">
        <v>0.06</v>
      </c>
      <c r="E33" s="65">
        <v>5.8999999999999997E-2</v>
      </c>
      <c r="F33" s="64">
        <v>5.8000000000000003E-2</v>
      </c>
      <c r="G33" s="65">
        <v>5.6000000000000001E-2</v>
      </c>
      <c r="H33" s="64">
        <v>5.5E-2</v>
      </c>
      <c r="I33" s="64">
        <v>5.2999999999999999E-2</v>
      </c>
      <c r="J33" s="64">
        <v>5.1999999999999998E-2</v>
      </c>
      <c r="K33" s="64">
        <v>5.0999999999999997E-2</v>
      </c>
      <c r="L33" s="64">
        <v>0.05</v>
      </c>
      <c r="M33" s="64">
        <v>4.8000000000000001E-2</v>
      </c>
      <c r="N33" s="66">
        <v>4.7E-2</v>
      </c>
      <c r="O33" s="66">
        <v>4.5999999999999999E-2</v>
      </c>
      <c r="P33" s="67"/>
      <c r="Q33" s="74"/>
      <c r="R33" s="73">
        <v>-1.1000000000000001</v>
      </c>
      <c r="S33" s="74"/>
      <c r="T33" s="74"/>
      <c r="U33" s="69"/>
      <c r="V33" s="70"/>
      <c r="W33" s="64"/>
      <c r="X33" s="70"/>
      <c r="Y33" s="64"/>
      <c r="Z33" s="64"/>
      <c r="AA33" s="64"/>
      <c r="AB33" s="71"/>
      <c r="AC33" s="72"/>
      <c r="AD33" s="72"/>
      <c r="AE33" s="72"/>
      <c r="AF33" s="72"/>
      <c r="AG33" s="72"/>
      <c r="AH33" s="73"/>
    </row>
    <row r="34" spans="1:34">
      <c r="A34" s="40">
        <v>1671</v>
      </c>
      <c r="B34" s="64">
        <v>9.5000000000000001E-2</v>
      </c>
      <c r="C34" s="65">
        <v>6.2E-2</v>
      </c>
      <c r="D34" s="64">
        <v>6.0999999999999999E-2</v>
      </c>
      <c r="E34" s="65">
        <v>5.8999999999999997E-2</v>
      </c>
      <c r="F34" s="64">
        <v>5.8000000000000003E-2</v>
      </c>
      <c r="G34" s="65">
        <v>5.7000000000000002E-2</v>
      </c>
      <c r="H34" s="64">
        <v>5.5E-2</v>
      </c>
      <c r="I34" s="64">
        <v>5.3999999999999999E-2</v>
      </c>
      <c r="J34" s="64">
        <v>5.2999999999999999E-2</v>
      </c>
      <c r="K34" s="64">
        <v>5.1999999999999998E-2</v>
      </c>
      <c r="L34" s="64">
        <v>0.05</v>
      </c>
      <c r="M34" s="64">
        <v>4.9000000000000002E-2</v>
      </c>
      <c r="N34" s="66">
        <v>4.7E-2</v>
      </c>
      <c r="O34" s="66">
        <v>4.5999999999999999E-2</v>
      </c>
      <c r="P34" s="67"/>
      <c r="Q34" s="74"/>
      <c r="R34" s="73">
        <v>1.1000000000000001</v>
      </c>
      <c r="S34" s="74"/>
      <c r="T34" s="74"/>
      <c r="U34" s="69"/>
      <c r="V34" s="70"/>
      <c r="W34" s="64"/>
      <c r="X34" s="70"/>
      <c r="Y34" s="64"/>
      <c r="Z34" s="64"/>
      <c r="AA34" s="64"/>
      <c r="AB34" s="71"/>
      <c r="AC34" s="72"/>
      <c r="AD34" s="72"/>
      <c r="AE34" s="72"/>
      <c r="AF34" s="72"/>
      <c r="AG34" s="72"/>
      <c r="AH34" s="73"/>
    </row>
    <row r="35" spans="1:34">
      <c r="A35" s="40">
        <v>1672</v>
      </c>
      <c r="B35" s="64">
        <v>9.4E-2</v>
      </c>
      <c r="C35" s="65">
        <v>6.2E-2</v>
      </c>
      <c r="D35" s="64">
        <v>0.06</v>
      </c>
      <c r="E35" s="65">
        <v>5.8999999999999997E-2</v>
      </c>
      <c r="F35" s="64">
        <v>5.8000000000000003E-2</v>
      </c>
      <c r="G35" s="65">
        <v>5.6000000000000001E-2</v>
      </c>
      <c r="H35" s="64">
        <v>5.5E-2</v>
      </c>
      <c r="I35" s="64">
        <v>5.2999999999999999E-2</v>
      </c>
      <c r="J35" s="64">
        <v>5.1999999999999998E-2</v>
      </c>
      <c r="K35" s="64">
        <v>5.0999999999999997E-2</v>
      </c>
      <c r="L35" s="64">
        <v>0.05</v>
      </c>
      <c r="M35" s="64">
        <v>4.8000000000000001E-2</v>
      </c>
      <c r="N35" s="66">
        <v>4.7E-2</v>
      </c>
      <c r="O35" s="66">
        <v>4.5999999999999999E-2</v>
      </c>
      <c r="P35" s="67"/>
      <c r="Q35" s="74"/>
      <c r="R35" s="73">
        <v>-1.1000000000000001</v>
      </c>
      <c r="S35" s="74"/>
      <c r="T35" s="74"/>
      <c r="U35" s="69"/>
      <c r="V35" s="70"/>
      <c r="W35" s="64"/>
      <c r="X35" s="70"/>
      <c r="Y35" s="64"/>
      <c r="Z35" s="64"/>
      <c r="AA35" s="64"/>
      <c r="AB35" s="71"/>
      <c r="AC35" s="72"/>
      <c r="AD35" s="72"/>
      <c r="AE35" s="72"/>
      <c r="AF35" s="72"/>
      <c r="AG35" s="72"/>
      <c r="AH35" s="73"/>
    </row>
    <row r="36" spans="1:34">
      <c r="A36" s="40">
        <v>1673</v>
      </c>
      <c r="B36" s="64">
        <v>0.09</v>
      </c>
      <c r="C36" s="65">
        <v>5.8999999999999997E-2</v>
      </c>
      <c r="D36" s="64">
        <v>5.7000000000000002E-2</v>
      </c>
      <c r="E36" s="65">
        <v>5.6000000000000001E-2</v>
      </c>
      <c r="F36" s="64">
        <v>5.5E-2</v>
      </c>
      <c r="G36" s="65">
        <v>5.3999999999999999E-2</v>
      </c>
      <c r="H36" s="64">
        <v>5.1999999999999998E-2</v>
      </c>
      <c r="I36" s="64">
        <v>5.0999999999999997E-2</v>
      </c>
      <c r="J36" s="64">
        <v>0.05</v>
      </c>
      <c r="K36" s="64">
        <v>4.9000000000000002E-2</v>
      </c>
      <c r="L36" s="64">
        <v>4.8000000000000001E-2</v>
      </c>
      <c r="M36" s="64">
        <v>4.5999999999999999E-2</v>
      </c>
      <c r="N36" s="66">
        <v>4.4999999999999998E-2</v>
      </c>
      <c r="O36" s="66">
        <v>4.3999999999999997E-2</v>
      </c>
      <c r="P36" s="67"/>
      <c r="Q36" s="74"/>
      <c r="R36" s="73">
        <v>-4.3</v>
      </c>
      <c r="S36" s="74"/>
      <c r="T36" s="74"/>
      <c r="U36" s="69"/>
      <c r="V36" s="70"/>
      <c r="W36" s="64"/>
      <c r="X36" s="70"/>
      <c r="Y36" s="64"/>
      <c r="Z36" s="64"/>
      <c r="AA36" s="64"/>
      <c r="AB36" s="71"/>
      <c r="AC36" s="72"/>
      <c r="AD36" s="72"/>
      <c r="AE36" s="72"/>
      <c r="AF36" s="72"/>
      <c r="AG36" s="72"/>
      <c r="AH36" s="73"/>
    </row>
    <row r="37" spans="1:34">
      <c r="A37" s="40">
        <v>1674</v>
      </c>
      <c r="B37" s="64">
        <v>9.7000000000000003E-2</v>
      </c>
      <c r="C37" s="65">
        <v>6.4000000000000001E-2</v>
      </c>
      <c r="D37" s="64">
        <v>6.2E-2</v>
      </c>
      <c r="E37" s="65">
        <v>0.06</v>
      </c>
      <c r="F37" s="64">
        <v>0.06</v>
      </c>
      <c r="G37" s="65">
        <v>5.8000000000000003E-2</v>
      </c>
      <c r="H37" s="64">
        <v>5.6000000000000001E-2</v>
      </c>
      <c r="I37" s="64">
        <v>5.5E-2</v>
      </c>
      <c r="J37" s="64">
        <v>5.3999999999999999E-2</v>
      </c>
      <c r="K37" s="64">
        <v>5.2999999999999999E-2</v>
      </c>
      <c r="L37" s="64">
        <v>5.0999999999999997E-2</v>
      </c>
      <c r="M37" s="64">
        <v>0.05</v>
      </c>
      <c r="N37" s="66">
        <v>4.8000000000000001E-2</v>
      </c>
      <c r="O37" s="66">
        <v>4.7E-2</v>
      </c>
      <c r="P37" s="67"/>
      <c r="Q37" s="74"/>
      <c r="R37" s="73">
        <v>7.8</v>
      </c>
      <c r="S37" s="74"/>
      <c r="T37" s="74"/>
      <c r="U37" s="69"/>
      <c r="V37" s="70"/>
      <c r="W37" s="64"/>
      <c r="X37" s="70"/>
      <c r="Y37" s="64"/>
      <c r="Z37" s="64"/>
      <c r="AA37" s="64"/>
      <c r="AB37" s="71"/>
      <c r="AC37" s="72"/>
      <c r="AD37" s="72"/>
      <c r="AE37" s="72"/>
      <c r="AF37" s="72"/>
      <c r="AG37" s="72"/>
      <c r="AH37" s="73"/>
    </row>
    <row r="38" spans="1:34">
      <c r="A38" s="40">
        <v>1675</v>
      </c>
      <c r="B38" s="64">
        <v>8.4000000000000005E-2</v>
      </c>
      <c r="C38" s="65">
        <v>5.5E-2</v>
      </c>
      <c r="D38" s="64">
        <v>5.3999999999999999E-2</v>
      </c>
      <c r="E38" s="65">
        <v>5.1999999999999998E-2</v>
      </c>
      <c r="F38" s="64">
        <v>5.1999999999999998E-2</v>
      </c>
      <c r="G38" s="65">
        <v>0.05</v>
      </c>
      <c r="H38" s="64">
        <v>4.9000000000000002E-2</v>
      </c>
      <c r="I38" s="64">
        <v>4.7E-2</v>
      </c>
      <c r="J38" s="64">
        <v>4.7E-2</v>
      </c>
      <c r="K38" s="64">
        <v>4.5999999999999999E-2</v>
      </c>
      <c r="L38" s="64">
        <v>4.3999999999999997E-2</v>
      </c>
      <c r="M38" s="64">
        <v>4.2999999999999997E-2</v>
      </c>
      <c r="N38" s="66">
        <v>4.2000000000000003E-2</v>
      </c>
      <c r="O38" s="66">
        <v>4.1000000000000002E-2</v>
      </c>
      <c r="P38" s="67"/>
      <c r="Q38" s="74"/>
      <c r="R38" s="73">
        <v>-13.4</v>
      </c>
      <c r="S38" s="74"/>
      <c r="T38" s="74"/>
      <c r="U38" s="69"/>
      <c r="V38" s="70"/>
      <c r="W38" s="64"/>
      <c r="X38" s="70"/>
      <c r="Y38" s="64"/>
      <c r="Z38" s="64"/>
      <c r="AA38" s="64"/>
      <c r="AB38" s="71"/>
      <c r="AC38" s="72"/>
      <c r="AD38" s="72"/>
      <c r="AE38" s="72"/>
      <c r="AF38" s="72"/>
      <c r="AG38" s="72"/>
      <c r="AH38" s="73"/>
    </row>
    <row r="39" spans="1:34">
      <c r="A39" s="40">
        <v>1676</v>
      </c>
      <c r="B39" s="64">
        <v>8.5000000000000006E-2</v>
      </c>
      <c r="C39" s="65">
        <v>5.6000000000000001E-2</v>
      </c>
      <c r="D39" s="64">
        <v>5.3999999999999999E-2</v>
      </c>
      <c r="E39" s="65">
        <v>5.2999999999999999E-2</v>
      </c>
      <c r="F39" s="64">
        <v>5.1999999999999998E-2</v>
      </c>
      <c r="G39" s="65">
        <v>5.0999999999999997E-2</v>
      </c>
      <c r="H39" s="64">
        <v>4.9000000000000002E-2</v>
      </c>
      <c r="I39" s="64">
        <v>4.8000000000000001E-2</v>
      </c>
      <c r="J39" s="64">
        <v>4.7E-2</v>
      </c>
      <c r="K39" s="64">
        <v>4.5999999999999999E-2</v>
      </c>
      <c r="L39" s="64">
        <v>4.4999999999999998E-2</v>
      </c>
      <c r="M39" s="64">
        <v>4.3999999999999997E-2</v>
      </c>
      <c r="N39" s="66">
        <v>4.2000000000000003E-2</v>
      </c>
      <c r="O39" s="66">
        <v>4.1000000000000002E-2</v>
      </c>
      <c r="P39" s="67"/>
      <c r="Q39" s="74"/>
      <c r="R39" s="73">
        <v>1.2</v>
      </c>
      <c r="S39" s="74"/>
      <c r="T39" s="74"/>
      <c r="U39" s="69"/>
      <c r="V39" s="70"/>
      <c r="W39" s="64"/>
      <c r="X39" s="70"/>
      <c r="Y39" s="64"/>
      <c r="Z39" s="64"/>
      <c r="AA39" s="64"/>
      <c r="AB39" s="71"/>
      <c r="AC39" s="72"/>
      <c r="AD39" s="72"/>
      <c r="AE39" s="72"/>
      <c r="AF39" s="72"/>
      <c r="AG39" s="72"/>
      <c r="AH39" s="73"/>
    </row>
    <row r="40" spans="1:34">
      <c r="A40" s="40">
        <v>1677</v>
      </c>
      <c r="B40" s="64">
        <v>8.5999999999999993E-2</v>
      </c>
      <c r="C40" s="65">
        <v>5.6000000000000001E-2</v>
      </c>
      <c r="D40" s="64">
        <v>5.5E-2</v>
      </c>
      <c r="E40" s="65">
        <v>5.3999999999999999E-2</v>
      </c>
      <c r="F40" s="64">
        <v>5.2999999999999999E-2</v>
      </c>
      <c r="G40" s="65">
        <v>5.1999999999999998E-2</v>
      </c>
      <c r="H40" s="64">
        <v>0.05</v>
      </c>
      <c r="I40" s="64">
        <v>4.9000000000000002E-2</v>
      </c>
      <c r="J40" s="64">
        <v>4.8000000000000001E-2</v>
      </c>
      <c r="K40" s="64">
        <v>4.7E-2</v>
      </c>
      <c r="L40" s="64">
        <v>4.5999999999999999E-2</v>
      </c>
      <c r="M40" s="64">
        <v>4.3999999999999997E-2</v>
      </c>
      <c r="N40" s="66">
        <v>4.2999999999999997E-2</v>
      </c>
      <c r="O40" s="66">
        <v>4.2000000000000003E-2</v>
      </c>
      <c r="P40" s="67"/>
      <c r="Q40" s="74"/>
      <c r="R40" s="73">
        <v>1.2</v>
      </c>
      <c r="S40" s="74"/>
      <c r="T40" s="74"/>
      <c r="U40" s="69"/>
      <c r="V40" s="70"/>
      <c r="W40" s="64"/>
      <c r="X40" s="70"/>
      <c r="Y40" s="64"/>
      <c r="Z40" s="64"/>
      <c r="AA40" s="64"/>
      <c r="AB40" s="71"/>
      <c r="AC40" s="72"/>
      <c r="AD40" s="72"/>
      <c r="AE40" s="72"/>
      <c r="AF40" s="72"/>
      <c r="AG40" s="72"/>
      <c r="AH40" s="73"/>
    </row>
    <row r="41" spans="1:34">
      <c r="A41" s="40">
        <v>1678</v>
      </c>
      <c r="B41" s="64">
        <v>8.4000000000000005E-2</v>
      </c>
      <c r="C41" s="65">
        <v>5.5E-2</v>
      </c>
      <c r="D41" s="64">
        <v>5.3999999999999999E-2</v>
      </c>
      <c r="E41" s="65">
        <v>5.1999999999999998E-2</v>
      </c>
      <c r="F41" s="64">
        <v>5.1999999999999998E-2</v>
      </c>
      <c r="G41" s="65">
        <v>0.05</v>
      </c>
      <c r="H41" s="64">
        <v>4.9000000000000002E-2</v>
      </c>
      <c r="I41" s="64">
        <v>4.7E-2</v>
      </c>
      <c r="J41" s="64">
        <v>4.7E-2</v>
      </c>
      <c r="K41" s="64">
        <v>4.5999999999999999E-2</v>
      </c>
      <c r="L41" s="64">
        <v>4.3999999999999997E-2</v>
      </c>
      <c r="M41" s="64">
        <v>4.2999999999999997E-2</v>
      </c>
      <c r="N41" s="66">
        <v>4.2000000000000003E-2</v>
      </c>
      <c r="O41" s="66">
        <v>4.1000000000000002E-2</v>
      </c>
      <c r="P41" s="67"/>
      <c r="Q41" s="74"/>
      <c r="R41" s="73">
        <v>-2.2999999999999998</v>
      </c>
      <c r="S41" s="74"/>
      <c r="T41" s="74"/>
      <c r="U41" s="69"/>
      <c r="V41" s="70"/>
      <c r="W41" s="64"/>
      <c r="X41" s="70"/>
      <c r="Y41" s="64"/>
      <c r="Z41" s="64"/>
      <c r="AA41" s="64"/>
      <c r="AB41" s="71"/>
      <c r="AC41" s="72"/>
      <c r="AD41" s="72"/>
      <c r="AE41" s="72"/>
      <c r="AF41" s="72"/>
      <c r="AG41" s="72"/>
      <c r="AH41" s="73"/>
    </row>
    <row r="42" spans="1:34">
      <c r="A42" s="40">
        <v>1679</v>
      </c>
      <c r="B42" s="64">
        <v>8.3000000000000004E-2</v>
      </c>
      <c r="C42" s="65">
        <v>5.3999999999999999E-2</v>
      </c>
      <c r="D42" s="64">
        <v>5.2999999999999999E-2</v>
      </c>
      <c r="E42" s="65">
        <v>5.1999999999999998E-2</v>
      </c>
      <c r="F42" s="64">
        <v>5.0999999999999997E-2</v>
      </c>
      <c r="G42" s="65">
        <v>0.05</v>
      </c>
      <c r="H42" s="64">
        <v>4.8000000000000001E-2</v>
      </c>
      <c r="I42" s="64">
        <v>4.7E-2</v>
      </c>
      <c r="J42" s="64">
        <v>4.5999999999999999E-2</v>
      </c>
      <c r="K42" s="64">
        <v>4.4999999999999998E-2</v>
      </c>
      <c r="L42" s="64">
        <v>4.3999999999999997E-2</v>
      </c>
      <c r="M42" s="64">
        <v>4.2000000000000003E-2</v>
      </c>
      <c r="N42" s="66">
        <v>4.1000000000000002E-2</v>
      </c>
      <c r="O42" s="66">
        <v>0.04</v>
      </c>
      <c r="P42" s="67"/>
      <c r="Q42" s="74"/>
      <c r="R42" s="73">
        <v>-1.2</v>
      </c>
      <c r="S42" s="74"/>
      <c r="T42" s="74"/>
      <c r="U42" s="69"/>
      <c r="V42" s="70"/>
      <c r="W42" s="64"/>
      <c r="X42" s="70"/>
      <c r="Y42" s="64"/>
      <c r="Z42" s="64"/>
      <c r="AA42" s="64"/>
      <c r="AB42" s="71"/>
      <c r="AC42" s="72"/>
      <c r="AD42" s="72"/>
      <c r="AE42" s="72"/>
      <c r="AF42" s="72"/>
      <c r="AG42" s="72"/>
      <c r="AH42" s="73"/>
    </row>
    <row r="43" spans="1:34">
      <c r="A43" s="40">
        <v>1680</v>
      </c>
      <c r="B43" s="64">
        <v>9.5000000000000001E-2</v>
      </c>
      <c r="C43" s="65">
        <v>6.2E-2</v>
      </c>
      <c r="D43" s="64">
        <v>6.0999999999999999E-2</v>
      </c>
      <c r="E43" s="65">
        <v>5.8999999999999997E-2</v>
      </c>
      <c r="F43" s="64">
        <v>5.8000000000000003E-2</v>
      </c>
      <c r="G43" s="65">
        <v>5.7000000000000002E-2</v>
      </c>
      <c r="H43" s="64">
        <v>5.5E-2</v>
      </c>
      <c r="I43" s="64">
        <v>5.3999999999999999E-2</v>
      </c>
      <c r="J43" s="64">
        <v>5.2999999999999999E-2</v>
      </c>
      <c r="K43" s="64">
        <v>5.1999999999999998E-2</v>
      </c>
      <c r="L43" s="64">
        <v>0.05</v>
      </c>
      <c r="M43" s="64">
        <v>4.9000000000000002E-2</v>
      </c>
      <c r="N43" s="66">
        <v>4.7E-2</v>
      </c>
      <c r="O43" s="66">
        <v>4.5999999999999999E-2</v>
      </c>
      <c r="P43" s="67"/>
      <c r="Q43" s="74"/>
      <c r="R43" s="73">
        <v>14.5</v>
      </c>
      <c r="S43" s="74"/>
      <c r="T43" s="74"/>
      <c r="U43" s="69"/>
      <c r="V43" s="70"/>
      <c r="W43" s="64"/>
      <c r="X43" s="70"/>
      <c r="Y43" s="64"/>
      <c r="Z43" s="64"/>
      <c r="AA43" s="64"/>
      <c r="AB43" s="71"/>
      <c r="AC43" s="72"/>
      <c r="AD43" s="72"/>
      <c r="AE43" s="72"/>
      <c r="AF43" s="72"/>
      <c r="AG43" s="72"/>
      <c r="AH43" s="73"/>
    </row>
    <row r="44" spans="1:34">
      <c r="A44" s="40">
        <v>1681</v>
      </c>
      <c r="B44" s="64">
        <v>9.8000000000000004E-2</v>
      </c>
      <c r="C44" s="65">
        <v>6.4000000000000001E-2</v>
      </c>
      <c r="D44" s="64">
        <v>6.2E-2</v>
      </c>
      <c r="E44" s="65">
        <v>6.0999999999999999E-2</v>
      </c>
      <c r="F44" s="64">
        <v>0.06</v>
      </c>
      <c r="G44" s="65">
        <v>5.8999999999999997E-2</v>
      </c>
      <c r="H44" s="64">
        <v>5.7000000000000002E-2</v>
      </c>
      <c r="I44" s="64">
        <v>5.5E-2</v>
      </c>
      <c r="J44" s="64">
        <v>5.3999999999999999E-2</v>
      </c>
      <c r="K44" s="64">
        <v>5.2999999999999999E-2</v>
      </c>
      <c r="L44" s="64">
        <v>5.1999999999999998E-2</v>
      </c>
      <c r="M44" s="64">
        <v>0.05</v>
      </c>
      <c r="N44" s="66">
        <v>4.9000000000000002E-2</v>
      </c>
      <c r="O44" s="66">
        <v>4.8000000000000001E-2</v>
      </c>
      <c r="P44" s="67"/>
      <c r="Q44" s="74"/>
      <c r="R44" s="73">
        <v>3.2</v>
      </c>
      <c r="S44" s="74"/>
      <c r="T44" s="74"/>
      <c r="U44" s="69"/>
      <c r="V44" s="70"/>
      <c r="W44" s="64"/>
      <c r="X44" s="70"/>
      <c r="Y44" s="64"/>
      <c r="Z44" s="64"/>
      <c r="AA44" s="64"/>
      <c r="AB44" s="71"/>
      <c r="AC44" s="72"/>
      <c r="AD44" s="72"/>
      <c r="AE44" s="72"/>
      <c r="AF44" s="72"/>
      <c r="AG44" s="72"/>
      <c r="AH44" s="73"/>
    </row>
    <row r="45" spans="1:34">
      <c r="A45" s="40">
        <v>1682</v>
      </c>
      <c r="B45" s="64">
        <v>0.08</v>
      </c>
      <c r="C45" s="65">
        <v>5.1999999999999998E-2</v>
      </c>
      <c r="D45" s="64">
        <v>5.0999999999999997E-2</v>
      </c>
      <c r="E45" s="65">
        <v>0.05</v>
      </c>
      <c r="F45" s="64">
        <v>4.9000000000000002E-2</v>
      </c>
      <c r="G45" s="65">
        <v>4.8000000000000001E-2</v>
      </c>
      <c r="H45" s="64">
        <v>4.5999999999999999E-2</v>
      </c>
      <c r="I45" s="64">
        <v>4.4999999999999998E-2</v>
      </c>
      <c r="J45" s="64">
        <v>4.3999999999999997E-2</v>
      </c>
      <c r="K45" s="64">
        <v>4.2999999999999997E-2</v>
      </c>
      <c r="L45" s="64">
        <v>4.2000000000000003E-2</v>
      </c>
      <c r="M45" s="64">
        <v>4.1000000000000002E-2</v>
      </c>
      <c r="N45" s="66">
        <v>0.04</v>
      </c>
      <c r="O45" s="66">
        <v>3.9E-2</v>
      </c>
      <c r="P45" s="67"/>
      <c r="Q45" s="74"/>
      <c r="R45" s="73">
        <v>-18.399999999999999</v>
      </c>
      <c r="S45" s="74"/>
      <c r="T45" s="74"/>
      <c r="U45" s="69"/>
      <c r="V45" s="70"/>
      <c r="W45" s="64"/>
      <c r="X45" s="70"/>
      <c r="Y45" s="64"/>
      <c r="Z45" s="64"/>
      <c r="AA45" s="64"/>
      <c r="AB45" s="71"/>
      <c r="AC45" s="72"/>
      <c r="AD45" s="72"/>
      <c r="AE45" s="72"/>
      <c r="AF45" s="72"/>
      <c r="AG45" s="72"/>
      <c r="AH45" s="73"/>
    </row>
    <row r="46" spans="1:34">
      <c r="A46" s="40">
        <v>1683</v>
      </c>
      <c r="B46" s="64">
        <v>0.08</v>
      </c>
      <c r="C46" s="65">
        <v>5.1999999999999998E-2</v>
      </c>
      <c r="D46" s="64">
        <v>5.0999999999999997E-2</v>
      </c>
      <c r="E46" s="65">
        <v>0.05</v>
      </c>
      <c r="F46" s="64">
        <v>4.9000000000000002E-2</v>
      </c>
      <c r="G46" s="65">
        <v>4.8000000000000001E-2</v>
      </c>
      <c r="H46" s="64">
        <v>4.5999999999999999E-2</v>
      </c>
      <c r="I46" s="64">
        <v>4.4999999999999998E-2</v>
      </c>
      <c r="J46" s="64">
        <v>4.3999999999999997E-2</v>
      </c>
      <c r="K46" s="64">
        <v>4.2999999999999997E-2</v>
      </c>
      <c r="L46" s="64">
        <v>4.2000000000000003E-2</v>
      </c>
      <c r="M46" s="64">
        <v>4.1000000000000002E-2</v>
      </c>
      <c r="N46" s="66">
        <v>0.04</v>
      </c>
      <c r="O46" s="66">
        <v>3.9E-2</v>
      </c>
      <c r="P46" s="67"/>
      <c r="Q46" s="74"/>
      <c r="R46" s="73">
        <v>0</v>
      </c>
      <c r="S46" s="74"/>
      <c r="T46" s="74"/>
      <c r="U46" s="69"/>
      <c r="V46" s="70"/>
      <c r="W46" s="64"/>
      <c r="X46" s="70"/>
      <c r="Y46" s="64"/>
      <c r="Z46" s="64"/>
      <c r="AA46" s="64"/>
      <c r="AB46" s="71"/>
      <c r="AC46" s="72"/>
      <c r="AD46" s="72"/>
      <c r="AE46" s="72"/>
      <c r="AF46" s="72"/>
      <c r="AG46" s="72"/>
      <c r="AH46" s="73"/>
    </row>
    <row r="47" spans="1:34">
      <c r="A47" s="40">
        <v>1684</v>
      </c>
      <c r="B47" s="64">
        <v>0.08</v>
      </c>
      <c r="C47" s="65">
        <v>5.1999999999999998E-2</v>
      </c>
      <c r="D47" s="64">
        <v>5.0999999999999997E-2</v>
      </c>
      <c r="E47" s="65">
        <v>0.05</v>
      </c>
      <c r="F47" s="64">
        <v>4.9000000000000002E-2</v>
      </c>
      <c r="G47" s="65">
        <v>4.8000000000000001E-2</v>
      </c>
      <c r="H47" s="64">
        <v>4.5999999999999999E-2</v>
      </c>
      <c r="I47" s="64">
        <v>4.4999999999999998E-2</v>
      </c>
      <c r="J47" s="64">
        <v>4.3999999999999997E-2</v>
      </c>
      <c r="K47" s="64">
        <v>4.2999999999999997E-2</v>
      </c>
      <c r="L47" s="64">
        <v>4.2000000000000003E-2</v>
      </c>
      <c r="M47" s="64">
        <v>4.1000000000000002E-2</v>
      </c>
      <c r="N47" s="66">
        <v>0.04</v>
      </c>
      <c r="O47" s="66">
        <v>3.9E-2</v>
      </c>
      <c r="P47" s="67"/>
      <c r="Q47" s="74"/>
      <c r="R47" s="73">
        <v>0</v>
      </c>
      <c r="S47" s="74"/>
      <c r="T47" s="74"/>
      <c r="U47" s="69"/>
      <c r="V47" s="70"/>
      <c r="W47" s="64"/>
      <c r="X47" s="70"/>
      <c r="Y47" s="64"/>
      <c r="Z47" s="64"/>
      <c r="AA47" s="64"/>
      <c r="AB47" s="71"/>
      <c r="AC47" s="72"/>
      <c r="AD47" s="72"/>
      <c r="AE47" s="72"/>
      <c r="AF47" s="72"/>
      <c r="AG47" s="72"/>
      <c r="AH47" s="73"/>
    </row>
    <row r="48" spans="1:34">
      <c r="A48" s="40">
        <v>1685</v>
      </c>
      <c r="B48" s="64">
        <v>8.5999999999999993E-2</v>
      </c>
      <c r="C48" s="65">
        <v>5.6000000000000001E-2</v>
      </c>
      <c r="D48" s="64">
        <v>5.5E-2</v>
      </c>
      <c r="E48" s="65">
        <v>5.3999999999999999E-2</v>
      </c>
      <c r="F48" s="64">
        <v>5.2999999999999999E-2</v>
      </c>
      <c r="G48" s="65">
        <v>5.1999999999999998E-2</v>
      </c>
      <c r="H48" s="64">
        <v>0.05</v>
      </c>
      <c r="I48" s="64">
        <v>4.9000000000000002E-2</v>
      </c>
      <c r="J48" s="64">
        <v>4.8000000000000001E-2</v>
      </c>
      <c r="K48" s="64">
        <v>4.7E-2</v>
      </c>
      <c r="L48" s="64">
        <v>4.5999999999999999E-2</v>
      </c>
      <c r="M48" s="64">
        <v>4.3999999999999997E-2</v>
      </c>
      <c r="N48" s="66">
        <v>4.2999999999999997E-2</v>
      </c>
      <c r="O48" s="66">
        <v>4.2000000000000003E-2</v>
      </c>
      <c r="P48" s="67"/>
      <c r="Q48" s="74"/>
      <c r="R48" s="73">
        <v>7.5</v>
      </c>
      <c r="S48" s="74"/>
      <c r="T48" s="74"/>
      <c r="U48" s="69"/>
      <c r="V48" s="70"/>
      <c r="W48" s="64"/>
      <c r="X48" s="70"/>
      <c r="Y48" s="64"/>
      <c r="Z48" s="64"/>
      <c r="AA48" s="64"/>
      <c r="AB48" s="71"/>
      <c r="AC48" s="72"/>
      <c r="AD48" s="72"/>
      <c r="AE48" s="72"/>
      <c r="AF48" s="72"/>
      <c r="AG48" s="72"/>
      <c r="AH48" s="73"/>
    </row>
    <row r="49" spans="1:34">
      <c r="A49" s="40">
        <v>1686</v>
      </c>
      <c r="B49" s="64">
        <v>8.1000000000000003E-2</v>
      </c>
      <c r="C49" s="65">
        <v>5.2999999999999999E-2</v>
      </c>
      <c r="D49" s="64">
        <v>5.1999999999999998E-2</v>
      </c>
      <c r="E49" s="65">
        <v>0.05</v>
      </c>
      <c r="F49" s="64">
        <v>0.05</v>
      </c>
      <c r="G49" s="65">
        <v>4.9000000000000002E-2</v>
      </c>
      <c r="H49" s="64">
        <v>4.7E-2</v>
      </c>
      <c r="I49" s="64">
        <v>4.5999999999999999E-2</v>
      </c>
      <c r="J49" s="64">
        <v>4.4999999999999998E-2</v>
      </c>
      <c r="K49" s="64">
        <v>4.3999999999999997E-2</v>
      </c>
      <c r="L49" s="64">
        <v>4.2999999999999997E-2</v>
      </c>
      <c r="M49" s="64">
        <v>4.1000000000000002E-2</v>
      </c>
      <c r="N49" s="66">
        <v>0.04</v>
      </c>
      <c r="O49" s="66">
        <v>3.9E-2</v>
      </c>
      <c r="P49" s="67"/>
      <c r="Q49" s="74"/>
      <c r="R49" s="73">
        <v>-5.8</v>
      </c>
      <c r="S49" s="74"/>
      <c r="T49" s="74"/>
      <c r="U49" s="69"/>
      <c r="V49" s="70"/>
      <c r="W49" s="64"/>
      <c r="X49" s="70"/>
      <c r="Y49" s="64"/>
      <c r="Z49" s="64"/>
      <c r="AA49" s="64"/>
      <c r="AB49" s="71"/>
      <c r="AC49" s="72"/>
      <c r="AD49" s="72"/>
      <c r="AE49" s="72"/>
      <c r="AF49" s="72"/>
      <c r="AG49" s="72"/>
      <c r="AH49" s="73"/>
    </row>
    <row r="50" spans="1:34">
      <c r="A50" s="40">
        <v>1687</v>
      </c>
      <c r="B50" s="64">
        <v>8.1000000000000003E-2</v>
      </c>
      <c r="C50" s="65">
        <v>5.2999999999999999E-2</v>
      </c>
      <c r="D50" s="64">
        <v>5.1999999999999998E-2</v>
      </c>
      <c r="E50" s="65">
        <v>0.05</v>
      </c>
      <c r="F50" s="64">
        <v>0.05</v>
      </c>
      <c r="G50" s="65">
        <v>4.9000000000000002E-2</v>
      </c>
      <c r="H50" s="64">
        <v>4.7E-2</v>
      </c>
      <c r="I50" s="64">
        <v>4.5999999999999999E-2</v>
      </c>
      <c r="J50" s="64">
        <v>4.4999999999999998E-2</v>
      </c>
      <c r="K50" s="64">
        <v>4.3999999999999997E-2</v>
      </c>
      <c r="L50" s="64">
        <v>4.2999999999999997E-2</v>
      </c>
      <c r="M50" s="64">
        <v>4.1000000000000002E-2</v>
      </c>
      <c r="N50" s="66">
        <v>0.04</v>
      </c>
      <c r="O50" s="66">
        <v>3.9E-2</v>
      </c>
      <c r="P50" s="67"/>
      <c r="Q50" s="74"/>
      <c r="R50" s="73">
        <v>0</v>
      </c>
      <c r="S50" s="74"/>
      <c r="T50" s="74"/>
      <c r="U50" s="69"/>
      <c r="V50" s="70"/>
      <c r="W50" s="64"/>
      <c r="X50" s="70"/>
      <c r="Y50" s="64"/>
      <c r="Z50" s="64"/>
      <c r="AA50" s="64"/>
      <c r="AB50" s="71"/>
      <c r="AC50" s="72"/>
      <c r="AD50" s="72"/>
      <c r="AE50" s="72"/>
      <c r="AF50" s="72"/>
      <c r="AG50" s="72"/>
      <c r="AH50" s="73"/>
    </row>
    <row r="51" spans="1:34">
      <c r="A51" s="40">
        <v>1688</v>
      </c>
      <c r="B51" s="64">
        <v>7.3999999999999996E-2</v>
      </c>
      <c r="C51" s="65">
        <v>4.9000000000000002E-2</v>
      </c>
      <c r="D51" s="64">
        <v>4.7E-2</v>
      </c>
      <c r="E51" s="65">
        <v>4.5999999999999999E-2</v>
      </c>
      <c r="F51" s="64">
        <v>4.4999999999999998E-2</v>
      </c>
      <c r="G51" s="65">
        <v>4.3999999999999997E-2</v>
      </c>
      <c r="H51" s="64">
        <v>4.2999999999999997E-2</v>
      </c>
      <c r="I51" s="64">
        <v>4.2000000000000003E-2</v>
      </c>
      <c r="J51" s="64">
        <v>4.1000000000000002E-2</v>
      </c>
      <c r="K51" s="64">
        <v>0.04</v>
      </c>
      <c r="L51" s="64">
        <v>3.9E-2</v>
      </c>
      <c r="M51" s="64">
        <v>3.7999999999999999E-2</v>
      </c>
      <c r="N51" s="66">
        <v>3.6999999999999998E-2</v>
      </c>
      <c r="O51" s="66">
        <v>3.5999999999999997E-2</v>
      </c>
      <c r="P51" s="67"/>
      <c r="Q51" s="74"/>
      <c r="R51" s="73">
        <v>-8.6</v>
      </c>
      <c r="S51" s="74"/>
      <c r="T51" s="74"/>
      <c r="U51" s="69"/>
      <c r="V51" s="70"/>
      <c r="W51" s="64"/>
      <c r="X51" s="70"/>
      <c r="Y51" s="64"/>
      <c r="Z51" s="64"/>
      <c r="AA51" s="64"/>
      <c r="AB51" s="71"/>
      <c r="AC51" s="72"/>
      <c r="AD51" s="72"/>
      <c r="AE51" s="72"/>
      <c r="AF51" s="72"/>
      <c r="AG51" s="72"/>
      <c r="AH51" s="73"/>
    </row>
    <row r="52" spans="1:34">
      <c r="A52" s="40">
        <v>1689</v>
      </c>
      <c r="B52" s="64">
        <v>7.4999999999999997E-2</v>
      </c>
      <c r="C52" s="65">
        <v>4.9000000000000002E-2</v>
      </c>
      <c r="D52" s="64">
        <v>4.8000000000000001E-2</v>
      </c>
      <c r="E52" s="65">
        <v>4.7E-2</v>
      </c>
      <c r="F52" s="64">
        <v>4.5999999999999999E-2</v>
      </c>
      <c r="G52" s="65">
        <v>4.4999999999999998E-2</v>
      </c>
      <c r="H52" s="64">
        <v>4.3999999999999997E-2</v>
      </c>
      <c r="I52" s="64">
        <v>4.2000000000000003E-2</v>
      </c>
      <c r="J52" s="64">
        <v>4.2000000000000003E-2</v>
      </c>
      <c r="K52" s="64">
        <v>4.1000000000000002E-2</v>
      </c>
      <c r="L52" s="64">
        <v>0.04</v>
      </c>
      <c r="M52" s="64">
        <v>3.7999999999999999E-2</v>
      </c>
      <c r="N52" s="66">
        <v>3.6999999999999998E-2</v>
      </c>
      <c r="O52" s="66">
        <v>3.5999999999999997E-2</v>
      </c>
      <c r="P52" s="67"/>
      <c r="Q52" s="74"/>
      <c r="R52" s="73">
        <v>1.4</v>
      </c>
      <c r="S52" s="74"/>
      <c r="T52" s="74"/>
      <c r="U52" s="69"/>
      <c r="V52" s="70"/>
      <c r="W52" s="64"/>
      <c r="X52" s="70"/>
      <c r="Y52" s="64"/>
      <c r="Z52" s="64"/>
      <c r="AA52" s="64"/>
      <c r="AB52" s="71"/>
      <c r="AC52" s="72"/>
      <c r="AD52" s="72"/>
      <c r="AE52" s="72"/>
      <c r="AF52" s="72"/>
      <c r="AG52" s="72"/>
      <c r="AH52" s="73"/>
    </row>
    <row r="53" spans="1:34">
      <c r="A53" s="40">
        <v>1690</v>
      </c>
      <c r="B53" s="64">
        <v>7.6999999999999999E-2</v>
      </c>
      <c r="C53" s="65">
        <v>5.0999999999999997E-2</v>
      </c>
      <c r="D53" s="64">
        <v>4.9000000000000002E-2</v>
      </c>
      <c r="E53" s="65">
        <v>4.8000000000000001E-2</v>
      </c>
      <c r="F53" s="64">
        <v>4.7E-2</v>
      </c>
      <c r="G53" s="65">
        <v>4.5999999999999999E-2</v>
      </c>
      <c r="H53" s="64">
        <v>4.4999999999999998E-2</v>
      </c>
      <c r="I53" s="64">
        <v>4.2999999999999997E-2</v>
      </c>
      <c r="J53" s="64">
        <v>4.2999999999999997E-2</v>
      </c>
      <c r="K53" s="64">
        <v>4.2000000000000003E-2</v>
      </c>
      <c r="L53" s="64">
        <v>4.1000000000000002E-2</v>
      </c>
      <c r="M53" s="64">
        <v>3.9E-2</v>
      </c>
      <c r="N53" s="66">
        <v>3.7999999999999999E-2</v>
      </c>
      <c r="O53" s="66">
        <v>3.6999999999999998E-2</v>
      </c>
      <c r="P53" s="67"/>
      <c r="Q53" s="74"/>
      <c r="R53" s="73">
        <v>2.7</v>
      </c>
      <c r="S53" s="74"/>
      <c r="T53" s="74"/>
      <c r="U53" s="69"/>
      <c r="V53" s="70"/>
      <c r="W53" s="64"/>
      <c r="X53" s="70"/>
      <c r="Y53" s="64"/>
      <c r="Z53" s="64"/>
      <c r="AA53" s="64"/>
      <c r="AB53" s="71"/>
      <c r="AC53" s="72"/>
      <c r="AD53" s="72"/>
      <c r="AE53" s="72"/>
      <c r="AF53" s="72"/>
      <c r="AG53" s="72"/>
      <c r="AH53" s="73"/>
    </row>
    <row r="54" spans="1:34">
      <c r="A54" s="40">
        <v>1691</v>
      </c>
      <c r="B54" s="64">
        <v>8.1000000000000003E-2</v>
      </c>
      <c r="C54" s="65">
        <v>5.2999999999999999E-2</v>
      </c>
      <c r="D54" s="64">
        <v>5.1999999999999998E-2</v>
      </c>
      <c r="E54" s="65">
        <v>0.05</v>
      </c>
      <c r="F54" s="64">
        <v>0.05</v>
      </c>
      <c r="G54" s="65">
        <v>4.9000000000000002E-2</v>
      </c>
      <c r="H54" s="64">
        <v>4.7E-2</v>
      </c>
      <c r="I54" s="64">
        <v>4.5999999999999999E-2</v>
      </c>
      <c r="J54" s="64">
        <v>4.4999999999999998E-2</v>
      </c>
      <c r="K54" s="64">
        <v>4.3999999999999997E-2</v>
      </c>
      <c r="L54" s="64">
        <v>4.2999999999999997E-2</v>
      </c>
      <c r="M54" s="64">
        <v>4.1000000000000002E-2</v>
      </c>
      <c r="N54" s="66">
        <v>0.04</v>
      </c>
      <c r="O54" s="66">
        <v>3.9E-2</v>
      </c>
      <c r="P54" s="67"/>
      <c r="Q54" s="74"/>
      <c r="R54" s="73">
        <v>5.2</v>
      </c>
      <c r="S54" s="74"/>
      <c r="T54" s="74"/>
      <c r="U54" s="69"/>
      <c r="V54" s="70"/>
      <c r="W54" s="64"/>
      <c r="X54" s="70"/>
      <c r="Y54" s="64"/>
      <c r="Z54" s="64"/>
      <c r="AA54" s="64"/>
      <c r="AB54" s="71"/>
      <c r="AC54" s="72"/>
      <c r="AD54" s="72"/>
      <c r="AE54" s="72"/>
      <c r="AF54" s="72"/>
      <c r="AG54" s="72"/>
      <c r="AH54" s="73"/>
    </row>
    <row r="55" spans="1:34">
      <c r="A55" s="40">
        <v>1692</v>
      </c>
      <c r="B55" s="64">
        <v>7.5999999999999998E-2</v>
      </c>
      <c r="C55" s="65">
        <v>0.05</v>
      </c>
      <c r="D55" s="64">
        <v>4.8000000000000001E-2</v>
      </c>
      <c r="E55" s="65">
        <v>4.7E-2</v>
      </c>
      <c r="F55" s="64">
        <v>4.7E-2</v>
      </c>
      <c r="G55" s="65">
        <v>4.5999999999999999E-2</v>
      </c>
      <c r="H55" s="64">
        <v>4.3999999999999997E-2</v>
      </c>
      <c r="I55" s="64">
        <v>4.2999999999999997E-2</v>
      </c>
      <c r="J55" s="64">
        <v>4.2000000000000003E-2</v>
      </c>
      <c r="K55" s="64">
        <v>4.1000000000000002E-2</v>
      </c>
      <c r="L55" s="64">
        <v>0.04</v>
      </c>
      <c r="M55" s="64">
        <v>3.9E-2</v>
      </c>
      <c r="N55" s="66">
        <v>3.7999999999999999E-2</v>
      </c>
      <c r="O55" s="66">
        <v>3.6999999999999998E-2</v>
      </c>
      <c r="P55" s="67"/>
      <c r="Q55" s="74"/>
      <c r="R55" s="73">
        <v>-6.2</v>
      </c>
      <c r="S55" s="74"/>
      <c r="T55" s="74"/>
      <c r="U55" s="69"/>
      <c r="V55" s="70"/>
      <c r="W55" s="64"/>
      <c r="X55" s="70"/>
      <c r="Y55" s="64"/>
      <c r="Z55" s="64"/>
      <c r="AA55" s="64"/>
      <c r="AB55" s="71"/>
      <c r="AC55" s="72"/>
      <c r="AD55" s="72"/>
      <c r="AE55" s="72"/>
      <c r="AF55" s="72"/>
      <c r="AG55" s="72"/>
      <c r="AH55" s="73"/>
    </row>
    <row r="56" spans="1:34">
      <c r="A56" s="40">
        <v>1693</v>
      </c>
      <c r="B56" s="64">
        <v>7.1999999999999995E-2</v>
      </c>
      <c r="C56" s="65">
        <v>4.7E-2</v>
      </c>
      <c r="D56" s="64">
        <v>4.5999999999999999E-2</v>
      </c>
      <c r="E56" s="65">
        <v>4.4999999999999998E-2</v>
      </c>
      <c r="F56" s="64">
        <v>4.3999999999999997E-2</v>
      </c>
      <c r="G56" s="65">
        <v>4.2999999999999997E-2</v>
      </c>
      <c r="H56" s="64">
        <v>4.2000000000000003E-2</v>
      </c>
      <c r="I56" s="64">
        <v>4.1000000000000002E-2</v>
      </c>
      <c r="J56" s="64">
        <v>0.04</v>
      </c>
      <c r="K56" s="64">
        <v>3.9E-2</v>
      </c>
      <c r="L56" s="64">
        <v>3.7999999999999999E-2</v>
      </c>
      <c r="M56" s="64">
        <v>3.6999999999999998E-2</v>
      </c>
      <c r="N56" s="66">
        <v>3.5999999999999997E-2</v>
      </c>
      <c r="O56" s="66">
        <v>3.5000000000000003E-2</v>
      </c>
      <c r="P56" s="67"/>
      <c r="Q56" s="74"/>
      <c r="R56" s="73">
        <v>-5.3</v>
      </c>
      <c r="S56" s="74"/>
      <c r="T56" s="74"/>
      <c r="U56" s="69"/>
      <c r="V56" s="70"/>
      <c r="W56" s="64"/>
      <c r="X56" s="70"/>
      <c r="Y56" s="64"/>
      <c r="Z56" s="64"/>
      <c r="AA56" s="64"/>
      <c r="AB56" s="71"/>
      <c r="AC56" s="72"/>
      <c r="AD56" s="72"/>
      <c r="AE56" s="72"/>
      <c r="AF56" s="72"/>
      <c r="AG56" s="72"/>
      <c r="AH56" s="73"/>
    </row>
    <row r="57" spans="1:34">
      <c r="A57" s="40">
        <v>1694</v>
      </c>
      <c r="B57" s="64">
        <v>7.5999999999999998E-2</v>
      </c>
      <c r="C57" s="65">
        <v>0.05</v>
      </c>
      <c r="D57" s="64">
        <v>4.8000000000000001E-2</v>
      </c>
      <c r="E57" s="65">
        <v>4.7E-2</v>
      </c>
      <c r="F57" s="64">
        <v>4.7E-2</v>
      </c>
      <c r="G57" s="65">
        <v>4.5999999999999999E-2</v>
      </c>
      <c r="H57" s="64">
        <v>4.3999999999999997E-2</v>
      </c>
      <c r="I57" s="64">
        <v>4.2999999999999997E-2</v>
      </c>
      <c r="J57" s="64">
        <v>4.2000000000000003E-2</v>
      </c>
      <c r="K57" s="64">
        <v>4.1000000000000002E-2</v>
      </c>
      <c r="L57" s="64">
        <v>0.04</v>
      </c>
      <c r="M57" s="64">
        <v>3.9E-2</v>
      </c>
      <c r="N57" s="66">
        <v>3.7999999999999999E-2</v>
      </c>
      <c r="O57" s="66">
        <v>3.6999999999999998E-2</v>
      </c>
      <c r="P57" s="67"/>
      <c r="Q57" s="74"/>
      <c r="R57" s="73">
        <v>5.6</v>
      </c>
      <c r="S57" s="74"/>
      <c r="T57" s="74"/>
      <c r="U57" s="69"/>
      <c r="V57" s="70"/>
      <c r="W57" s="64"/>
      <c r="X57" s="70"/>
      <c r="Y57" s="64"/>
      <c r="Z57" s="64"/>
      <c r="AA57" s="64"/>
      <c r="AB57" s="71"/>
      <c r="AC57" s="72"/>
      <c r="AD57" s="72"/>
      <c r="AE57" s="72"/>
      <c r="AF57" s="72"/>
      <c r="AG57" s="72"/>
      <c r="AH57" s="73"/>
    </row>
    <row r="58" spans="1:34">
      <c r="A58" s="40">
        <v>1695</v>
      </c>
      <c r="B58" s="64">
        <v>7.0000000000000007E-2</v>
      </c>
      <c r="C58" s="65">
        <v>4.5999999999999999E-2</v>
      </c>
      <c r="D58" s="64">
        <v>4.4999999999999998E-2</v>
      </c>
      <c r="E58" s="65">
        <v>4.3999999999999997E-2</v>
      </c>
      <c r="F58" s="64">
        <v>4.2999999999999997E-2</v>
      </c>
      <c r="G58" s="65">
        <v>4.2000000000000003E-2</v>
      </c>
      <c r="H58" s="64">
        <v>4.1000000000000002E-2</v>
      </c>
      <c r="I58" s="64">
        <v>0.04</v>
      </c>
      <c r="J58" s="64">
        <v>3.9E-2</v>
      </c>
      <c r="K58" s="64">
        <v>3.7999999999999999E-2</v>
      </c>
      <c r="L58" s="64">
        <v>3.6999999999999998E-2</v>
      </c>
      <c r="M58" s="64">
        <v>3.5999999999999997E-2</v>
      </c>
      <c r="N58" s="66">
        <v>3.5000000000000003E-2</v>
      </c>
      <c r="O58" s="66">
        <v>3.4000000000000002E-2</v>
      </c>
      <c r="P58" s="67"/>
      <c r="Q58" s="74"/>
      <c r="R58" s="73">
        <v>-7.9</v>
      </c>
      <c r="S58" s="74"/>
      <c r="T58" s="74"/>
      <c r="U58" s="69"/>
      <c r="V58" s="70"/>
      <c r="W58" s="64"/>
      <c r="X58" s="70"/>
      <c r="Y58" s="64"/>
      <c r="Z58" s="64"/>
      <c r="AA58" s="64"/>
      <c r="AB58" s="71"/>
      <c r="AC58" s="72"/>
      <c r="AD58" s="72"/>
      <c r="AE58" s="72"/>
      <c r="AF58" s="72"/>
      <c r="AG58" s="72"/>
      <c r="AH58" s="73"/>
    </row>
    <row r="59" spans="1:34">
      <c r="A59" s="40">
        <v>1696</v>
      </c>
      <c r="B59" s="64">
        <v>8.2000000000000003E-2</v>
      </c>
      <c r="C59" s="65">
        <v>5.3999999999999999E-2</v>
      </c>
      <c r="D59" s="64">
        <v>5.1999999999999998E-2</v>
      </c>
      <c r="E59" s="65">
        <v>5.0999999999999997E-2</v>
      </c>
      <c r="F59" s="64">
        <v>0.05</v>
      </c>
      <c r="G59" s="65">
        <v>4.9000000000000002E-2</v>
      </c>
      <c r="H59" s="64">
        <v>4.8000000000000001E-2</v>
      </c>
      <c r="I59" s="64">
        <v>4.5999999999999999E-2</v>
      </c>
      <c r="J59" s="64">
        <v>4.5999999999999999E-2</v>
      </c>
      <c r="K59" s="64">
        <v>4.4999999999999998E-2</v>
      </c>
      <c r="L59" s="64">
        <v>4.2999999999999997E-2</v>
      </c>
      <c r="M59" s="64">
        <v>4.2000000000000003E-2</v>
      </c>
      <c r="N59" s="66">
        <v>4.1000000000000002E-2</v>
      </c>
      <c r="O59" s="66">
        <v>0.04</v>
      </c>
      <c r="P59" s="67"/>
      <c r="Q59" s="74"/>
      <c r="R59" s="73">
        <v>17.100000000000001</v>
      </c>
      <c r="S59" s="74"/>
      <c r="T59" s="74"/>
      <c r="U59" s="69"/>
      <c r="V59" s="70"/>
      <c r="W59" s="64"/>
      <c r="X59" s="70"/>
      <c r="Y59" s="64"/>
      <c r="Z59" s="64"/>
      <c r="AA59" s="64"/>
      <c r="AB59" s="71"/>
      <c r="AC59" s="72"/>
      <c r="AD59" s="72"/>
      <c r="AE59" s="72"/>
      <c r="AF59" s="72"/>
      <c r="AG59" s="72"/>
      <c r="AH59" s="73"/>
    </row>
    <row r="60" spans="1:34">
      <c r="A60" s="40">
        <v>1697</v>
      </c>
      <c r="B60" s="64">
        <v>8.1000000000000003E-2</v>
      </c>
      <c r="C60" s="65">
        <v>5.2999999999999999E-2</v>
      </c>
      <c r="D60" s="64">
        <v>5.1999999999999998E-2</v>
      </c>
      <c r="E60" s="65">
        <v>0.05</v>
      </c>
      <c r="F60" s="64">
        <v>0.05</v>
      </c>
      <c r="G60" s="65">
        <v>4.9000000000000002E-2</v>
      </c>
      <c r="H60" s="64">
        <v>4.7E-2</v>
      </c>
      <c r="I60" s="64">
        <v>4.5999999999999999E-2</v>
      </c>
      <c r="J60" s="64">
        <v>4.4999999999999998E-2</v>
      </c>
      <c r="K60" s="64">
        <v>4.3999999999999997E-2</v>
      </c>
      <c r="L60" s="64">
        <v>4.2999999999999997E-2</v>
      </c>
      <c r="M60" s="64">
        <v>4.1000000000000002E-2</v>
      </c>
      <c r="N60" s="66">
        <v>0.04</v>
      </c>
      <c r="O60" s="66">
        <v>3.9E-2</v>
      </c>
      <c r="P60" s="67"/>
      <c r="Q60" s="74"/>
      <c r="R60" s="73">
        <v>-1.2</v>
      </c>
      <c r="S60" s="74"/>
      <c r="T60" s="74"/>
      <c r="U60" s="69"/>
      <c r="V60" s="70"/>
      <c r="W60" s="64"/>
      <c r="X60" s="70"/>
      <c r="Y60" s="64"/>
      <c r="Z60" s="64"/>
      <c r="AA60" s="64"/>
      <c r="AB60" s="71"/>
      <c r="AC60" s="72"/>
      <c r="AD60" s="72"/>
      <c r="AE60" s="72"/>
      <c r="AF60" s="72"/>
      <c r="AG60" s="72"/>
      <c r="AH60" s="73"/>
    </row>
    <row r="61" spans="1:34">
      <c r="A61" s="40">
        <v>1698</v>
      </c>
      <c r="B61" s="64">
        <v>7.5999999999999998E-2</v>
      </c>
      <c r="C61" s="65">
        <v>0.05</v>
      </c>
      <c r="D61" s="64">
        <v>4.8000000000000001E-2</v>
      </c>
      <c r="E61" s="65">
        <v>4.7E-2</v>
      </c>
      <c r="F61" s="64">
        <v>4.7E-2</v>
      </c>
      <c r="G61" s="65">
        <v>4.5999999999999999E-2</v>
      </c>
      <c r="H61" s="64">
        <v>4.3999999999999997E-2</v>
      </c>
      <c r="I61" s="64">
        <v>4.2999999999999997E-2</v>
      </c>
      <c r="J61" s="64">
        <v>4.2000000000000003E-2</v>
      </c>
      <c r="K61" s="64">
        <v>4.1000000000000002E-2</v>
      </c>
      <c r="L61" s="64">
        <v>0.04</v>
      </c>
      <c r="M61" s="64">
        <v>3.9E-2</v>
      </c>
      <c r="N61" s="66">
        <v>3.7999999999999999E-2</v>
      </c>
      <c r="O61" s="66">
        <v>3.6999999999999998E-2</v>
      </c>
      <c r="P61" s="67"/>
      <c r="Q61" s="74"/>
      <c r="R61" s="73">
        <v>-6.2</v>
      </c>
      <c r="S61" s="74"/>
      <c r="T61" s="74"/>
      <c r="U61" s="69"/>
      <c r="V61" s="70"/>
      <c r="W61" s="64"/>
      <c r="X61" s="70"/>
      <c r="Y61" s="64"/>
      <c r="Z61" s="64"/>
      <c r="AA61" s="64"/>
      <c r="AB61" s="71"/>
      <c r="AC61" s="72"/>
      <c r="AD61" s="72"/>
      <c r="AE61" s="72"/>
      <c r="AF61" s="72"/>
      <c r="AG61" s="72"/>
      <c r="AH61" s="73"/>
    </row>
    <row r="62" spans="1:34">
      <c r="A62" s="40">
        <v>1699</v>
      </c>
      <c r="B62" s="64">
        <v>8.3000000000000004E-2</v>
      </c>
      <c r="C62" s="65">
        <v>5.3999999999999999E-2</v>
      </c>
      <c r="D62" s="64">
        <v>5.2999999999999999E-2</v>
      </c>
      <c r="E62" s="65">
        <v>5.1999999999999998E-2</v>
      </c>
      <c r="F62" s="64">
        <v>5.0999999999999997E-2</v>
      </c>
      <c r="G62" s="65">
        <v>0.05</v>
      </c>
      <c r="H62" s="64">
        <v>4.8000000000000001E-2</v>
      </c>
      <c r="I62" s="64">
        <v>4.7E-2</v>
      </c>
      <c r="J62" s="64">
        <v>4.5999999999999999E-2</v>
      </c>
      <c r="K62" s="64">
        <v>4.4999999999999998E-2</v>
      </c>
      <c r="L62" s="64">
        <v>4.3999999999999997E-2</v>
      </c>
      <c r="M62" s="64">
        <v>4.2000000000000003E-2</v>
      </c>
      <c r="N62" s="66">
        <v>4.1000000000000002E-2</v>
      </c>
      <c r="O62" s="66">
        <v>0.04</v>
      </c>
      <c r="P62" s="67"/>
      <c r="Q62" s="74"/>
      <c r="R62" s="73">
        <v>9.1999999999999993</v>
      </c>
      <c r="S62" s="74"/>
      <c r="T62" s="74"/>
      <c r="U62" s="69"/>
      <c r="V62" s="70"/>
      <c r="W62" s="64"/>
      <c r="X62" s="70"/>
      <c r="Y62" s="64"/>
      <c r="Z62" s="64"/>
      <c r="AA62" s="64"/>
      <c r="AB62" s="71"/>
      <c r="AC62" s="72"/>
      <c r="AD62" s="72"/>
      <c r="AE62" s="72"/>
      <c r="AF62" s="72"/>
      <c r="AG62" s="72"/>
      <c r="AH62" s="73"/>
    </row>
    <row r="63" spans="1:34">
      <c r="A63" s="40">
        <v>1700</v>
      </c>
      <c r="B63" s="64">
        <v>8.1000000000000003E-2</v>
      </c>
      <c r="C63" s="65">
        <v>5.2999999999999999E-2</v>
      </c>
      <c r="D63" s="64">
        <v>5.1999999999999998E-2</v>
      </c>
      <c r="E63" s="65">
        <v>0.05</v>
      </c>
      <c r="F63" s="64">
        <v>0.05</v>
      </c>
      <c r="G63" s="65">
        <v>4.9000000000000002E-2</v>
      </c>
      <c r="H63" s="64">
        <v>4.7E-2</v>
      </c>
      <c r="I63" s="64">
        <v>4.5999999999999999E-2</v>
      </c>
      <c r="J63" s="64">
        <v>4.4999999999999998E-2</v>
      </c>
      <c r="K63" s="64">
        <v>4.3999999999999997E-2</v>
      </c>
      <c r="L63" s="64">
        <v>4.2999999999999997E-2</v>
      </c>
      <c r="M63" s="64">
        <v>4.1000000000000002E-2</v>
      </c>
      <c r="N63" s="66">
        <v>0.04</v>
      </c>
      <c r="O63" s="66">
        <v>3.9E-2</v>
      </c>
      <c r="P63" s="67"/>
      <c r="Q63" s="74"/>
      <c r="R63" s="73">
        <v>-2.4</v>
      </c>
      <c r="S63" s="74"/>
      <c r="T63" s="74"/>
      <c r="U63" s="69"/>
      <c r="V63" s="70"/>
      <c r="W63" s="64"/>
      <c r="X63" s="70"/>
      <c r="Y63" s="64"/>
      <c r="Z63" s="64"/>
      <c r="AA63" s="64"/>
      <c r="AB63" s="71"/>
      <c r="AC63" s="72"/>
      <c r="AD63" s="72"/>
      <c r="AE63" s="72"/>
      <c r="AF63" s="72"/>
      <c r="AG63" s="72"/>
      <c r="AH63" s="73"/>
    </row>
    <row r="64" spans="1:34">
      <c r="A64" s="40">
        <v>1701</v>
      </c>
      <c r="B64" s="64">
        <v>8.5000000000000006E-2</v>
      </c>
      <c r="C64" s="65">
        <v>5.6000000000000001E-2</v>
      </c>
      <c r="D64" s="64">
        <v>5.3999999999999999E-2</v>
      </c>
      <c r="E64" s="65">
        <v>5.2999999999999999E-2</v>
      </c>
      <c r="F64" s="64">
        <v>5.1999999999999998E-2</v>
      </c>
      <c r="G64" s="65">
        <v>5.0999999999999997E-2</v>
      </c>
      <c r="H64" s="64">
        <v>4.9000000000000002E-2</v>
      </c>
      <c r="I64" s="64">
        <v>4.8000000000000001E-2</v>
      </c>
      <c r="J64" s="64">
        <v>4.7E-2</v>
      </c>
      <c r="K64" s="64">
        <v>4.5999999999999999E-2</v>
      </c>
      <c r="L64" s="64">
        <v>4.4999999999999998E-2</v>
      </c>
      <c r="M64" s="64">
        <v>4.3999999999999997E-2</v>
      </c>
      <c r="N64" s="66">
        <v>4.2000000000000003E-2</v>
      </c>
      <c r="O64" s="66">
        <v>4.1000000000000002E-2</v>
      </c>
      <c r="P64" s="67"/>
      <c r="Q64" s="74"/>
      <c r="R64" s="73">
        <v>4.9000000000000004</v>
      </c>
      <c r="S64" s="74"/>
      <c r="T64" s="74"/>
      <c r="U64" s="69"/>
      <c r="V64" s="70"/>
      <c r="W64" s="64"/>
      <c r="X64" s="70"/>
      <c r="Y64" s="64"/>
      <c r="Z64" s="64"/>
      <c r="AA64" s="64"/>
      <c r="AB64" s="71"/>
      <c r="AC64" s="72"/>
      <c r="AD64" s="72"/>
      <c r="AE64" s="72"/>
      <c r="AF64" s="72"/>
      <c r="AG64" s="72"/>
      <c r="AH64" s="73"/>
    </row>
    <row r="65" spans="1:34">
      <c r="A65" s="40">
        <v>1702</v>
      </c>
      <c r="B65" s="64">
        <v>7.8E-2</v>
      </c>
      <c r="C65" s="65">
        <v>5.0999999999999997E-2</v>
      </c>
      <c r="D65" s="64">
        <v>0.05</v>
      </c>
      <c r="E65" s="65">
        <v>4.9000000000000002E-2</v>
      </c>
      <c r="F65" s="64">
        <v>4.8000000000000001E-2</v>
      </c>
      <c r="G65" s="65">
        <v>4.7E-2</v>
      </c>
      <c r="H65" s="64">
        <v>4.4999999999999998E-2</v>
      </c>
      <c r="I65" s="64">
        <v>4.3999999999999997E-2</v>
      </c>
      <c r="J65" s="64">
        <v>4.2999999999999997E-2</v>
      </c>
      <c r="K65" s="64">
        <v>4.2000000000000003E-2</v>
      </c>
      <c r="L65" s="64">
        <v>4.1000000000000002E-2</v>
      </c>
      <c r="M65" s="64">
        <v>0.04</v>
      </c>
      <c r="N65" s="66">
        <v>3.9E-2</v>
      </c>
      <c r="O65" s="66">
        <v>3.7999999999999999E-2</v>
      </c>
      <c r="P65" s="67"/>
      <c r="Q65" s="74"/>
      <c r="R65" s="73">
        <v>-8.1999999999999993</v>
      </c>
      <c r="S65" s="74"/>
      <c r="T65" s="74"/>
      <c r="U65" s="69"/>
      <c r="V65" s="70"/>
      <c r="W65" s="64"/>
      <c r="X65" s="70"/>
      <c r="Y65" s="64"/>
      <c r="Z65" s="64"/>
      <c r="AA65" s="64"/>
      <c r="AB65" s="71"/>
      <c r="AC65" s="72"/>
      <c r="AD65" s="72"/>
      <c r="AE65" s="72"/>
      <c r="AF65" s="72"/>
      <c r="AG65" s="72"/>
      <c r="AH65" s="73"/>
    </row>
    <row r="66" spans="1:34">
      <c r="A66" s="40">
        <v>1703</v>
      </c>
      <c r="B66" s="64">
        <v>7.6999999999999999E-2</v>
      </c>
      <c r="C66" s="65">
        <v>5.0999999999999997E-2</v>
      </c>
      <c r="D66" s="64">
        <v>4.9000000000000002E-2</v>
      </c>
      <c r="E66" s="65">
        <v>4.8000000000000001E-2</v>
      </c>
      <c r="F66" s="64">
        <v>4.7E-2</v>
      </c>
      <c r="G66" s="65">
        <v>4.5999999999999999E-2</v>
      </c>
      <c r="H66" s="64">
        <v>4.4999999999999998E-2</v>
      </c>
      <c r="I66" s="64">
        <v>4.2999999999999997E-2</v>
      </c>
      <c r="J66" s="64">
        <v>4.2999999999999997E-2</v>
      </c>
      <c r="K66" s="64">
        <v>4.2000000000000003E-2</v>
      </c>
      <c r="L66" s="64">
        <v>4.1000000000000002E-2</v>
      </c>
      <c r="M66" s="64">
        <v>3.9E-2</v>
      </c>
      <c r="N66" s="66">
        <v>3.7999999999999999E-2</v>
      </c>
      <c r="O66" s="66">
        <v>3.6999999999999998E-2</v>
      </c>
      <c r="P66" s="67"/>
      <c r="Q66" s="74"/>
      <c r="R66" s="73">
        <v>-1.3</v>
      </c>
      <c r="S66" s="74"/>
      <c r="T66" s="74"/>
      <c r="U66" s="69"/>
      <c r="V66" s="70"/>
      <c r="W66" s="64"/>
      <c r="X66" s="70"/>
      <c r="Y66" s="64"/>
      <c r="Z66" s="64"/>
      <c r="AA66" s="64"/>
      <c r="AB66" s="71"/>
      <c r="AC66" s="72"/>
      <c r="AD66" s="72"/>
      <c r="AE66" s="72"/>
      <c r="AF66" s="72"/>
      <c r="AG66" s="72"/>
      <c r="AH66" s="73"/>
    </row>
    <row r="67" spans="1:34">
      <c r="A67" s="40">
        <v>1704</v>
      </c>
      <c r="B67" s="64">
        <v>8.7999999999999995E-2</v>
      </c>
      <c r="C67" s="65">
        <v>5.8000000000000003E-2</v>
      </c>
      <c r="D67" s="64">
        <v>5.6000000000000001E-2</v>
      </c>
      <c r="E67" s="65">
        <v>5.5E-2</v>
      </c>
      <c r="F67" s="64">
        <v>5.3999999999999999E-2</v>
      </c>
      <c r="G67" s="65">
        <v>5.2999999999999999E-2</v>
      </c>
      <c r="H67" s="64">
        <v>5.0999999999999997E-2</v>
      </c>
      <c r="I67" s="64">
        <v>0.05</v>
      </c>
      <c r="J67" s="64">
        <v>4.9000000000000002E-2</v>
      </c>
      <c r="K67" s="64">
        <v>4.8000000000000001E-2</v>
      </c>
      <c r="L67" s="64">
        <v>4.7E-2</v>
      </c>
      <c r="M67" s="64">
        <v>4.4999999999999998E-2</v>
      </c>
      <c r="N67" s="66">
        <v>4.3999999999999997E-2</v>
      </c>
      <c r="O67" s="66">
        <v>4.2999999999999997E-2</v>
      </c>
      <c r="P67" s="67"/>
      <c r="Q67" s="74"/>
      <c r="R67" s="73">
        <v>14.3</v>
      </c>
      <c r="S67" s="74"/>
      <c r="T67" s="74"/>
      <c r="U67" s="69"/>
      <c r="V67" s="70"/>
      <c r="W67" s="64"/>
      <c r="X67" s="70"/>
      <c r="Y67" s="64"/>
      <c r="Z67" s="64"/>
      <c r="AA67" s="64"/>
      <c r="AB67" s="71"/>
      <c r="AC67" s="72"/>
      <c r="AD67" s="72"/>
      <c r="AE67" s="72"/>
      <c r="AF67" s="72"/>
      <c r="AG67" s="72"/>
      <c r="AH67" s="73"/>
    </row>
    <row r="68" spans="1:34">
      <c r="A68" s="40">
        <v>1705</v>
      </c>
      <c r="B68" s="64">
        <v>7.9000000000000001E-2</v>
      </c>
      <c r="C68" s="65">
        <v>5.1999999999999998E-2</v>
      </c>
      <c r="D68" s="64">
        <v>0.05</v>
      </c>
      <c r="E68" s="65">
        <v>4.9000000000000002E-2</v>
      </c>
      <c r="F68" s="64">
        <v>4.8000000000000001E-2</v>
      </c>
      <c r="G68" s="65">
        <v>4.7E-2</v>
      </c>
      <c r="H68" s="64">
        <v>4.5999999999999999E-2</v>
      </c>
      <c r="I68" s="64">
        <v>4.4999999999999998E-2</v>
      </c>
      <c r="J68" s="64">
        <v>4.3999999999999997E-2</v>
      </c>
      <c r="K68" s="64">
        <v>4.2999999999999997E-2</v>
      </c>
      <c r="L68" s="64">
        <v>4.2000000000000003E-2</v>
      </c>
      <c r="M68" s="64">
        <v>0.04</v>
      </c>
      <c r="N68" s="66">
        <v>3.9E-2</v>
      </c>
      <c r="O68" s="66">
        <v>3.7999999999999999E-2</v>
      </c>
      <c r="P68" s="67"/>
      <c r="Q68" s="74"/>
      <c r="R68" s="73">
        <v>-10.199999999999999</v>
      </c>
      <c r="S68" s="74"/>
      <c r="T68" s="74"/>
      <c r="U68" s="69"/>
      <c r="V68" s="70"/>
      <c r="W68" s="64"/>
      <c r="X68" s="70"/>
      <c r="Y68" s="64"/>
      <c r="Z68" s="64"/>
      <c r="AA68" s="64"/>
      <c r="AB68" s="71"/>
      <c r="AC68" s="72"/>
      <c r="AD68" s="72"/>
      <c r="AE68" s="72"/>
      <c r="AF68" s="72"/>
      <c r="AG68" s="72"/>
      <c r="AH68" s="73"/>
    </row>
    <row r="69" spans="1:34">
      <c r="A69" s="40">
        <v>1706</v>
      </c>
      <c r="B69" s="64">
        <v>8.5000000000000006E-2</v>
      </c>
      <c r="C69" s="65">
        <v>5.6000000000000001E-2</v>
      </c>
      <c r="D69" s="64">
        <v>5.3999999999999999E-2</v>
      </c>
      <c r="E69" s="65">
        <v>5.2999999999999999E-2</v>
      </c>
      <c r="F69" s="64">
        <v>5.1999999999999998E-2</v>
      </c>
      <c r="G69" s="65">
        <v>5.0999999999999997E-2</v>
      </c>
      <c r="H69" s="64">
        <v>4.9000000000000002E-2</v>
      </c>
      <c r="I69" s="64">
        <v>4.8000000000000001E-2</v>
      </c>
      <c r="J69" s="64">
        <v>4.7E-2</v>
      </c>
      <c r="K69" s="64">
        <v>4.5999999999999999E-2</v>
      </c>
      <c r="L69" s="64">
        <v>4.4999999999999998E-2</v>
      </c>
      <c r="M69" s="64">
        <v>4.3999999999999997E-2</v>
      </c>
      <c r="N69" s="66">
        <v>4.2000000000000003E-2</v>
      </c>
      <c r="O69" s="66">
        <v>4.1000000000000002E-2</v>
      </c>
      <c r="P69" s="67"/>
      <c r="Q69" s="74"/>
      <c r="R69" s="73">
        <v>7.6</v>
      </c>
      <c r="S69" s="74"/>
      <c r="T69" s="74"/>
      <c r="U69" s="69"/>
      <c r="V69" s="70"/>
      <c r="W69" s="64"/>
      <c r="X69" s="70"/>
      <c r="Y69" s="64"/>
      <c r="Z69" s="64"/>
      <c r="AA69" s="64"/>
      <c r="AB69" s="71"/>
      <c r="AC69" s="72"/>
      <c r="AD69" s="72"/>
      <c r="AE69" s="72"/>
      <c r="AF69" s="72"/>
      <c r="AG69" s="72"/>
      <c r="AH69" s="73"/>
    </row>
    <row r="70" spans="1:34">
      <c r="A70" s="40">
        <v>1707</v>
      </c>
      <c r="B70" s="64">
        <v>8.1000000000000003E-2</v>
      </c>
      <c r="C70" s="65">
        <v>5.2999999999999999E-2</v>
      </c>
      <c r="D70" s="64">
        <v>5.1999999999999998E-2</v>
      </c>
      <c r="E70" s="65">
        <v>0.05</v>
      </c>
      <c r="F70" s="64">
        <v>0.05</v>
      </c>
      <c r="G70" s="65">
        <v>4.9000000000000002E-2</v>
      </c>
      <c r="H70" s="64">
        <v>4.7E-2</v>
      </c>
      <c r="I70" s="64">
        <v>4.5999999999999999E-2</v>
      </c>
      <c r="J70" s="64">
        <v>4.4999999999999998E-2</v>
      </c>
      <c r="K70" s="64">
        <v>4.3999999999999997E-2</v>
      </c>
      <c r="L70" s="64">
        <v>4.2999999999999997E-2</v>
      </c>
      <c r="M70" s="64">
        <v>4.1000000000000002E-2</v>
      </c>
      <c r="N70" s="66">
        <v>0.04</v>
      </c>
      <c r="O70" s="66">
        <v>3.9E-2</v>
      </c>
      <c r="P70" s="67"/>
      <c r="Q70" s="74"/>
      <c r="R70" s="73">
        <v>-4.7</v>
      </c>
      <c r="S70" s="74"/>
      <c r="T70" s="74"/>
      <c r="U70" s="69"/>
      <c r="V70" s="70"/>
      <c r="W70" s="64"/>
      <c r="X70" s="70"/>
      <c r="Y70" s="64"/>
      <c r="Z70" s="64"/>
      <c r="AA70" s="64"/>
      <c r="AB70" s="71"/>
      <c r="AC70" s="72"/>
      <c r="AD70" s="72"/>
      <c r="AE70" s="72"/>
      <c r="AF70" s="72"/>
      <c r="AG70" s="72"/>
      <c r="AH70" s="73"/>
    </row>
    <row r="71" spans="1:34">
      <c r="A71" s="40">
        <v>1708</v>
      </c>
      <c r="B71" s="64">
        <v>6.4000000000000001E-2</v>
      </c>
      <c r="C71" s="65">
        <v>4.2000000000000003E-2</v>
      </c>
      <c r="D71" s="64">
        <v>4.1000000000000002E-2</v>
      </c>
      <c r="E71" s="65">
        <v>0.04</v>
      </c>
      <c r="F71" s="64">
        <v>3.9E-2</v>
      </c>
      <c r="G71" s="65">
        <v>3.7999999999999999E-2</v>
      </c>
      <c r="H71" s="64">
        <v>3.6999999999999998E-2</v>
      </c>
      <c r="I71" s="64">
        <v>3.5999999999999997E-2</v>
      </c>
      <c r="J71" s="64">
        <v>3.5999999999999997E-2</v>
      </c>
      <c r="K71" s="64">
        <v>3.5000000000000003E-2</v>
      </c>
      <c r="L71" s="64">
        <v>3.4000000000000002E-2</v>
      </c>
      <c r="M71" s="64">
        <v>3.3000000000000002E-2</v>
      </c>
      <c r="N71" s="66">
        <v>3.2000000000000001E-2</v>
      </c>
      <c r="O71" s="66">
        <v>3.1E-2</v>
      </c>
      <c r="P71" s="67"/>
      <c r="Q71" s="74"/>
      <c r="R71" s="73">
        <v>-21</v>
      </c>
      <c r="S71" s="74"/>
      <c r="T71" s="74"/>
      <c r="U71" s="69"/>
      <c r="V71" s="70"/>
      <c r="W71" s="64"/>
      <c r="X71" s="70"/>
      <c r="Y71" s="64"/>
      <c r="Z71" s="64"/>
      <c r="AA71" s="64"/>
      <c r="AB71" s="71"/>
      <c r="AC71" s="72"/>
      <c r="AD71" s="72"/>
      <c r="AE71" s="72"/>
      <c r="AF71" s="72"/>
      <c r="AG71" s="72"/>
      <c r="AH71" s="73"/>
    </row>
    <row r="72" spans="1:34">
      <c r="A72" s="40">
        <v>1709</v>
      </c>
      <c r="B72" s="64">
        <v>7.6999999999999999E-2</v>
      </c>
      <c r="C72" s="65">
        <v>5.0999999999999997E-2</v>
      </c>
      <c r="D72" s="64">
        <v>4.9000000000000002E-2</v>
      </c>
      <c r="E72" s="65">
        <v>4.8000000000000001E-2</v>
      </c>
      <c r="F72" s="64">
        <v>4.7E-2</v>
      </c>
      <c r="G72" s="65">
        <v>4.5999999999999999E-2</v>
      </c>
      <c r="H72" s="64">
        <v>4.4999999999999998E-2</v>
      </c>
      <c r="I72" s="64">
        <v>4.2999999999999997E-2</v>
      </c>
      <c r="J72" s="64">
        <v>4.2999999999999997E-2</v>
      </c>
      <c r="K72" s="64">
        <v>4.2000000000000003E-2</v>
      </c>
      <c r="L72" s="64">
        <v>4.1000000000000002E-2</v>
      </c>
      <c r="M72" s="64">
        <v>3.9E-2</v>
      </c>
      <c r="N72" s="66">
        <v>3.7999999999999999E-2</v>
      </c>
      <c r="O72" s="66">
        <v>3.6999999999999998E-2</v>
      </c>
      <c r="P72" s="67"/>
      <c r="Q72" s="74"/>
      <c r="R72" s="73">
        <v>20.3</v>
      </c>
      <c r="S72" s="74"/>
      <c r="T72" s="74"/>
      <c r="U72" s="69"/>
      <c r="V72" s="70"/>
      <c r="W72" s="64"/>
      <c r="X72" s="70"/>
      <c r="Y72" s="64"/>
      <c r="Z72" s="64"/>
      <c r="AA72" s="64"/>
      <c r="AB72" s="71"/>
      <c r="AC72" s="72"/>
      <c r="AD72" s="72"/>
      <c r="AE72" s="72"/>
      <c r="AF72" s="72"/>
      <c r="AG72" s="72"/>
      <c r="AH72" s="73"/>
    </row>
    <row r="73" spans="1:34">
      <c r="A73" s="40">
        <v>1710</v>
      </c>
      <c r="B73" s="64">
        <v>6.9000000000000006E-2</v>
      </c>
      <c r="C73" s="65">
        <v>4.4999999999999998E-2</v>
      </c>
      <c r="D73" s="64">
        <v>4.3999999999999997E-2</v>
      </c>
      <c r="E73" s="65">
        <v>4.2999999999999997E-2</v>
      </c>
      <c r="F73" s="64">
        <v>4.2000000000000003E-2</v>
      </c>
      <c r="G73" s="65">
        <v>4.1000000000000002E-2</v>
      </c>
      <c r="H73" s="64">
        <v>0.04</v>
      </c>
      <c r="I73" s="64">
        <v>3.9E-2</v>
      </c>
      <c r="J73" s="64">
        <v>3.7999999999999999E-2</v>
      </c>
      <c r="K73" s="64">
        <v>3.7999999999999999E-2</v>
      </c>
      <c r="L73" s="64">
        <v>3.6999999999999998E-2</v>
      </c>
      <c r="M73" s="64">
        <v>3.5000000000000003E-2</v>
      </c>
      <c r="N73" s="66">
        <v>3.4000000000000002E-2</v>
      </c>
      <c r="O73" s="66">
        <v>3.4000000000000002E-2</v>
      </c>
      <c r="P73" s="67"/>
      <c r="Q73" s="74"/>
      <c r="R73" s="73">
        <v>-10.4</v>
      </c>
      <c r="S73" s="74"/>
      <c r="T73" s="74"/>
      <c r="U73" s="69"/>
      <c r="V73" s="70"/>
      <c r="W73" s="64"/>
      <c r="X73" s="70"/>
      <c r="Y73" s="64"/>
      <c r="Z73" s="64"/>
      <c r="AA73" s="64"/>
      <c r="AB73" s="71"/>
      <c r="AC73" s="72"/>
      <c r="AD73" s="72"/>
      <c r="AE73" s="72"/>
      <c r="AF73" s="72"/>
      <c r="AG73" s="72"/>
      <c r="AH73" s="73"/>
    </row>
    <row r="74" spans="1:34">
      <c r="A74" s="40">
        <v>1711</v>
      </c>
      <c r="B74" s="64">
        <v>6.8000000000000005E-2</v>
      </c>
      <c r="C74" s="65">
        <v>4.4999999999999998E-2</v>
      </c>
      <c r="D74" s="64">
        <v>4.2999999999999997E-2</v>
      </c>
      <c r="E74" s="65">
        <v>4.2000000000000003E-2</v>
      </c>
      <c r="F74" s="64">
        <v>4.2000000000000003E-2</v>
      </c>
      <c r="G74" s="65">
        <v>4.1000000000000002E-2</v>
      </c>
      <c r="H74" s="64">
        <v>3.9E-2</v>
      </c>
      <c r="I74" s="64">
        <v>3.7999999999999999E-2</v>
      </c>
      <c r="J74" s="64">
        <v>3.7999999999999999E-2</v>
      </c>
      <c r="K74" s="64">
        <v>3.6999999999999998E-2</v>
      </c>
      <c r="L74" s="64">
        <v>3.5999999999999997E-2</v>
      </c>
      <c r="M74" s="64">
        <v>3.5000000000000003E-2</v>
      </c>
      <c r="N74" s="66">
        <v>3.4000000000000002E-2</v>
      </c>
      <c r="O74" s="66">
        <v>3.3000000000000002E-2</v>
      </c>
      <c r="P74" s="67"/>
      <c r="Q74" s="74"/>
      <c r="R74" s="73">
        <v>-1.4</v>
      </c>
      <c r="S74" s="74"/>
      <c r="T74" s="74"/>
      <c r="U74" s="69"/>
      <c r="V74" s="70"/>
      <c r="W74" s="64"/>
      <c r="X74" s="70"/>
      <c r="Y74" s="64"/>
      <c r="Z74" s="64"/>
      <c r="AA74" s="64"/>
      <c r="AB74" s="71"/>
      <c r="AC74" s="72"/>
      <c r="AD74" s="72"/>
      <c r="AE74" s="72"/>
      <c r="AF74" s="72"/>
      <c r="AG74" s="72"/>
      <c r="AH74" s="73"/>
    </row>
    <row r="75" spans="1:34">
      <c r="A75" s="40">
        <v>1712</v>
      </c>
      <c r="B75" s="64">
        <v>6.5000000000000002E-2</v>
      </c>
      <c r="C75" s="65">
        <v>4.2999999999999997E-2</v>
      </c>
      <c r="D75" s="64">
        <v>4.1000000000000002E-2</v>
      </c>
      <c r="E75" s="65">
        <v>0.04</v>
      </c>
      <c r="F75" s="64">
        <v>0.04</v>
      </c>
      <c r="G75" s="65">
        <v>3.9E-2</v>
      </c>
      <c r="H75" s="64">
        <v>3.7999999999999999E-2</v>
      </c>
      <c r="I75" s="64">
        <v>3.6999999999999998E-2</v>
      </c>
      <c r="J75" s="64">
        <v>3.5999999999999997E-2</v>
      </c>
      <c r="K75" s="64">
        <v>3.5000000000000003E-2</v>
      </c>
      <c r="L75" s="64">
        <v>3.4000000000000002E-2</v>
      </c>
      <c r="M75" s="64">
        <v>3.3000000000000002E-2</v>
      </c>
      <c r="N75" s="66">
        <v>3.2000000000000001E-2</v>
      </c>
      <c r="O75" s="66">
        <v>3.2000000000000001E-2</v>
      </c>
      <c r="P75" s="67"/>
      <c r="Q75" s="74"/>
      <c r="R75" s="73">
        <v>-4.4000000000000004</v>
      </c>
      <c r="S75" s="74"/>
      <c r="T75" s="74"/>
      <c r="U75" s="69"/>
      <c r="V75" s="70"/>
      <c r="W75" s="64"/>
      <c r="X75" s="70"/>
      <c r="Y75" s="64"/>
      <c r="Z75" s="64"/>
      <c r="AA75" s="64"/>
      <c r="AB75" s="71"/>
      <c r="AC75" s="72"/>
      <c r="AD75" s="72"/>
      <c r="AE75" s="72"/>
      <c r="AF75" s="72"/>
      <c r="AG75" s="72"/>
      <c r="AH75" s="73"/>
    </row>
    <row r="76" spans="1:34">
      <c r="A76" s="40">
        <v>1713</v>
      </c>
      <c r="B76" s="64">
        <v>6.9000000000000006E-2</v>
      </c>
      <c r="C76" s="65">
        <v>4.4999999999999998E-2</v>
      </c>
      <c r="D76" s="64">
        <v>4.3999999999999997E-2</v>
      </c>
      <c r="E76" s="65">
        <v>4.2999999999999997E-2</v>
      </c>
      <c r="F76" s="64">
        <v>4.2000000000000003E-2</v>
      </c>
      <c r="G76" s="65">
        <v>4.1000000000000002E-2</v>
      </c>
      <c r="H76" s="64">
        <v>0.04</v>
      </c>
      <c r="I76" s="64">
        <v>3.9E-2</v>
      </c>
      <c r="J76" s="64">
        <v>3.7999999999999999E-2</v>
      </c>
      <c r="K76" s="64">
        <v>3.7999999999999999E-2</v>
      </c>
      <c r="L76" s="64">
        <v>3.6999999999999998E-2</v>
      </c>
      <c r="M76" s="64">
        <v>3.5000000000000003E-2</v>
      </c>
      <c r="N76" s="66">
        <v>3.4000000000000002E-2</v>
      </c>
      <c r="O76" s="66">
        <v>3.4000000000000002E-2</v>
      </c>
      <c r="P76" s="67"/>
      <c r="Q76" s="74"/>
      <c r="R76" s="73">
        <v>6.2</v>
      </c>
      <c r="S76" s="74"/>
      <c r="T76" s="74"/>
      <c r="U76" s="69"/>
      <c r="V76" s="70"/>
      <c r="W76" s="64"/>
      <c r="X76" s="70"/>
      <c r="Y76" s="64"/>
      <c r="Z76" s="64"/>
      <c r="AA76" s="64"/>
      <c r="AB76" s="71"/>
      <c r="AC76" s="72"/>
      <c r="AD76" s="72"/>
      <c r="AE76" s="72"/>
      <c r="AF76" s="72"/>
      <c r="AG76" s="72"/>
      <c r="AH76" s="73"/>
    </row>
    <row r="77" spans="1:34">
      <c r="A77" s="40">
        <v>1714</v>
      </c>
      <c r="B77" s="64">
        <v>6.3E-2</v>
      </c>
      <c r="C77" s="65">
        <v>4.1000000000000002E-2</v>
      </c>
      <c r="D77" s="64">
        <v>0.04</v>
      </c>
      <c r="E77" s="65">
        <v>3.9E-2</v>
      </c>
      <c r="F77" s="64">
        <v>3.9E-2</v>
      </c>
      <c r="G77" s="65">
        <v>3.7999999999999999E-2</v>
      </c>
      <c r="H77" s="64">
        <v>3.6999999999999998E-2</v>
      </c>
      <c r="I77" s="64">
        <v>3.5999999999999997E-2</v>
      </c>
      <c r="J77" s="64">
        <v>3.5000000000000003E-2</v>
      </c>
      <c r="K77" s="64">
        <v>3.4000000000000002E-2</v>
      </c>
      <c r="L77" s="64">
        <v>3.3000000000000002E-2</v>
      </c>
      <c r="M77" s="64">
        <v>3.2000000000000001E-2</v>
      </c>
      <c r="N77" s="66">
        <v>3.1E-2</v>
      </c>
      <c r="O77" s="66">
        <v>3.1E-2</v>
      </c>
      <c r="P77" s="67"/>
      <c r="Q77" s="74"/>
      <c r="R77" s="73">
        <v>-8.6999999999999993</v>
      </c>
      <c r="S77" s="74"/>
      <c r="T77" s="74"/>
      <c r="U77" s="69"/>
      <c r="V77" s="70"/>
      <c r="W77" s="64"/>
      <c r="X77" s="70"/>
      <c r="Y77" s="64"/>
      <c r="Z77" s="64"/>
      <c r="AA77" s="64"/>
      <c r="AB77" s="71"/>
      <c r="AC77" s="72"/>
      <c r="AD77" s="72"/>
      <c r="AE77" s="72"/>
      <c r="AF77" s="72"/>
      <c r="AG77" s="72"/>
      <c r="AH77" s="73"/>
    </row>
    <row r="78" spans="1:34">
      <c r="A78" s="40">
        <v>1715</v>
      </c>
      <c r="B78" s="64">
        <v>7.0999999999999994E-2</v>
      </c>
      <c r="C78" s="65">
        <v>4.7E-2</v>
      </c>
      <c r="D78" s="64">
        <v>4.4999999999999998E-2</v>
      </c>
      <c r="E78" s="65">
        <v>4.3999999999999997E-2</v>
      </c>
      <c r="F78" s="64">
        <v>4.3999999999999997E-2</v>
      </c>
      <c r="G78" s="65">
        <v>4.2999999999999997E-2</v>
      </c>
      <c r="H78" s="64">
        <v>4.1000000000000002E-2</v>
      </c>
      <c r="I78" s="64">
        <v>0.04</v>
      </c>
      <c r="J78" s="64">
        <v>3.9E-2</v>
      </c>
      <c r="K78" s="64">
        <v>3.9E-2</v>
      </c>
      <c r="L78" s="64">
        <v>3.7999999999999999E-2</v>
      </c>
      <c r="M78" s="64">
        <v>3.5999999999999997E-2</v>
      </c>
      <c r="N78" s="66">
        <v>3.5000000000000003E-2</v>
      </c>
      <c r="O78" s="66">
        <v>3.4000000000000002E-2</v>
      </c>
      <c r="P78" s="67"/>
      <c r="Q78" s="74"/>
      <c r="R78" s="73">
        <v>12.7</v>
      </c>
      <c r="S78" s="74"/>
      <c r="T78" s="74"/>
      <c r="U78" s="69"/>
      <c r="V78" s="70"/>
      <c r="W78" s="64"/>
      <c r="X78" s="70"/>
      <c r="Y78" s="64"/>
      <c r="Z78" s="64"/>
      <c r="AA78" s="64"/>
      <c r="AB78" s="71"/>
      <c r="AC78" s="72"/>
      <c r="AD78" s="72"/>
      <c r="AE78" s="72"/>
      <c r="AF78" s="72"/>
      <c r="AG78" s="72"/>
      <c r="AH78" s="73"/>
    </row>
    <row r="79" spans="1:34">
      <c r="A79" s="40">
        <v>1716</v>
      </c>
      <c r="B79" s="64">
        <v>6.7000000000000004E-2</v>
      </c>
      <c r="C79" s="65">
        <v>4.3999999999999997E-2</v>
      </c>
      <c r="D79" s="64">
        <v>4.2999999999999997E-2</v>
      </c>
      <c r="E79" s="65">
        <v>4.2000000000000003E-2</v>
      </c>
      <c r="F79" s="64">
        <v>4.1000000000000002E-2</v>
      </c>
      <c r="G79" s="65">
        <v>0.04</v>
      </c>
      <c r="H79" s="64">
        <v>3.9E-2</v>
      </c>
      <c r="I79" s="64">
        <v>3.7999999999999999E-2</v>
      </c>
      <c r="J79" s="64">
        <v>3.6999999999999998E-2</v>
      </c>
      <c r="K79" s="64">
        <v>3.5999999999999997E-2</v>
      </c>
      <c r="L79" s="64">
        <v>3.5000000000000003E-2</v>
      </c>
      <c r="M79" s="64">
        <v>3.4000000000000002E-2</v>
      </c>
      <c r="N79" s="66">
        <v>3.3000000000000002E-2</v>
      </c>
      <c r="O79" s="66">
        <v>3.3000000000000002E-2</v>
      </c>
      <c r="P79" s="67"/>
      <c r="Q79" s="74"/>
      <c r="R79" s="73">
        <v>-5.6</v>
      </c>
      <c r="S79" s="74"/>
      <c r="T79" s="74"/>
      <c r="U79" s="69"/>
      <c r="V79" s="70"/>
      <c r="W79" s="64"/>
      <c r="X79" s="70"/>
      <c r="Y79" s="64"/>
      <c r="Z79" s="64"/>
      <c r="AA79" s="64"/>
      <c r="AB79" s="71"/>
      <c r="AC79" s="72"/>
      <c r="AD79" s="72"/>
      <c r="AE79" s="72"/>
      <c r="AF79" s="72"/>
      <c r="AG79" s="72"/>
      <c r="AH79" s="73"/>
    </row>
    <row r="80" spans="1:34">
      <c r="A80" s="40">
        <v>1717</v>
      </c>
      <c r="B80" s="64">
        <v>7.0999999999999994E-2</v>
      </c>
      <c r="C80" s="65">
        <v>4.7E-2</v>
      </c>
      <c r="D80" s="64">
        <v>4.4999999999999998E-2</v>
      </c>
      <c r="E80" s="65">
        <v>4.3999999999999997E-2</v>
      </c>
      <c r="F80" s="64">
        <v>4.3999999999999997E-2</v>
      </c>
      <c r="G80" s="65">
        <v>4.2999999999999997E-2</v>
      </c>
      <c r="H80" s="64">
        <v>4.1000000000000002E-2</v>
      </c>
      <c r="I80" s="64">
        <v>0.04</v>
      </c>
      <c r="J80" s="64">
        <v>3.9E-2</v>
      </c>
      <c r="K80" s="64">
        <v>3.9E-2</v>
      </c>
      <c r="L80" s="64">
        <v>3.7999999999999999E-2</v>
      </c>
      <c r="M80" s="64">
        <v>3.5999999999999997E-2</v>
      </c>
      <c r="N80" s="66">
        <v>3.5000000000000003E-2</v>
      </c>
      <c r="O80" s="66">
        <v>3.4000000000000002E-2</v>
      </c>
      <c r="P80" s="67"/>
      <c r="Q80" s="74"/>
      <c r="R80" s="73">
        <v>6</v>
      </c>
      <c r="S80" s="74"/>
      <c r="T80" s="74"/>
      <c r="U80" s="69"/>
      <c r="V80" s="70"/>
      <c r="W80" s="64"/>
      <c r="X80" s="70"/>
      <c r="Y80" s="64"/>
      <c r="Z80" s="64"/>
      <c r="AA80" s="64"/>
      <c r="AB80" s="71"/>
      <c r="AC80" s="72"/>
      <c r="AD80" s="72"/>
      <c r="AE80" s="72"/>
      <c r="AF80" s="72"/>
      <c r="AG80" s="72"/>
      <c r="AH80" s="73"/>
    </row>
    <row r="81" spans="1:34">
      <c r="A81" s="40">
        <v>1718</v>
      </c>
      <c r="B81" s="64">
        <v>6.7000000000000004E-2</v>
      </c>
      <c r="C81" s="65">
        <v>4.3999999999999997E-2</v>
      </c>
      <c r="D81" s="64">
        <v>4.2999999999999997E-2</v>
      </c>
      <c r="E81" s="65">
        <v>4.2000000000000003E-2</v>
      </c>
      <c r="F81" s="64">
        <v>4.1000000000000002E-2</v>
      </c>
      <c r="G81" s="65">
        <v>0.04</v>
      </c>
      <c r="H81" s="64">
        <v>3.9E-2</v>
      </c>
      <c r="I81" s="64">
        <v>3.7999999999999999E-2</v>
      </c>
      <c r="J81" s="64">
        <v>3.6999999999999998E-2</v>
      </c>
      <c r="K81" s="64">
        <v>3.5999999999999997E-2</v>
      </c>
      <c r="L81" s="64">
        <v>3.5000000000000003E-2</v>
      </c>
      <c r="M81" s="64">
        <v>3.4000000000000002E-2</v>
      </c>
      <c r="N81" s="66">
        <v>3.3000000000000002E-2</v>
      </c>
      <c r="O81" s="66">
        <v>3.3000000000000002E-2</v>
      </c>
      <c r="P81" s="67"/>
      <c r="Q81" s="74"/>
      <c r="R81" s="73">
        <v>-5.6</v>
      </c>
      <c r="S81" s="74"/>
      <c r="T81" s="74"/>
      <c r="U81" s="69"/>
      <c r="V81" s="70"/>
      <c r="W81" s="64"/>
      <c r="X81" s="70"/>
      <c r="Y81" s="64"/>
      <c r="Z81" s="64"/>
      <c r="AA81" s="64"/>
      <c r="AB81" s="71"/>
      <c r="AC81" s="72"/>
      <c r="AD81" s="72"/>
      <c r="AE81" s="72"/>
      <c r="AF81" s="72"/>
      <c r="AG81" s="72"/>
      <c r="AH81" s="73"/>
    </row>
    <row r="82" spans="1:34">
      <c r="A82" s="40">
        <v>1719</v>
      </c>
      <c r="B82" s="64">
        <v>7.0999999999999994E-2</v>
      </c>
      <c r="C82" s="65">
        <v>4.7E-2</v>
      </c>
      <c r="D82" s="64">
        <v>4.4999999999999998E-2</v>
      </c>
      <c r="E82" s="65">
        <v>4.3999999999999997E-2</v>
      </c>
      <c r="F82" s="64">
        <v>4.3999999999999997E-2</v>
      </c>
      <c r="G82" s="65">
        <v>4.2999999999999997E-2</v>
      </c>
      <c r="H82" s="64">
        <v>4.1000000000000002E-2</v>
      </c>
      <c r="I82" s="64">
        <v>0.04</v>
      </c>
      <c r="J82" s="64">
        <v>3.9E-2</v>
      </c>
      <c r="K82" s="64">
        <v>3.9E-2</v>
      </c>
      <c r="L82" s="64">
        <v>3.7999999999999999E-2</v>
      </c>
      <c r="M82" s="64">
        <v>3.5999999999999997E-2</v>
      </c>
      <c r="N82" s="66">
        <v>3.5000000000000003E-2</v>
      </c>
      <c r="O82" s="66">
        <v>3.4000000000000002E-2</v>
      </c>
      <c r="P82" s="67"/>
      <c r="Q82" s="74"/>
      <c r="R82" s="73">
        <v>6</v>
      </c>
      <c r="S82" s="74"/>
      <c r="T82" s="74"/>
      <c r="U82" s="69"/>
      <c r="V82" s="70"/>
      <c r="W82" s="64"/>
      <c r="X82" s="70"/>
      <c r="Y82" s="64"/>
      <c r="Z82" s="64"/>
      <c r="AA82" s="64"/>
      <c r="AB82" s="71"/>
      <c r="AC82" s="72"/>
      <c r="AD82" s="72"/>
      <c r="AE82" s="72"/>
      <c r="AF82" s="72"/>
      <c r="AG82" s="72"/>
      <c r="AH82" s="73"/>
    </row>
    <row r="83" spans="1:34">
      <c r="A83" s="40">
        <v>1720</v>
      </c>
      <c r="B83" s="64">
        <v>6.6000000000000003E-2</v>
      </c>
      <c r="C83" s="65">
        <v>4.2999999999999997E-2</v>
      </c>
      <c r="D83" s="64">
        <v>4.2000000000000003E-2</v>
      </c>
      <c r="E83" s="65">
        <v>4.1000000000000002E-2</v>
      </c>
      <c r="F83" s="64">
        <v>0.04</v>
      </c>
      <c r="G83" s="65">
        <v>0.04</v>
      </c>
      <c r="H83" s="64">
        <v>3.7999999999999999E-2</v>
      </c>
      <c r="I83" s="64">
        <v>3.6999999999999998E-2</v>
      </c>
      <c r="J83" s="64">
        <v>3.6999999999999998E-2</v>
      </c>
      <c r="K83" s="64">
        <v>3.5999999999999997E-2</v>
      </c>
      <c r="L83" s="64">
        <v>3.5000000000000003E-2</v>
      </c>
      <c r="M83" s="64">
        <v>3.4000000000000002E-2</v>
      </c>
      <c r="N83" s="66">
        <v>3.3000000000000002E-2</v>
      </c>
      <c r="O83" s="66">
        <v>3.2000000000000001E-2</v>
      </c>
      <c r="P83" s="67"/>
      <c r="Q83" s="74"/>
      <c r="R83" s="73">
        <v>-7</v>
      </c>
      <c r="S83" s="74"/>
      <c r="T83" s="74"/>
      <c r="U83" s="69"/>
      <c r="V83" s="70"/>
      <c r="W83" s="64"/>
      <c r="X83" s="70"/>
      <c r="Y83" s="64"/>
      <c r="Z83" s="64"/>
      <c r="AA83" s="64"/>
      <c r="AB83" s="71"/>
      <c r="AC83" s="72"/>
      <c r="AD83" s="72"/>
      <c r="AE83" s="72"/>
      <c r="AF83" s="72"/>
      <c r="AG83" s="72"/>
      <c r="AH83" s="73"/>
    </row>
    <row r="84" spans="1:34">
      <c r="A84" s="40">
        <v>1721</v>
      </c>
      <c r="B84" s="64">
        <v>6.2E-2</v>
      </c>
      <c r="C84" s="65">
        <v>4.1000000000000002E-2</v>
      </c>
      <c r="D84" s="64">
        <v>0.04</v>
      </c>
      <c r="E84" s="65">
        <v>3.9E-2</v>
      </c>
      <c r="F84" s="64">
        <v>3.7999999999999999E-2</v>
      </c>
      <c r="G84" s="65">
        <v>3.6999999999999998E-2</v>
      </c>
      <c r="H84" s="64">
        <v>3.5999999999999997E-2</v>
      </c>
      <c r="I84" s="64">
        <v>3.5000000000000003E-2</v>
      </c>
      <c r="J84" s="64">
        <v>3.4000000000000002E-2</v>
      </c>
      <c r="K84" s="64">
        <v>3.4000000000000002E-2</v>
      </c>
      <c r="L84" s="64">
        <v>3.3000000000000002E-2</v>
      </c>
      <c r="M84" s="64">
        <v>3.2000000000000001E-2</v>
      </c>
      <c r="N84" s="66">
        <v>3.1E-2</v>
      </c>
      <c r="O84" s="66">
        <v>0.03</v>
      </c>
      <c r="P84" s="67"/>
      <c r="Q84" s="74"/>
      <c r="R84" s="73">
        <v>-6.1</v>
      </c>
      <c r="S84" s="74"/>
      <c r="T84" s="74"/>
      <c r="U84" s="69"/>
      <c r="V84" s="70"/>
      <c r="W84" s="64"/>
      <c r="X84" s="70"/>
      <c r="Y84" s="64"/>
      <c r="Z84" s="64"/>
      <c r="AA84" s="64"/>
      <c r="AB84" s="71"/>
      <c r="AC84" s="72"/>
      <c r="AD84" s="72"/>
      <c r="AE84" s="72"/>
      <c r="AF84" s="72"/>
      <c r="AG84" s="72"/>
      <c r="AH84" s="73"/>
    </row>
    <row r="85" spans="1:34">
      <c r="A85" s="40">
        <v>1722</v>
      </c>
      <c r="B85" s="64">
        <v>6.5000000000000002E-2</v>
      </c>
      <c r="C85" s="65">
        <v>4.2999999999999997E-2</v>
      </c>
      <c r="D85" s="64">
        <v>4.1000000000000002E-2</v>
      </c>
      <c r="E85" s="65">
        <v>0.04</v>
      </c>
      <c r="F85" s="64">
        <v>0.04</v>
      </c>
      <c r="G85" s="65">
        <v>3.9E-2</v>
      </c>
      <c r="H85" s="64">
        <v>3.7999999999999999E-2</v>
      </c>
      <c r="I85" s="64">
        <v>3.6999999999999998E-2</v>
      </c>
      <c r="J85" s="64">
        <v>3.5999999999999997E-2</v>
      </c>
      <c r="K85" s="64">
        <v>3.5000000000000003E-2</v>
      </c>
      <c r="L85" s="64">
        <v>3.4000000000000002E-2</v>
      </c>
      <c r="M85" s="64">
        <v>3.3000000000000002E-2</v>
      </c>
      <c r="N85" s="66">
        <v>3.2000000000000001E-2</v>
      </c>
      <c r="O85" s="66">
        <v>3.2000000000000001E-2</v>
      </c>
      <c r="P85" s="67"/>
      <c r="Q85" s="74"/>
      <c r="R85" s="73">
        <v>4.8</v>
      </c>
      <c r="S85" s="74"/>
      <c r="T85" s="74"/>
      <c r="U85" s="69"/>
      <c r="V85" s="70"/>
      <c r="W85" s="64"/>
      <c r="X85" s="70"/>
      <c r="Y85" s="64"/>
      <c r="Z85" s="64"/>
      <c r="AA85" s="64"/>
      <c r="AB85" s="71"/>
      <c r="AC85" s="72"/>
      <c r="AD85" s="72"/>
      <c r="AE85" s="72"/>
      <c r="AF85" s="72"/>
      <c r="AG85" s="72"/>
      <c r="AH85" s="73"/>
    </row>
    <row r="86" spans="1:34">
      <c r="A86" s="40">
        <v>1723</v>
      </c>
      <c r="B86" s="64">
        <v>6.6000000000000003E-2</v>
      </c>
      <c r="C86" s="65">
        <v>4.2999999999999997E-2</v>
      </c>
      <c r="D86" s="64">
        <v>4.2000000000000003E-2</v>
      </c>
      <c r="E86" s="65">
        <v>4.1000000000000002E-2</v>
      </c>
      <c r="F86" s="64">
        <v>0.04</v>
      </c>
      <c r="G86" s="65">
        <v>0.04</v>
      </c>
      <c r="H86" s="64">
        <v>3.7999999999999999E-2</v>
      </c>
      <c r="I86" s="64">
        <v>3.6999999999999998E-2</v>
      </c>
      <c r="J86" s="64">
        <v>3.6999999999999998E-2</v>
      </c>
      <c r="K86" s="64">
        <v>3.5999999999999997E-2</v>
      </c>
      <c r="L86" s="64">
        <v>3.5000000000000003E-2</v>
      </c>
      <c r="M86" s="64">
        <v>3.4000000000000002E-2</v>
      </c>
      <c r="N86" s="66">
        <v>3.3000000000000002E-2</v>
      </c>
      <c r="O86" s="66">
        <v>3.2000000000000001E-2</v>
      </c>
      <c r="P86" s="67"/>
      <c r="Q86" s="74"/>
      <c r="R86" s="73">
        <v>1.5</v>
      </c>
      <c r="S86" s="74"/>
      <c r="T86" s="74"/>
      <c r="U86" s="69"/>
      <c r="V86" s="70"/>
      <c r="W86" s="64"/>
      <c r="X86" s="70"/>
      <c r="Y86" s="64"/>
      <c r="Z86" s="64"/>
      <c r="AA86" s="64"/>
      <c r="AB86" s="71"/>
      <c r="AC86" s="72"/>
      <c r="AD86" s="72"/>
      <c r="AE86" s="72"/>
      <c r="AF86" s="72"/>
      <c r="AG86" s="72"/>
      <c r="AH86" s="73"/>
    </row>
    <row r="87" spans="1:34">
      <c r="A87" s="40">
        <v>1724</v>
      </c>
      <c r="B87" s="64">
        <v>6.8000000000000005E-2</v>
      </c>
      <c r="C87" s="65">
        <v>4.4999999999999998E-2</v>
      </c>
      <c r="D87" s="64">
        <v>4.2999999999999997E-2</v>
      </c>
      <c r="E87" s="65">
        <v>4.2000000000000003E-2</v>
      </c>
      <c r="F87" s="64">
        <v>4.2000000000000003E-2</v>
      </c>
      <c r="G87" s="65">
        <v>4.1000000000000002E-2</v>
      </c>
      <c r="H87" s="64">
        <v>3.9E-2</v>
      </c>
      <c r="I87" s="64">
        <v>3.7999999999999999E-2</v>
      </c>
      <c r="J87" s="64">
        <v>3.7999999999999999E-2</v>
      </c>
      <c r="K87" s="64">
        <v>3.6999999999999998E-2</v>
      </c>
      <c r="L87" s="64">
        <v>3.5999999999999997E-2</v>
      </c>
      <c r="M87" s="64">
        <v>3.5000000000000003E-2</v>
      </c>
      <c r="N87" s="66">
        <v>3.4000000000000002E-2</v>
      </c>
      <c r="O87" s="66">
        <v>3.3000000000000002E-2</v>
      </c>
      <c r="P87" s="67"/>
      <c r="Q87" s="74"/>
      <c r="R87" s="73">
        <v>3</v>
      </c>
      <c r="S87" s="74"/>
      <c r="T87" s="74"/>
      <c r="U87" s="69"/>
      <c r="V87" s="70"/>
      <c r="W87" s="64"/>
      <c r="X87" s="70"/>
      <c r="Y87" s="64"/>
      <c r="Z87" s="64"/>
      <c r="AA87" s="64"/>
      <c r="AB87" s="71"/>
      <c r="AC87" s="72"/>
      <c r="AD87" s="72"/>
      <c r="AE87" s="72"/>
      <c r="AF87" s="72"/>
      <c r="AG87" s="72"/>
      <c r="AH87" s="73"/>
    </row>
    <row r="88" spans="1:34">
      <c r="A88" s="40">
        <v>1725</v>
      </c>
      <c r="B88" s="64">
        <v>7.8E-2</v>
      </c>
      <c r="C88" s="65">
        <v>5.0999999999999997E-2</v>
      </c>
      <c r="D88" s="64">
        <v>0.05</v>
      </c>
      <c r="E88" s="65">
        <v>4.9000000000000002E-2</v>
      </c>
      <c r="F88" s="64">
        <v>4.8000000000000001E-2</v>
      </c>
      <c r="G88" s="65">
        <v>4.7E-2</v>
      </c>
      <c r="H88" s="64">
        <v>4.4999999999999998E-2</v>
      </c>
      <c r="I88" s="64">
        <v>4.3999999999999997E-2</v>
      </c>
      <c r="J88" s="64">
        <v>4.2999999999999997E-2</v>
      </c>
      <c r="K88" s="64">
        <v>4.2000000000000003E-2</v>
      </c>
      <c r="L88" s="64">
        <v>4.1000000000000002E-2</v>
      </c>
      <c r="M88" s="64">
        <v>0.04</v>
      </c>
      <c r="N88" s="66">
        <v>3.9E-2</v>
      </c>
      <c r="O88" s="66">
        <v>3.7999999999999999E-2</v>
      </c>
      <c r="P88" s="67"/>
      <c r="Q88" s="74"/>
      <c r="R88" s="73">
        <v>14.7</v>
      </c>
      <c r="S88" s="74"/>
      <c r="T88" s="74"/>
      <c r="U88" s="69"/>
      <c r="V88" s="70"/>
      <c r="W88" s="64"/>
      <c r="X88" s="70"/>
      <c r="Y88" s="64"/>
      <c r="Z88" s="64"/>
      <c r="AA88" s="64"/>
      <c r="AB88" s="71"/>
      <c r="AC88" s="72"/>
      <c r="AD88" s="72"/>
      <c r="AE88" s="72"/>
      <c r="AF88" s="72"/>
      <c r="AG88" s="72"/>
      <c r="AH88" s="73"/>
    </row>
    <row r="89" spans="1:34">
      <c r="A89" s="40">
        <v>1726</v>
      </c>
      <c r="B89" s="64">
        <v>7.1999999999999995E-2</v>
      </c>
      <c r="C89" s="65">
        <v>4.7E-2</v>
      </c>
      <c r="D89" s="64">
        <v>4.5999999999999999E-2</v>
      </c>
      <c r="E89" s="65">
        <v>4.4999999999999998E-2</v>
      </c>
      <c r="F89" s="64">
        <v>4.3999999999999997E-2</v>
      </c>
      <c r="G89" s="65">
        <v>4.2999999999999997E-2</v>
      </c>
      <c r="H89" s="64">
        <v>4.2000000000000003E-2</v>
      </c>
      <c r="I89" s="64">
        <v>4.1000000000000002E-2</v>
      </c>
      <c r="J89" s="64">
        <v>0.04</v>
      </c>
      <c r="K89" s="64">
        <v>3.9E-2</v>
      </c>
      <c r="L89" s="64">
        <v>3.7999999999999999E-2</v>
      </c>
      <c r="M89" s="64">
        <v>3.6999999999999998E-2</v>
      </c>
      <c r="N89" s="66">
        <v>3.5999999999999997E-2</v>
      </c>
      <c r="O89" s="66">
        <v>3.5000000000000003E-2</v>
      </c>
      <c r="P89" s="67"/>
      <c r="Q89" s="74"/>
      <c r="R89" s="73">
        <v>-7.7</v>
      </c>
      <c r="S89" s="74"/>
      <c r="T89" s="74"/>
      <c r="U89" s="69"/>
      <c r="V89" s="70"/>
      <c r="W89" s="64"/>
      <c r="X89" s="70"/>
      <c r="Y89" s="64"/>
      <c r="Z89" s="64"/>
      <c r="AA89" s="64"/>
      <c r="AB89" s="71"/>
      <c r="AC89" s="72"/>
      <c r="AD89" s="72"/>
      <c r="AE89" s="72"/>
      <c r="AF89" s="72"/>
      <c r="AG89" s="72"/>
      <c r="AH89" s="73"/>
    </row>
    <row r="90" spans="1:34">
      <c r="A90" s="40">
        <v>1727</v>
      </c>
      <c r="B90" s="64">
        <v>7.4999999999999997E-2</v>
      </c>
      <c r="C90" s="65">
        <v>4.9000000000000002E-2</v>
      </c>
      <c r="D90" s="64">
        <v>4.8000000000000001E-2</v>
      </c>
      <c r="E90" s="65">
        <v>4.7E-2</v>
      </c>
      <c r="F90" s="64">
        <v>4.5999999999999999E-2</v>
      </c>
      <c r="G90" s="65">
        <v>4.4999999999999998E-2</v>
      </c>
      <c r="H90" s="64">
        <v>4.3999999999999997E-2</v>
      </c>
      <c r="I90" s="64">
        <v>4.2000000000000003E-2</v>
      </c>
      <c r="J90" s="64">
        <v>4.2000000000000003E-2</v>
      </c>
      <c r="K90" s="64">
        <v>4.1000000000000002E-2</v>
      </c>
      <c r="L90" s="64">
        <v>0.04</v>
      </c>
      <c r="M90" s="64">
        <v>3.7999999999999999E-2</v>
      </c>
      <c r="N90" s="66">
        <v>3.6999999999999998E-2</v>
      </c>
      <c r="O90" s="66">
        <v>3.5999999999999997E-2</v>
      </c>
      <c r="P90" s="67"/>
      <c r="Q90" s="74"/>
      <c r="R90" s="73">
        <v>4.2</v>
      </c>
      <c r="S90" s="74"/>
      <c r="T90" s="74"/>
      <c r="U90" s="69"/>
      <c r="V90" s="70"/>
      <c r="W90" s="64"/>
      <c r="X90" s="70"/>
      <c r="Y90" s="64"/>
      <c r="Z90" s="64"/>
      <c r="AA90" s="64"/>
      <c r="AB90" s="71"/>
      <c r="AC90" s="72"/>
      <c r="AD90" s="72"/>
      <c r="AE90" s="72"/>
      <c r="AF90" s="72"/>
      <c r="AG90" s="72"/>
      <c r="AH90" s="73"/>
    </row>
    <row r="91" spans="1:34">
      <c r="A91" s="40">
        <v>1728</v>
      </c>
      <c r="B91" s="64">
        <v>7.0000000000000007E-2</v>
      </c>
      <c r="C91" s="65">
        <v>4.5999999999999999E-2</v>
      </c>
      <c r="D91" s="64">
        <v>4.4999999999999998E-2</v>
      </c>
      <c r="E91" s="65">
        <v>4.3999999999999997E-2</v>
      </c>
      <c r="F91" s="64">
        <v>4.2999999999999997E-2</v>
      </c>
      <c r="G91" s="65">
        <v>4.2000000000000003E-2</v>
      </c>
      <c r="H91" s="64">
        <v>4.1000000000000002E-2</v>
      </c>
      <c r="I91" s="64">
        <v>0.04</v>
      </c>
      <c r="J91" s="64">
        <v>3.9E-2</v>
      </c>
      <c r="K91" s="64">
        <v>3.7999999999999999E-2</v>
      </c>
      <c r="L91" s="64">
        <v>3.6999999999999998E-2</v>
      </c>
      <c r="M91" s="64">
        <v>3.5999999999999997E-2</v>
      </c>
      <c r="N91" s="66">
        <v>3.5000000000000003E-2</v>
      </c>
      <c r="O91" s="66">
        <v>3.4000000000000002E-2</v>
      </c>
      <c r="P91" s="67"/>
      <c r="Q91" s="74"/>
      <c r="R91" s="73">
        <v>-6.7</v>
      </c>
      <c r="S91" s="74"/>
      <c r="T91" s="74"/>
      <c r="U91" s="69"/>
      <c r="V91" s="70"/>
      <c r="W91" s="64"/>
      <c r="X91" s="70"/>
      <c r="Y91" s="64"/>
      <c r="Z91" s="64"/>
      <c r="AA91" s="64"/>
      <c r="AB91" s="71"/>
      <c r="AC91" s="72"/>
      <c r="AD91" s="72"/>
      <c r="AE91" s="72"/>
      <c r="AF91" s="72"/>
      <c r="AG91" s="72"/>
      <c r="AH91" s="73"/>
    </row>
    <row r="92" spans="1:34">
      <c r="A92" s="40">
        <v>1729</v>
      </c>
      <c r="B92" s="64">
        <v>6.9000000000000006E-2</v>
      </c>
      <c r="C92" s="65">
        <v>4.4999999999999998E-2</v>
      </c>
      <c r="D92" s="64">
        <v>4.3999999999999997E-2</v>
      </c>
      <c r="E92" s="65">
        <v>4.2999999999999997E-2</v>
      </c>
      <c r="F92" s="64">
        <v>4.2000000000000003E-2</v>
      </c>
      <c r="G92" s="65">
        <v>4.1000000000000002E-2</v>
      </c>
      <c r="H92" s="64">
        <v>0.04</v>
      </c>
      <c r="I92" s="64">
        <v>3.9E-2</v>
      </c>
      <c r="J92" s="64">
        <v>3.7999999999999999E-2</v>
      </c>
      <c r="K92" s="64">
        <v>3.7999999999999999E-2</v>
      </c>
      <c r="L92" s="64">
        <v>3.6999999999999998E-2</v>
      </c>
      <c r="M92" s="64">
        <v>3.5000000000000003E-2</v>
      </c>
      <c r="N92" s="66">
        <v>3.4000000000000002E-2</v>
      </c>
      <c r="O92" s="66">
        <v>3.4000000000000002E-2</v>
      </c>
      <c r="P92" s="67"/>
      <c r="Q92" s="74"/>
      <c r="R92" s="73">
        <v>-1.4</v>
      </c>
      <c r="S92" s="74"/>
      <c r="T92" s="74"/>
      <c r="U92" s="69"/>
      <c r="V92" s="70"/>
      <c r="W92" s="64"/>
      <c r="X92" s="70"/>
      <c r="Y92" s="64"/>
      <c r="Z92" s="64"/>
      <c r="AA92" s="64"/>
      <c r="AB92" s="71"/>
      <c r="AC92" s="72"/>
      <c r="AD92" s="72"/>
      <c r="AE92" s="72"/>
      <c r="AF92" s="72"/>
      <c r="AG92" s="72"/>
      <c r="AH92" s="73"/>
    </row>
    <row r="93" spans="1:34">
      <c r="A93" s="40">
        <v>1730</v>
      </c>
      <c r="B93" s="64">
        <v>6.9000000000000006E-2</v>
      </c>
      <c r="C93" s="65">
        <v>4.4999999999999998E-2</v>
      </c>
      <c r="D93" s="64">
        <v>4.3999999999999997E-2</v>
      </c>
      <c r="E93" s="65">
        <v>4.2999999999999997E-2</v>
      </c>
      <c r="F93" s="64">
        <v>4.2000000000000003E-2</v>
      </c>
      <c r="G93" s="65">
        <v>4.1000000000000002E-2</v>
      </c>
      <c r="H93" s="64">
        <v>0.04</v>
      </c>
      <c r="I93" s="64">
        <v>3.9E-2</v>
      </c>
      <c r="J93" s="64">
        <v>3.7999999999999999E-2</v>
      </c>
      <c r="K93" s="64">
        <v>3.7999999999999999E-2</v>
      </c>
      <c r="L93" s="64">
        <v>3.6999999999999998E-2</v>
      </c>
      <c r="M93" s="64">
        <v>3.5000000000000003E-2</v>
      </c>
      <c r="N93" s="66">
        <v>3.4000000000000002E-2</v>
      </c>
      <c r="O93" s="66">
        <v>3.4000000000000002E-2</v>
      </c>
      <c r="P93" s="67"/>
      <c r="Q93" s="74"/>
      <c r="R93" s="73">
        <v>0</v>
      </c>
      <c r="S93" s="74"/>
      <c r="T93" s="74"/>
      <c r="U93" s="69"/>
      <c r="V93" s="70"/>
      <c r="W93" s="64"/>
      <c r="X93" s="70"/>
      <c r="Y93" s="64"/>
      <c r="Z93" s="64"/>
      <c r="AA93" s="64"/>
      <c r="AB93" s="71"/>
      <c r="AC93" s="72"/>
      <c r="AD93" s="72"/>
      <c r="AE93" s="72"/>
      <c r="AF93" s="72"/>
      <c r="AG93" s="72"/>
      <c r="AH93" s="73"/>
    </row>
    <row r="94" spans="1:34">
      <c r="A94" s="40">
        <v>1731</v>
      </c>
      <c r="B94" s="64">
        <v>6.2E-2</v>
      </c>
      <c r="C94" s="65">
        <v>4.1000000000000002E-2</v>
      </c>
      <c r="D94" s="64">
        <v>0.04</v>
      </c>
      <c r="E94" s="65">
        <v>3.9E-2</v>
      </c>
      <c r="F94" s="64">
        <v>3.7999999999999999E-2</v>
      </c>
      <c r="G94" s="65">
        <v>3.6999999999999998E-2</v>
      </c>
      <c r="H94" s="64">
        <v>3.5999999999999997E-2</v>
      </c>
      <c r="I94" s="64">
        <v>3.5000000000000003E-2</v>
      </c>
      <c r="J94" s="64">
        <v>3.4000000000000002E-2</v>
      </c>
      <c r="K94" s="64">
        <v>3.4000000000000002E-2</v>
      </c>
      <c r="L94" s="64">
        <v>3.3000000000000002E-2</v>
      </c>
      <c r="M94" s="64">
        <v>3.2000000000000001E-2</v>
      </c>
      <c r="N94" s="66">
        <v>3.1E-2</v>
      </c>
      <c r="O94" s="66">
        <v>0.03</v>
      </c>
      <c r="P94" s="67"/>
      <c r="Q94" s="74"/>
      <c r="R94" s="73">
        <v>-10.1</v>
      </c>
      <c r="S94" s="74"/>
      <c r="T94" s="74"/>
      <c r="U94" s="69"/>
      <c r="V94" s="70"/>
      <c r="W94" s="64"/>
      <c r="X94" s="70"/>
      <c r="Y94" s="64"/>
      <c r="Z94" s="64"/>
      <c r="AA94" s="64"/>
      <c r="AB94" s="71"/>
      <c r="AC94" s="72"/>
      <c r="AD94" s="72"/>
      <c r="AE94" s="72"/>
      <c r="AF94" s="72"/>
      <c r="AG94" s="72"/>
      <c r="AH94" s="73"/>
    </row>
    <row r="95" spans="1:34">
      <c r="A95" s="40">
        <v>1732</v>
      </c>
      <c r="B95" s="64">
        <v>5.7000000000000002E-2</v>
      </c>
      <c r="C95" s="65">
        <v>3.6999999999999998E-2</v>
      </c>
      <c r="D95" s="64">
        <v>3.5999999999999997E-2</v>
      </c>
      <c r="E95" s="65">
        <v>3.5999999999999997E-2</v>
      </c>
      <c r="F95" s="64">
        <v>3.5000000000000003E-2</v>
      </c>
      <c r="G95" s="65">
        <v>3.4000000000000002E-2</v>
      </c>
      <c r="H95" s="64">
        <v>3.3000000000000002E-2</v>
      </c>
      <c r="I95" s="64">
        <v>3.2000000000000001E-2</v>
      </c>
      <c r="J95" s="64">
        <v>3.2000000000000001E-2</v>
      </c>
      <c r="K95" s="64">
        <v>3.1E-2</v>
      </c>
      <c r="L95" s="64">
        <v>0.03</v>
      </c>
      <c r="M95" s="64">
        <v>2.9000000000000001E-2</v>
      </c>
      <c r="N95" s="66">
        <v>2.8000000000000001E-2</v>
      </c>
      <c r="O95" s="66">
        <v>2.8000000000000001E-2</v>
      </c>
      <c r="P95" s="67"/>
      <c r="Q95" s="74"/>
      <c r="R95" s="73">
        <v>-8.1</v>
      </c>
      <c r="S95" s="74"/>
      <c r="T95" s="74"/>
      <c r="U95" s="69"/>
      <c r="V95" s="70"/>
      <c r="W95" s="64"/>
      <c r="X95" s="70"/>
      <c r="Y95" s="64"/>
      <c r="Z95" s="64"/>
      <c r="AA95" s="64"/>
      <c r="AB95" s="71"/>
      <c r="AC95" s="72"/>
      <c r="AD95" s="72"/>
      <c r="AE95" s="72"/>
      <c r="AF95" s="72"/>
      <c r="AG95" s="72"/>
      <c r="AH95" s="73"/>
    </row>
    <row r="96" spans="1:34">
      <c r="A96" s="40">
        <v>1733</v>
      </c>
      <c r="B96" s="64">
        <v>5.8999999999999997E-2</v>
      </c>
      <c r="C96" s="65">
        <v>3.9E-2</v>
      </c>
      <c r="D96" s="64">
        <v>3.7999999999999999E-2</v>
      </c>
      <c r="E96" s="65">
        <v>3.6999999999999998E-2</v>
      </c>
      <c r="F96" s="64">
        <v>3.5999999999999997E-2</v>
      </c>
      <c r="G96" s="65">
        <v>3.5000000000000003E-2</v>
      </c>
      <c r="H96" s="64">
        <v>3.4000000000000002E-2</v>
      </c>
      <c r="I96" s="64">
        <v>3.3000000000000002E-2</v>
      </c>
      <c r="J96" s="64">
        <v>3.3000000000000002E-2</v>
      </c>
      <c r="K96" s="64">
        <v>3.2000000000000001E-2</v>
      </c>
      <c r="L96" s="64">
        <v>3.1E-2</v>
      </c>
      <c r="M96" s="64">
        <v>0.03</v>
      </c>
      <c r="N96" s="66">
        <v>2.9000000000000001E-2</v>
      </c>
      <c r="O96" s="66">
        <v>2.9000000000000001E-2</v>
      </c>
      <c r="P96" s="67"/>
      <c r="Q96" s="74"/>
      <c r="R96" s="73">
        <v>3.5</v>
      </c>
      <c r="S96" s="74"/>
      <c r="T96" s="74"/>
      <c r="U96" s="69"/>
      <c r="V96" s="70"/>
      <c r="W96" s="64"/>
      <c r="X96" s="70"/>
      <c r="Y96" s="64"/>
      <c r="Z96" s="64"/>
      <c r="AA96" s="64"/>
      <c r="AB96" s="71"/>
      <c r="AC96" s="72"/>
      <c r="AD96" s="72"/>
      <c r="AE96" s="72"/>
      <c r="AF96" s="72"/>
      <c r="AG96" s="72"/>
      <c r="AH96" s="73"/>
    </row>
    <row r="97" spans="1:34">
      <c r="A97" s="40">
        <v>1734</v>
      </c>
      <c r="B97" s="64">
        <v>5.7000000000000002E-2</v>
      </c>
      <c r="C97" s="65">
        <v>3.6999999999999998E-2</v>
      </c>
      <c r="D97" s="64">
        <v>3.5999999999999997E-2</v>
      </c>
      <c r="E97" s="65">
        <v>3.5999999999999997E-2</v>
      </c>
      <c r="F97" s="64">
        <v>3.5000000000000003E-2</v>
      </c>
      <c r="G97" s="65">
        <v>3.4000000000000002E-2</v>
      </c>
      <c r="H97" s="64">
        <v>3.3000000000000002E-2</v>
      </c>
      <c r="I97" s="64">
        <v>3.2000000000000001E-2</v>
      </c>
      <c r="J97" s="64">
        <v>3.2000000000000001E-2</v>
      </c>
      <c r="K97" s="64">
        <v>3.1E-2</v>
      </c>
      <c r="L97" s="64">
        <v>0.03</v>
      </c>
      <c r="M97" s="64">
        <v>2.9000000000000001E-2</v>
      </c>
      <c r="N97" s="66">
        <v>2.8000000000000001E-2</v>
      </c>
      <c r="O97" s="66">
        <v>2.8000000000000001E-2</v>
      </c>
      <c r="P97" s="67"/>
      <c r="Q97" s="74"/>
      <c r="R97" s="73">
        <v>-3.4</v>
      </c>
      <c r="S97" s="74"/>
      <c r="T97" s="74"/>
      <c r="U97" s="69"/>
      <c r="V97" s="70"/>
      <c r="W97" s="64"/>
      <c r="X97" s="70"/>
      <c r="Y97" s="64"/>
      <c r="Z97" s="64"/>
      <c r="AA97" s="64"/>
      <c r="AB97" s="71"/>
      <c r="AC97" s="72"/>
      <c r="AD97" s="72"/>
      <c r="AE97" s="72"/>
      <c r="AF97" s="72"/>
      <c r="AG97" s="72"/>
      <c r="AH97" s="73"/>
    </row>
    <row r="98" spans="1:34">
      <c r="A98" s="40">
        <v>1735</v>
      </c>
      <c r="B98" s="64">
        <v>5.8999999999999997E-2</v>
      </c>
      <c r="C98" s="65">
        <v>3.9E-2</v>
      </c>
      <c r="D98" s="64">
        <v>3.7999999999999999E-2</v>
      </c>
      <c r="E98" s="65">
        <v>3.6999999999999998E-2</v>
      </c>
      <c r="F98" s="64">
        <v>3.5999999999999997E-2</v>
      </c>
      <c r="G98" s="65">
        <v>3.5000000000000003E-2</v>
      </c>
      <c r="H98" s="64">
        <v>3.4000000000000002E-2</v>
      </c>
      <c r="I98" s="64">
        <v>3.3000000000000002E-2</v>
      </c>
      <c r="J98" s="64">
        <v>3.3000000000000002E-2</v>
      </c>
      <c r="K98" s="64">
        <v>3.2000000000000001E-2</v>
      </c>
      <c r="L98" s="64">
        <v>3.1E-2</v>
      </c>
      <c r="M98" s="64">
        <v>0.03</v>
      </c>
      <c r="N98" s="66">
        <v>2.9000000000000001E-2</v>
      </c>
      <c r="O98" s="66">
        <v>2.9000000000000001E-2</v>
      </c>
      <c r="P98" s="67"/>
      <c r="Q98" s="74"/>
      <c r="R98" s="73">
        <v>3.5</v>
      </c>
      <c r="S98" s="74"/>
      <c r="T98" s="74"/>
      <c r="U98" s="69"/>
      <c r="V98" s="70"/>
      <c r="W98" s="64"/>
      <c r="X98" s="70"/>
      <c r="Y98" s="64"/>
      <c r="Z98" s="64"/>
      <c r="AA98" s="64"/>
      <c r="AB98" s="71"/>
      <c r="AC98" s="72"/>
      <c r="AD98" s="72"/>
      <c r="AE98" s="72"/>
      <c r="AF98" s="72"/>
      <c r="AG98" s="72"/>
      <c r="AH98" s="73"/>
    </row>
    <row r="99" spans="1:34">
      <c r="A99" s="40">
        <v>1736</v>
      </c>
      <c r="B99" s="64">
        <v>5.6000000000000001E-2</v>
      </c>
      <c r="C99" s="65">
        <v>3.6999999999999998E-2</v>
      </c>
      <c r="D99" s="64">
        <v>3.5999999999999997E-2</v>
      </c>
      <c r="E99" s="65">
        <v>3.5000000000000003E-2</v>
      </c>
      <c r="F99" s="64">
        <v>3.4000000000000002E-2</v>
      </c>
      <c r="G99" s="65">
        <v>3.4000000000000002E-2</v>
      </c>
      <c r="H99" s="64">
        <v>3.3000000000000002E-2</v>
      </c>
      <c r="I99" s="64">
        <v>3.2000000000000001E-2</v>
      </c>
      <c r="J99" s="64">
        <v>3.1E-2</v>
      </c>
      <c r="K99" s="64">
        <v>0.03</v>
      </c>
      <c r="L99" s="64">
        <v>0.03</v>
      </c>
      <c r="M99" s="64">
        <v>2.9000000000000001E-2</v>
      </c>
      <c r="N99" s="66">
        <v>2.8000000000000001E-2</v>
      </c>
      <c r="O99" s="66">
        <v>2.7E-2</v>
      </c>
      <c r="P99" s="67"/>
      <c r="Q99" s="74"/>
      <c r="R99" s="73">
        <v>-5.0999999999999996</v>
      </c>
      <c r="S99" s="74"/>
      <c r="T99" s="74"/>
      <c r="U99" s="69"/>
      <c r="V99" s="70"/>
      <c r="W99" s="64"/>
      <c r="X99" s="70"/>
      <c r="Y99" s="64"/>
      <c r="Z99" s="64"/>
      <c r="AA99" s="64"/>
      <c r="AB99" s="71"/>
      <c r="AC99" s="72"/>
      <c r="AD99" s="72"/>
      <c r="AE99" s="72"/>
      <c r="AF99" s="72"/>
      <c r="AG99" s="72"/>
      <c r="AH99" s="73"/>
    </row>
    <row r="100" spans="1:34">
      <c r="A100" s="40">
        <v>1737</v>
      </c>
      <c r="B100" s="64">
        <v>5.8000000000000003E-2</v>
      </c>
      <c r="C100" s="65">
        <v>3.7999999999999999E-2</v>
      </c>
      <c r="D100" s="64">
        <v>3.6999999999999998E-2</v>
      </c>
      <c r="E100" s="65">
        <v>3.5999999999999997E-2</v>
      </c>
      <c r="F100" s="64">
        <v>3.5999999999999997E-2</v>
      </c>
      <c r="G100" s="65">
        <v>3.5000000000000003E-2</v>
      </c>
      <c r="H100" s="64">
        <v>3.4000000000000002E-2</v>
      </c>
      <c r="I100" s="64">
        <v>3.3000000000000002E-2</v>
      </c>
      <c r="J100" s="64">
        <v>3.2000000000000001E-2</v>
      </c>
      <c r="K100" s="64">
        <v>3.2000000000000001E-2</v>
      </c>
      <c r="L100" s="64">
        <v>3.1E-2</v>
      </c>
      <c r="M100" s="64">
        <v>0.03</v>
      </c>
      <c r="N100" s="66">
        <v>2.9000000000000001E-2</v>
      </c>
      <c r="O100" s="66">
        <v>2.8000000000000001E-2</v>
      </c>
      <c r="P100" s="67"/>
      <c r="Q100" s="74"/>
      <c r="R100" s="73">
        <v>3.6</v>
      </c>
      <c r="S100" s="74"/>
      <c r="T100" s="74"/>
      <c r="U100" s="69"/>
      <c r="V100" s="70"/>
      <c r="W100" s="64"/>
      <c r="X100" s="70"/>
      <c r="Y100" s="64"/>
      <c r="Z100" s="64"/>
      <c r="AA100" s="64"/>
      <c r="AB100" s="71"/>
      <c r="AC100" s="72"/>
      <c r="AD100" s="72"/>
      <c r="AE100" s="72"/>
      <c r="AF100" s="72"/>
      <c r="AG100" s="72"/>
      <c r="AH100" s="73"/>
    </row>
    <row r="101" spans="1:34">
      <c r="A101" s="40">
        <v>1738</v>
      </c>
      <c r="B101" s="64">
        <v>6.0999999999999999E-2</v>
      </c>
      <c r="C101" s="65">
        <v>0.04</v>
      </c>
      <c r="D101" s="64">
        <v>3.9E-2</v>
      </c>
      <c r="E101" s="65">
        <v>3.7999999999999999E-2</v>
      </c>
      <c r="F101" s="64">
        <v>3.6999999999999998E-2</v>
      </c>
      <c r="G101" s="65">
        <v>3.6999999999999998E-2</v>
      </c>
      <c r="H101" s="64">
        <v>3.5000000000000003E-2</v>
      </c>
      <c r="I101" s="64">
        <v>3.4000000000000002E-2</v>
      </c>
      <c r="J101" s="64">
        <v>3.4000000000000002E-2</v>
      </c>
      <c r="K101" s="64">
        <v>3.3000000000000002E-2</v>
      </c>
      <c r="L101" s="64">
        <v>3.2000000000000001E-2</v>
      </c>
      <c r="M101" s="64">
        <v>3.1E-2</v>
      </c>
      <c r="N101" s="66">
        <v>0.03</v>
      </c>
      <c r="O101" s="66">
        <v>0.03</v>
      </c>
      <c r="P101" s="67"/>
      <c r="Q101" s="74"/>
      <c r="R101" s="73">
        <v>5.2</v>
      </c>
      <c r="S101" s="74"/>
      <c r="T101" s="74"/>
      <c r="U101" s="69"/>
      <c r="V101" s="70"/>
      <c r="W101" s="64"/>
      <c r="X101" s="70"/>
      <c r="Y101" s="64"/>
      <c r="Z101" s="64"/>
      <c r="AA101" s="64"/>
      <c r="AB101" s="71"/>
      <c r="AC101" s="72"/>
      <c r="AD101" s="72"/>
      <c r="AE101" s="72"/>
      <c r="AF101" s="72"/>
      <c r="AG101" s="72"/>
      <c r="AH101" s="73"/>
    </row>
    <row r="102" spans="1:34">
      <c r="A102" s="40">
        <v>1739</v>
      </c>
      <c r="B102" s="64">
        <v>5.3999999999999999E-2</v>
      </c>
      <c r="C102" s="65">
        <v>3.5000000000000003E-2</v>
      </c>
      <c r="D102" s="64">
        <v>3.4000000000000002E-2</v>
      </c>
      <c r="E102" s="65">
        <v>3.4000000000000002E-2</v>
      </c>
      <c r="F102" s="64">
        <v>3.3000000000000002E-2</v>
      </c>
      <c r="G102" s="65">
        <v>3.2000000000000001E-2</v>
      </c>
      <c r="H102" s="64">
        <v>3.1E-2</v>
      </c>
      <c r="I102" s="64">
        <v>0.03</v>
      </c>
      <c r="J102" s="64">
        <v>0.03</v>
      </c>
      <c r="K102" s="64">
        <v>2.9000000000000001E-2</v>
      </c>
      <c r="L102" s="64">
        <v>2.9000000000000001E-2</v>
      </c>
      <c r="M102" s="64">
        <v>2.8000000000000001E-2</v>
      </c>
      <c r="N102" s="66">
        <v>2.7E-2</v>
      </c>
      <c r="O102" s="66">
        <v>2.5999999999999999E-2</v>
      </c>
      <c r="P102" s="67"/>
      <c r="Q102" s="74"/>
      <c r="R102" s="73">
        <v>-11.5</v>
      </c>
      <c r="S102" s="74"/>
      <c r="T102" s="74"/>
      <c r="U102" s="69"/>
      <c r="V102" s="70"/>
      <c r="W102" s="64"/>
      <c r="X102" s="70"/>
      <c r="Y102" s="64"/>
      <c r="Z102" s="64"/>
      <c r="AA102" s="64"/>
      <c r="AB102" s="71"/>
      <c r="AC102" s="72"/>
      <c r="AD102" s="72"/>
      <c r="AE102" s="72"/>
      <c r="AF102" s="72"/>
      <c r="AG102" s="72"/>
      <c r="AH102" s="73"/>
    </row>
    <row r="103" spans="1:34">
      <c r="A103" s="40">
        <v>1740</v>
      </c>
      <c r="B103" s="64">
        <v>5.7000000000000002E-2</v>
      </c>
      <c r="C103" s="65">
        <v>3.6999999999999998E-2</v>
      </c>
      <c r="D103" s="64">
        <v>3.5999999999999997E-2</v>
      </c>
      <c r="E103" s="65">
        <v>3.5999999999999997E-2</v>
      </c>
      <c r="F103" s="64">
        <v>3.5000000000000003E-2</v>
      </c>
      <c r="G103" s="65">
        <v>3.4000000000000002E-2</v>
      </c>
      <c r="H103" s="64">
        <v>3.3000000000000002E-2</v>
      </c>
      <c r="I103" s="64">
        <v>3.2000000000000001E-2</v>
      </c>
      <c r="J103" s="64">
        <v>3.2000000000000001E-2</v>
      </c>
      <c r="K103" s="64">
        <v>3.1E-2</v>
      </c>
      <c r="L103" s="64">
        <v>0.03</v>
      </c>
      <c r="M103" s="64">
        <v>2.9000000000000001E-2</v>
      </c>
      <c r="N103" s="66">
        <v>2.8000000000000001E-2</v>
      </c>
      <c r="O103" s="66">
        <v>2.8000000000000001E-2</v>
      </c>
      <c r="P103" s="67"/>
      <c r="Q103" s="74"/>
      <c r="R103" s="73">
        <v>5.6</v>
      </c>
      <c r="S103" s="74"/>
      <c r="T103" s="74"/>
      <c r="U103" s="69"/>
      <c r="V103" s="70"/>
      <c r="W103" s="64"/>
      <c r="X103" s="70"/>
      <c r="Y103" s="64"/>
      <c r="Z103" s="64"/>
      <c r="AA103" s="64"/>
      <c r="AB103" s="71"/>
      <c r="AC103" s="72"/>
      <c r="AD103" s="72"/>
      <c r="AE103" s="72"/>
      <c r="AF103" s="72"/>
      <c r="AG103" s="72"/>
      <c r="AH103" s="73"/>
    </row>
    <row r="104" spans="1:34">
      <c r="A104" s="40">
        <v>1741</v>
      </c>
      <c r="B104" s="64">
        <v>7.9000000000000001E-2</v>
      </c>
      <c r="C104" s="65">
        <v>5.1999999999999998E-2</v>
      </c>
      <c r="D104" s="64">
        <v>0.05</v>
      </c>
      <c r="E104" s="65">
        <v>4.9000000000000002E-2</v>
      </c>
      <c r="F104" s="64">
        <v>4.8000000000000001E-2</v>
      </c>
      <c r="G104" s="65">
        <v>4.7E-2</v>
      </c>
      <c r="H104" s="64">
        <v>4.5999999999999999E-2</v>
      </c>
      <c r="I104" s="64">
        <v>4.4999999999999998E-2</v>
      </c>
      <c r="J104" s="64">
        <v>4.3999999999999997E-2</v>
      </c>
      <c r="K104" s="64">
        <v>4.2999999999999997E-2</v>
      </c>
      <c r="L104" s="64">
        <v>4.2000000000000003E-2</v>
      </c>
      <c r="M104" s="64">
        <v>0.04</v>
      </c>
      <c r="N104" s="66">
        <v>3.9E-2</v>
      </c>
      <c r="O104" s="66">
        <v>3.7999999999999999E-2</v>
      </c>
      <c r="P104" s="67"/>
      <c r="Q104" s="74"/>
      <c r="R104" s="73">
        <v>38.6</v>
      </c>
      <c r="S104" s="74"/>
      <c r="T104" s="74"/>
      <c r="U104" s="69"/>
      <c r="V104" s="70"/>
      <c r="W104" s="64"/>
      <c r="X104" s="70"/>
      <c r="Y104" s="64"/>
      <c r="Z104" s="64"/>
      <c r="AA104" s="64"/>
      <c r="AB104" s="71"/>
      <c r="AC104" s="72"/>
      <c r="AD104" s="72"/>
      <c r="AE104" s="72"/>
      <c r="AF104" s="72"/>
      <c r="AG104" s="72"/>
      <c r="AH104" s="73"/>
    </row>
    <row r="105" spans="1:34">
      <c r="A105" s="40">
        <v>1742</v>
      </c>
      <c r="B105" s="64">
        <v>7.0000000000000007E-2</v>
      </c>
      <c r="C105" s="65">
        <v>4.5999999999999999E-2</v>
      </c>
      <c r="D105" s="64">
        <v>4.4999999999999998E-2</v>
      </c>
      <c r="E105" s="65">
        <v>4.3999999999999997E-2</v>
      </c>
      <c r="F105" s="64">
        <v>4.2999999999999997E-2</v>
      </c>
      <c r="G105" s="65">
        <v>4.2000000000000003E-2</v>
      </c>
      <c r="H105" s="64">
        <v>4.1000000000000002E-2</v>
      </c>
      <c r="I105" s="64">
        <v>0.04</v>
      </c>
      <c r="J105" s="64">
        <v>3.9E-2</v>
      </c>
      <c r="K105" s="64">
        <v>3.7999999999999999E-2</v>
      </c>
      <c r="L105" s="64">
        <v>3.6999999999999998E-2</v>
      </c>
      <c r="M105" s="64">
        <v>3.5999999999999997E-2</v>
      </c>
      <c r="N105" s="66">
        <v>3.5000000000000003E-2</v>
      </c>
      <c r="O105" s="66">
        <v>3.4000000000000002E-2</v>
      </c>
      <c r="P105" s="67"/>
      <c r="Q105" s="74"/>
      <c r="R105" s="73">
        <v>-11.4</v>
      </c>
      <c r="S105" s="74"/>
      <c r="T105" s="74"/>
      <c r="U105" s="69"/>
      <c r="V105" s="70"/>
      <c r="W105" s="64"/>
      <c r="X105" s="70"/>
      <c r="Y105" s="64"/>
      <c r="Z105" s="64"/>
      <c r="AA105" s="64"/>
      <c r="AB105" s="71"/>
      <c r="AC105" s="72"/>
      <c r="AD105" s="72"/>
      <c r="AE105" s="72"/>
      <c r="AF105" s="72"/>
      <c r="AG105" s="72"/>
      <c r="AH105" s="73"/>
    </row>
    <row r="106" spans="1:34">
      <c r="A106" s="40">
        <v>1743</v>
      </c>
      <c r="B106" s="64">
        <v>6.2E-2</v>
      </c>
      <c r="C106" s="65">
        <v>4.1000000000000002E-2</v>
      </c>
      <c r="D106" s="64">
        <v>0.04</v>
      </c>
      <c r="E106" s="65">
        <v>3.9E-2</v>
      </c>
      <c r="F106" s="64">
        <v>3.7999999999999999E-2</v>
      </c>
      <c r="G106" s="65">
        <v>3.6999999999999998E-2</v>
      </c>
      <c r="H106" s="64">
        <v>3.5999999999999997E-2</v>
      </c>
      <c r="I106" s="64">
        <v>3.5000000000000003E-2</v>
      </c>
      <c r="J106" s="64">
        <v>3.4000000000000002E-2</v>
      </c>
      <c r="K106" s="64">
        <v>3.4000000000000002E-2</v>
      </c>
      <c r="L106" s="64">
        <v>3.3000000000000002E-2</v>
      </c>
      <c r="M106" s="64">
        <v>3.2000000000000001E-2</v>
      </c>
      <c r="N106" s="66">
        <v>3.1E-2</v>
      </c>
      <c r="O106" s="66">
        <v>0.03</v>
      </c>
      <c r="P106" s="67"/>
      <c r="Q106" s="74"/>
      <c r="R106" s="73">
        <v>-11.4</v>
      </c>
      <c r="S106" s="74"/>
      <c r="T106" s="74"/>
      <c r="U106" s="69"/>
      <c r="V106" s="70"/>
      <c r="W106" s="64"/>
      <c r="X106" s="70"/>
      <c r="Y106" s="64"/>
      <c r="Z106" s="64"/>
      <c r="AA106" s="64"/>
      <c r="AB106" s="71"/>
      <c r="AC106" s="72"/>
      <c r="AD106" s="72"/>
      <c r="AE106" s="72"/>
      <c r="AF106" s="72"/>
      <c r="AG106" s="72"/>
      <c r="AH106" s="73"/>
    </row>
    <row r="107" spans="1:34">
      <c r="A107" s="40">
        <v>1744</v>
      </c>
      <c r="B107" s="64">
        <v>5.7000000000000002E-2</v>
      </c>
      <c r="C107" s="65">
        <v>3.6999999999999998E-2</v>
      </c>
      <c r="D107" s="64">
        <v>3.5999999999999997E-2</v>
      </c>
      <c r="E107" s="65">
        <v>3.5999999999999997E-2</v>
      </c>
      <c r="F107" s="64">
        <v>3.5000000000000003E-2</v>
      </c>
      <c r="G107" s="65">
        <v>3.4000000000000002E-2</v>
      </c>
      <c r="H107" s="64">
        <v>3.3000000000000002E-2</v>
      </c>
      <c r="I107" s="64">
        <v>3.2000000000000001E-2</v>
      </c>
      <c r="J107" s="64">
        <v>3.2000000000000001E-2</v>
      </c>
      <c r="K107" s="64">
        <v>3.1E-2</v>
      </c>
      <c r="L107" s="64">
        <v>0.03</v>
      </c>
      <c r="M107" s="64">
        <v>2.9000000000000001E-2</v>
      </c>
      <c r="N107" s="66">
        <v>2.8000000000000001E-2</v>
      </c>
      <c r="O107" s="66">
        <v>2.8000000000000001E-2</v>
      </c>
      <c r="P107" s="67"/>
      <c r="Q107" s="74"/>
      <c r="R107" s="73">
        <v>-8.1</v>
      </c>
      <c r="S107" s="74"/>
      <c r="T107" s="74"/>
      <c r="U107" s="69"/>
      <c r="V107" s="70"/>
      <c r="W107" s="64"/>
      <c r="X107" s="70"/>
      <c r="Y107" s="64"/>
      <c r="Z107" s="64"/>
      <c r="AA107" s="64"/>
      <c r="AB107" s="71"/>
      <c r="AC107" s="72"/>
      <c r="AD107" s="72"/>
      <c r="AE107" s="72"/>
      <c r="AF107" s="72"/>
      <c r="AG107" s="72"/>
      <c r="AH107" s="73"/>
    </row>
    <row r="108" spans="1:34">
      <c r="A108" s="40">
        <v>1745</v>
      </c>
      <c r="B108" s="64">
        <v>5.5E-2</v>
      </c>
      <c r="C108" s="65">
        <v>3.5999999999999997E-2</v>
      </c>
      <c r="D108" s="64">
        <v>3.5000000000000003E-2</v>
      </c>
      <c r="E108" s="65">
        <v>3.4000000000000002E-2</v>
      </c>
      <c r="F108" s="64">
        <v>3.4000000000000002E-2</v>
      </c>
      <c r="G108" s="65">
        <v>3.3000000000000002E-2</v>
      </c>
      <c r="H108" s="64">
        <v>3.2000000000000001E-2</v>
      </c>
      <c r="I108" s="64">
        <v>3.1E-2</v>
      </c>
      <c r="J108" s="64">
        <v>3.1E-2</v>
      </c>
      <c r="K108" s="64">
        <v>0.03</v>
      </c>
      <c r="L108" s="64">
        <v>2.9000000000000001E-2</v>
      </c>
      <c r="M108" s="64">
        <v>2.8000000000000001E-2</v>
      </c>
      <c r="N108" s="66">
        <v>2.7E-2</v>
      </c>
      <c r="O108" s="66">
        <v>2.7E-2</v>
      </c>
      <c r="P108" s="67"/>
      <c r="Q108" s="74"/>
      <c r="R108" s="73">
        <v>-3.5</v>
      </c>
      <c r="S108" s="74"/>
      <c r="T108" s="74"/>
      <c r="U108" s="69"/>
      <c r="V108" s="70"/>
      <c r="W108" s="64"/>
      <c r="X108" s="70"/>
      <c r="Y108" s="64"/>
      <c r="Z108" s="64"/>
      <c r="AA108" s="64"/>
      <c r="AB108" s="71"/>
      <c r="AC108" s="72"/>
      <c r="AD108" s="72"/>
      <c r="AE108" s="72"/>
      <c r="AF108" s="72"/>
      <c r="AG108" s="72"/>
      <c r="AH108" s="73"/>
    </row>
    <row r="109" spans="1:34">
      <c r="A109" s="40">
        <v>1746</v>
      </c>
      <c r="B109" s="64">
        <v>5.6000000000000001E-2</v>
      </c>
      <c r="C109" s="65">
        <v>3.6999999999999998E-2</v>
      </c>
      <c r="D109" s="64">
        <v>3.5999999999999997E-2</v>
      </c>
      <c r="E109" s="65">
        <v>3.5000000000000003E-2</v>
      </c>
      <c r="F109" s="64">
        <v>3.4000000000000002E-2</v>
      </c>
      <c r="G109" s="65">
        <v>3.4000000000000002E-2</v>
      </c>
      <c r="H109" s="64">
        <v>3.3000000000000002E-2</v>
      </c>
      <c r="I109" s="64">
        <v>3.2000000000000001E-2</v>
      </c>
      <c r="J109" s="64">
        <v>3.1E-2</v>
      </c>
      <c r="K109" s="64">
        <v>0.03</v>
      </c>
      <c r="L109" s="64">
        <v>0.03</v>
      </c>
      <c r="M109" s="64">
        <v>2.9000000000000001E-2</v>
      </c>
      <c r="N109" s="66">
        <v>2.8000000000000001E-2</v>
      </c>
      <c r="O109" s="66">
        <v>2.7E-2</v>
      </c>
      <c r="P109" s="67"/>
      <c r="Q109" s="74"/>
      <c r="R109" s="73">
        <v>1.8</v>
      </c>
      <c r="S109" s="74"/>
      <c r="T109" s="74"/>
      <c r="U109" s="69"/>
      <c r="V109" s="70"/>
      <c r="W109" s="64"/>
      <c r="X109" s="70"/>
      <c r="Y109" s="64"/>
      <c r="Z109" s="64"/>
      <c r="AA109" s="64"/>
      <c r="AB109" s="71"/>
      <c r="AC109" s="72"/>
      <c r="AD109" s="72"/>
      <c r="AE109" s="72"/>
      <c r="AF109" s="72"/>
      <c r="AG109" s="72"/>
      <c r="AH109" s="73"/>
    </row>
    <row r="110" spans="1:34">
      <c r="A110" s="40">
        <v>1747</v>
      </c>
      <c r="B110" s="64">
        <v>6.2E-2</v>
      </c>
      <c r="C110" s="65">
        <v>4.1000000000000002E-2</v>
      </c>
      <c r="D110" s="64">
        <v>0.04</v>
      </c>
      <c r="E110" s="65">
        <v>3.9E-2</v>
      </c>
      <c r="F110" s="64">
        <v>3.7999999999999999E-2</v>
      </c>
      <c r="G110" s="65">
        <v>3.6999999999999998E-2</v>
      </c>
      <c r="H110" s="64">
        <v>3.5999999999999997E-2</v>
      </c>
      <c r="I110" s="64">
        <v>3.5000000000000003E-2</v>
      </c>
      <c r="J110" s="64">
        <v>3.4000000000000002E-2</v>
      </c>
      <c r="K110" s="64">
        <v>3.4000000000000002E-2</v>
      </c>
      <c r="L110" s="64">
        <v>3.3000000000000002E-2</v>
      </c>
      <c r="M110" s="64">
        <v>3.2000000000000001E-2</v>
      </c>
      <c r="N110" s="66">
        <v>3.1E-2</v>
      </c>
      <c r="O110" s="66">
        <v>0.03</v>
      </c>
      <c r="P110" s="67"/>
      <c r="Q110" s="74"/>
      <c r="R110" s="73">
        <v>10.7</v>
      </c>
      <c r="S110" s="74"/>
      <c r="T110" s="74"/>
      <c r="U110" s="69"/>
      <c r="V110" s="70"/>
      <c r="W110" s="64"/>
      <c r="X110" s="70"/>
      <c r="Y110" s="64"/>
      <c r="Z110" s="64"/>
      <c r="AA110" s="64"/>
      <c r="AB110" s="71"/>
      <c r="AC110" s="72"/>
      <c r="AD110" s="72"/>
      <c r="AE110" s="72"/>
      <c r="AF110" s="72"/>
      <c r="AG110" s="72"/>
      <c r="AH110" s="73"/>
    </row>
    <row r="111" spans="1:34">
      <c r="A111" s="40">
        <v>1748</v>
      </c>
      <c r="B111" s="64">
        <v>7.0999999999999994E-2</v>
      </c>
      <c r="C111" s="65">
        <v>4.7E-2</v>
      </c>
      <c r="D111" s="64">
        <v>4.4999999999999998E-2</v>
      </c>
      <c r="E111" s="65">
        <v>4.3999999999999997E-2</v>
      </c>
      <c r="F111" s="64">
        <v>4.3999999999999997E-2</v>
      </c>
      <c r="G111" s="65">
        <v>4.2999999999999997E-2</v>
      </c>
      <c r="H111" s="64">
        <v>4.1000000000000002E-2</v>
      </c>
      <c r="I111" s="64">
        <v>0.04</v>
      </c>
      <c r="J111" s="64">
        <v>3.9E-2</v>
      </c>
      <c r="K111" s="64">
        <v>3.9E-2</v>
      </c>
      <c r="L111" s="64">
        <v>3.7999999999999999E-2</v>
      </c>
      <c r="M111" s="64">
        <v>3.5999999999999997E-2</v>
      </c>
      <c r="N111" s="66">
        <v>3.5000000000000003E-2</v>
      </c>
      <c r="O111" s="66">
        <v>3.4000000000000002E-2</v>
      </c>
      <c r="P111" s="67"/>
      <c r="Q111" s="74"/>
      <c r="R111" s="73">
        <v>14.5</v>
      </c>
      <c r="S111" s="74"/>
      <c r="T111" s="74"/>
      <c r="U111" s="69"/>
      <c r="V111" s="70"/>
      <c r="W111" s="64"/>
      <c r="X111" s="70"/>
      <c r="Y111" s="64"/>
      <c r="Z111" s="64"/>
      <c r="AA111" s="64"/>
      <c r="AB111" s="71"/>
      <c r="AC111" s="72"/>
      <c r="AD111" s="72"/>
      <c r="AE111" s="72"/>
      <c r="AF111" s="72"/>
      <c r="AG111" s="72"/>
      <c r="AH111" s="73"/>
    </row>
    <row r="112" spans="1:34">
      <c r="A112" s="40">
        <v>1749</v>
      </c>
      <c r="B112" s="64">
        <v>7.2999999999999995E-2</v>
      </c>
      <c r="C112" s="65">
        <v>4.8000000000000001E-2</v>
      </c>
      <c r="D112" s="64">
        <v>4.7E-2</v>
      </c>
      <c r="E112" s="65">
        <v>4.4999999999999998E-2</v>
      </c>
      <c r="F112" s="64">
        <v>4.4999999999999998E-2</v>
      </c>
      <c r="G112" s="65">
        <v>4.3999999999999997E-2</v>
      </c>
      <c r="H112" s="64">
        <v>4.2000000000000003E-2</v>
      </c>
      <c r="I112" s="64">
        <v>4.1000000000000002E-2</v>
      </c>
      <c r="J112" s="64">
        <v>4.1000000000000002E-2</v>
      </c>
      <c r="K112" s="64">
        <v>0.04</v>
      </c>
      <c r="L112" s="64">
        <v>3.9E-2</v>
      </c>
      <c r="M112" s="64">
        <v>3.6999999999999998E-2</v>
      </c>
      <c r="N112" s="66">
        <v>3.5999999999999997E-2</v>
      </c>
      <c r="O112" s="66">
        <v>3.5000000000000003E-2</v>
      </c>
      <c r="P112" s="67"/>
      <c r="Q112" s="74"/>
      <c r="R112" s="73">
        <v>2.8</v>
      </c>
      <c r="S112" s="74"/>
      <c r="T112" s="74"/>
      <c r="U112" s="69"/>
      <c r="V112" s="70"/>
      <c r="W112" s="64"/>
      <c r="X112" s="70"/>
      <c r="Y112" s="64"/>
      <c r="Z112" s="64"/>
      <c r="AA112" s="64"/>
      <c r="AB112" s="71"/>
      <c r="AC112" s="72"/>
      <c r="AD112" s="72"/>
      <c r="AE112" s="72"/>
      <c r="AF112" s="72"/>
      <c r="AG112" s="72"/>
      <c r="AH112" s="73"/>
    </row>
    <row r="113" spans="1:34">
      <c r="A113" s="40">
        <v>1750</v>
      </c>
      <c r="B113" s="64">
        <v>7.2999999999999995E-2</v>
      </c>
      <c r="C113" s="65">
        <v>4.8000000000000001E-2</v>
      </c>
      <c r="D113" s="64">
        <v>4.7E-2</v>
      </c>
      <c r="E113" s="65">
        <v>4.4999999999999998E-2</v>
      </c>
      <c r="F113" s="64">
        <v>4.4999999999999998E-2</v>
      </c>
      <c r="G113" s="65">
        <v>4.3999999999999997E-2</v>
      </c>
      <c r="H113" s="64">
        <v>4.2000000000000003E-2</v>
      </c>
      <c r="I113" s="64">
        <v>4.1000000000000002E-2</v>
      </c>
      <c r="J113" s="64">
        <v>4.1000000000000002E-2</v>
      </c>
      <c r="K113" s="64">
        <v>0.04</v>
      </c>
      <c r="L113" s="64">
        <v>3.9E-2</v>
      </c>
      <c r="M113" s="64">
        <v>3.6999999999999998E-2</v>
      </c>
      <c r="N113" s="66">
        <v>3.5999999999999997E-2</v>
      </c>
      <c r="O113" s="66">
        <v>3.5000000000000003E-2</v>
      </c>
      <c r="P113" s="67"/>
      <c r="Q113" s="74"/>
      <c r="R113" s="73">
        <v>0</v>
      </c>
      <c r="S113" s="74"/>
      <c r="T113" s="74"/>
      <c r="U113" s="69"/>
      <c r="V113" s="70"/>
      <c r="W113" s="64"/>
      <c r="X113" s="70"/>
      <c r="Y113" s="64"/>
      <c r="Z113" s="64"/>
      <c r="AA113" s="64"/>
      <c r="AB113" s="71"/>
      <c r="AC113" s="72"/>
      <c r="AD113" s="72"/>
      <c r="AE113" s="72"/>
      <c r="AF113" s="72"/>
      <c r="AG113" s="72"/>
      <c r="AH113" s="73"/>
    </row>
    <row r="114" spans="1:34">
      <c r="A114" s="40">
        <v>1751</v>
      </c>
      <c r="B114" s="64">
        <v>7.3999999999999996E-2</v>
      </c>
      <c r="C114" s="65">
        <v>4.9000000000000002E-2</v>
      </c>
      <c r="D114" s="64">
        <v>4.7E-2</v>
      </c>
      <c r="E114" s="65">
        <v>4.5999999999999999E-2</v>
      </c>
      <c r="F114" s="64">
        <v>4.4999999999999998E-2</v>
      </c>
      <c r="G114" s="65">
        <v>4.3999999999999997E-2</v>
      </c>
      <c r="H114" s="64">
        <v>4.2999999999999997E-2</v>
      </c>
      <c r="I114" s="64">
        <v>4.2000000000000003E-2</v>
      </c>
      <c r="J114" s="64">
        <v>4.1000000000000002E-2</v>
      </c>
      <c r="K114" s="64">
        <v>0.04</v>
      </c>
      <c r="L114" s="64">
        <v>3.9E-2</v>
      </c>
      <c r="M114" s="64">
        <v>3.7999999999999999E-2</v>
      </c>
      <c r="N114" s="66">
        <v>3.6999999999999998E-2</v>
      </c>
      <c r="O114" s="66">
        <v>3.5999999999999997E-2</v>
      </c>
      <c r="P114" s="67"/>
      <c r="Q114" s="74"/>
      <c r="R114" s="73">
        <v>1.4</v>
      </c>
      <c r="S114" s="74"/>
      <c r="T114" s="74"/>
      <c r="U114" s="69"/>
      <c r="V114" s="70"/>
      <c r="W114" s="64"/>
      <c r="X114" s="70"/>
      <c r="Y114" s="64"/>
      <c r="Z114" s="64"/>
      <c r="AA114" s="64"/>
      <c r="AB114" s="71"/>
      <c r="AC114" s="72"/>
      <c r="AD114" s="72"/>
      <c r="AE114" s="72"/>
      <c r="AF114" s="72"/>
      <c r="AG114" s="72"/>
      <c r="AH114" s="73"/>
    </row>
    <row r="115" spans="1:34">
      <c r="A115" s="40">
        <v>1752</v>
      </c>
      <c r="B115" s="64">
        <v>7.4999999999999997E-2</v>
      </c>
      <c r="C115" s="65">
        <v>4.9000000000000002E-2</v>
      </c>
      <c r="D115" s="64">
        <v>4.8000000000000001E-2</v>
      </c>
      <c r="E115" s="65">
        <v>4.7E-2</v>
      </c>
      <c r="F115" s="64">
        <v>4.5999999999999999E-2</v>
      </c>
      <c r="G115" s="65">
        <v>4.4999999999999998E-2</v>
      </c>
      <c r="H115" s="64">
        <v>4.3999999999999997E-2</v>
      </c>
      <c r="I115" s="64">
        <v>4.2000000000000003E-2</v>
      </c>
      <c r="J115" s="64">
        <v>4.2000000000000003E-2</v>
      </c>
      <c r="K115" s="64">
        <v>4.1000000000000002E-2</v>
      </c>
      <c r="L115" s="64">
        <v>0.04</v>
      </c>
      <c r="M115" s="64">
        <v>3.7999999999999999E-2</v>
      </c>
      <c r="N115" s="66">
        <v>3.6999999999999998E-2</v>
      </c>
      <c r="O115" s="66">
        <v>3.5999999999999997E-2</v>
      </c>
      <c r="P115" s="67"/>
      <c r="Q115" s="74"/>
      <c r="R115" s="73">
        <v>1.4</v>
      </c>
      <c r="S115" s="74"/>
      <c r="T115" s="74"/>
      <c r="U115" s="69"/>
      <c r="V115" s="70"/>
      <c r="W115" s="64"/>
      <c r="X115" s="70"/>
      <c r="Y115" s="64"/>
      <c r="Z115" s="64"/>
      <c r="AA115" s="64"/>
      <c r="AB115" s="71"/>
      <c r="AC115" s="72"/>
      <c r="AD115" s="72"/>
      <c r="AE115" s="72"/>
      <c r="AF115" s="72"/>
      <c r="AG115" s="72"/>
      <c r="AH115" s="73"/>
    </row>
    <row r="116" spans="1:34">
      <c r="A116" s="40">
        <v>1753</v>
      </c>
      <c r="B116" s="64">
        <v>7.2999999999999995E-2</v>
      </c>
      <c r="C116" s="65">
        <v>4.8000000000000001E-2</v>
      </c>
      <c r="D116" s="64">
        <v>4.7E-2</v>
      </c>
      <c r="E116" s="65">
        <v>4.4999999999999998E-2</v>
      </c>
      <c r="F116" s="64">
        <v>4.4999999999999998E-2</v>
      </c>
      <c r="G116" s="65">
        <v>4.3999999999999997E-2</v>
      </c>
      <c r="H116" s="64">
        <v>4.2000000000000003E-2</v>
      </c>
      <c r="I116" s="64">
        <v>4.1000000000000002E-2</v>
      </c>
      <c r="J116" s="64">
        <v>4.1000000000000002E-2</v>
      </c>
      <c r="K116" s="64">
        <v>0.04</v>
      </c>
      <c r="L116" s="64">
        <v>3.9E-2</v>
      </c>
      <c r="M116" s="64">
        <v>3.6999999999999998E-2</v>
      </c>
      <c r="N116" s="66">
        <v>3.5999999999999997E-2</v>
      </c>
      <c r="O116" s="66">
        <v>3.5000000000000003E-2</v>
      </c>
      <c r="P116" s="67"/>
      <c r="Q116" s="74"/>
      <c r="R116" s="73">
        <v>-2.7</v>
      </c>
      <c r="S116" s="74"/>
      <c r="T116" s="74"/>
      <c r="U116" s="69"/>
      <c r="V116" s="70"/>
      <c r="W116" s="64"/>
      <c r="X116" s="70"/>
      <c r="Y116" s="64"/>
      <c r="Z116" s="64"/>
      <c r="AA116" s="64"/>
      <c r="AB116" s="71"/>
      <c r="AC116" s="72"/>
      <c r="AD116" s="72"/>
      <c r="AE116" s="72"/>
      <c r="AF116" s="72"/>
      <c r="AG116" s="72"/>
      <c r="AH116" s="73"/>
    </row>
    <row r="117" spans="1:34">
      <c r="A117" s="40">
        <v>1754</v>
      </c>
      <c r="B117" s="64">
        <v>7.0000000000000007E-2</v>
      </c>
      <c r="C117" s="65">
        <v>4.5999999999999999E-2</v>
      </c>
      <c r="D117" s="64">
        <v>4.4999999999999998E-2</v>
      </c>
      <c r="E117" s="65">
        <v>4.3999999999999997E-2</v>
      </c>
      <c r="F117" s="64">
        <v>4.2999999999999997E-2</v>
      </c>
      <c r="G117" s="65">
        <v>4.2000000000000003E-2</v>
      </c>
      <c r="H117" s="64">
        <v>4.1000000000000002E-2</v>
      </c>
      <c r="I117" s="64">
        <v>0.04</v>
      </c>
      <c r="J117" s="64">
        <v>3.9E-2</v>
      </c>
      <c r="K117" s="64">
        <v>3.7999999999999999E-2</v>
      </c>
      <c r="L117" s="64">
        <v>3.6999999999999998E-2</v>
      </c>
      <c r="M117" s="64">
        <v>3.5999999999999997E-2</v>
      </c>
      <c r="N117" s="66">
        <v>3.5000000000000003E-2</v>
      </c>
      <c r="O117" s="66">
        <v>3.4000000000000002E-2</v>
      </c>
      <c r="P117" s="67"/>
      <c r="Q117" s="74"/>
      <c r="R117" s="73">
        <v>-4.0999999999999996</v>
      </c>
      <c r="S117" s="74"/>
      <c r="T117" s="74"/>
      <c r="U117" s="69"/>
      <c r="V117" s="70"/>
      <c r="W117" s="64"/>
      <c r="X117" s="70"/>
      <c r="Y117" s="64"/>
      <c r="Z117" s="64"/>
      <c r="AA117" s="64"/>
      <c r="AB117" s="71"/>
      <c r="AC117" s="72"/>
      <c r="AD117" s="72"/>
      <c r="AE117" s="72"/>
      <c r="AF117" s="72"/>
      <c r="AG117" s="72"/>
      <c r="AH117" s="73"/>
    </row>
    <row r="118" spans="1:34">
      <c r="A118" s="40">
        <v>1755</v>
      </c>
      <c r="B118" s="64">
        <v>6.8000000000000005E-2</v>
      </c>
      <c r="C118" s="65">
        <v>4.4999999999999998E-2</v>
      </c>
      <c r="D118" s="64">
        <v>4.2999999999999997E-2</v>
      </c>
      <c r="E118" s="65">
        <v>4.2000000000000003E-2</v>
      </c>
      <c r="F118" s="64">
        <v>4.2000000000000003E-2</v>
      </c>
      <c r="G118" s="65">
        <v>4.1000000000000002E-2</v>
      </c>
      <c r="H118" s="64">
        <v>3.9E-2</v>
      </c>
      <c r="I118" s="64">
        <v>3.7999999999999999E-2</v>
      </c>
      <c r="J118" s="64">
        <v>3.7999999999999999E-2</v>
      </c>
      <c r="K118" s="64">
        <v>3.6999999999999998E-2</v>
      </c>
      <c r="L118" s="64">
        <v>3.5999999999999997E-2</v>
      </c>
      <c r="M118" s="64">
        <v>3.5000000000000003E-2</v>
      </c>
      <c r="N118" s="66">
        <v>3.4000000000000002E-2</v>
      </c>
      <c r="O118" s="66">
        <v>3.3000000000000002E-2</v>
      </c>
      <c r="P118" s="67"/>
      <c r="Q118" s="74"/>
      <c r="R118" s="73">
        <v>-2.9</v>
      </c>
      <c r="S118" s="74"/>
      <c r="T118" s="74"/>
      <c r="U118" s="69"/>
      <c r="V118" s="70"/>
      <c r="W118" s="64"/>
      <c r="X118" s="70"/>
      <c r="Y118" s="64"/>
      <c r="Z118" s="64"/>
      <c r="AA118" s="64"/>
      <c r="AB118" s="71"/>
      <c r="AC118" s="72"/>
      <c r="AD118" s="72"/>
      <c r="AE118" s="72"/>
      <c r="AF118" s="72"/>
      <c r="AG118" s="72"/>
      <c r="AH118" s="73"/>
    </row>
    <row r="119" spans="1:34">
      <c r="A119" s="40">
        <v>1756</v>
      </c>
      <c r="B119" s="64">
        <v>6.7000000000000004E-2</v>
      </c>
      <c r="C119" s="65">
        <v>4.3999999999999997E-2</v>
      </c>
      <c r="D119" s="64">
        <v>4.2999999999999997E-2</v>
      </c>
      <c r="E119" s="65">
        <v>4.2000000000000003E-2</v>
      </c>
      <c r="F119" s="64">
        <v>4.1000000000000002E-2</v>
      </c>
      <c r="G119" s="65">
        <v>0.04</v>
      </c>
      <c r="H119" s="64">
        <v>3.9E-2</v>
      </c>
      <c r="I119" s="64">
        <v>3.7999999999999999E-2</v>
      </c>
      <c r="J119" s="64">
        <v>3.6999999999999998E-2</v>
      </c>
      <c r="K119" s="64">
        <v>3.5999999999999997E-2</v>
      </c>
      <c r="L119" s="64">
        <v>3.5000000000000003E-2</v>
      </c>
      <c r="M119" s="64">
        <v>3.4000000000000002E-2</v>
      </c>
      <c r="N119" s="66">
        <v>3.3000000000000002E-2</v>
      </c>
      <c r="O119" s="66">
        <v>3.3000000000000002E-2</v>
      </c>
      <c r="P119" s="67"/>
      <c r="Q119" s="74"/>
      <c r="R119" s="73">
        <v>-1.5</v>
      </c>
      <c r="S119" s="74"/>
      <c r="T119" s="74"/>
      <c r="U119" s="69"/>
      <c r="V119" s="70"/>
      <c r="W119" s="64"/>
      <c r="X119" s="70"/>
      <c r="Y119" s="64"/>
      <c r="Z119" s="64"/>
      <c r="AA119" s="64"/>
      <c r="AB119" s="71"/>
      <c r="AC119" s="72"/>
      <c r="AD119" s="72"/>
      <c r="AE119" s="72"/>
      <c r="AF119" s="72"/>
      <c r="AG119" s="72"/>
      <c r="AH119" s="73"/>
    </row>
    <row r="120" spans="1:34">
      <c r="A120" s="40">
        <v>1757</v>
      </c>
      <c r="B120" s="64">
        <v>7.0000000000000007E-2</v>
      </c>
      <c r="C120" s="65">
        <v>4.5999999999999999E-2</v>
      </c>
      <c r="D120" s="64">
        <v>4.4999999999999998E-2</v>
      </c>
      <c r="E120" s="65">
        <v>4.3999999999999997E-2</v>
      </c>
      <c r="F120" s="64">
        <v>4.2999999999999997E-2</v>
      </c>
      <c r="G120" s="65">
        <v>4.2000000000000003E-2</v>
      </c>
      <c r="H120" s="64">
        <v>4.1000000000000002E-2</v>
      </c>
      <c r="I120" s="64">
        <v>0.04</v>
      </c>
      <c r="J120" s="64">
        <v>3.9E-2</v>
      </c>
      <c r="K120" s="64">
        <v>3.7999999999999999E-2</v>
      </c>
      <c r="L120" s="64">
        <v>3.6999999999999998E-2</v>
      </c>
      <c r="M120" s="64">
        <v>3.5999999999999997E-2</v>
      </c>
      <c r="N120" s="66">
        <v>3.5000000000000003E-2</v>
      </c>
      <c r="O120" s="66">
        <v>3.4000000000000002E-2</v>
      </c>
      <c r="P120" s="67"/>
      <c r="Q120" s="74"/>
      <c r="R120" s="73">
        <v>4.5</v>
      </c>
      <c r="S120" s="74"/>
      <c r="T120" s="74"/>
      <c r="U120" s="69"/>
      <c r="V120" s="70"/>
      <c r="W120" s="64"/>
      <c r="X120" s="70"/>
      <c r="Y120" s="64"/>
      <c r="Z120" s="64"/>
      <c r="AA120" s="64"/>
      <c r="AB120" s="71"/>
      <c r="AC120" s="72"/>
      <c r="AD120" s="72"/>
      <c r="AE120" s="72"/>
      <c r="AF120" s="72"/>
      <c r="AG120" s="72"/>
      <c r="AH120" s="73"/>
    </row>
    <row r="121" spans="1:34">
      <c r="A121" s="40">
        <v>1758</v>
      </c>
      <c r="B121" s="64">
        <v>7.4999999999999997E-2</v>
      </c>
      <c r="C121" s="65">
        <v>4.9000000000000002E-2</v>
      </c>
      <c r="D121" s="64">
        <v>4.8000000000000001E-2</v>
      </c>
      <c r="E121" s="65">
        <v>4.7E-2</v>
      </c>
      <c r="F121" s="64">
        <v>4.5999999999999999E-2</v>
      </c>
      <c r="G121" s="65">
        <v>4.4999999999999998E-2</v>
      </c>
      <c r="H121" s="64">
        <v>4.3999999999999997E-2</v>
      </c>
      <c r="I121" s="64">
        <v>4.2000000000000003E-2</v>
      </c>
      <c r="J121" s="64">
        <v>4.2000000000000003E-2</v>
      </c>
      <c r="K121" s="64">
        <v>4.1000000000000002E-2</v>
      </c>
      <c r="L121" s="64">
        <v>0.04</v>
      </c>
      <c r="M121" s="64">
        <v>3.7999999999999999E-2</v>
      </c>
      <c r="N121" s="66">
        <v>3.6999999999999998E-2</v>
      </c>
      <c r="O121" s="66">
        <v>3.5999999999999997E-2</v>
      </c>
      <c r="P121" s="67"/>
      <c r="Q121" s="74"/>
      <c r="R121" s="73">
        <v>7.1</v>
      </c>
      <c r="S121" s="74"/>
      <c r="T121" s="74"/>
      <c r="U121" s="69"/>
      <c r="V121" s="70"/>
      <c r="W121" s="64"/>
      <c r="X121" s="70"/>
      <c r="Y121" s="64"/>
      <c r="Z121" s="64"/>
      <c r="AA121" s="64"/>
      <c r="AB121" s="71"/>
      <c r="AC121" s="72"/>
      <c r="AD121" s="72"/>
      <c r="AE121" s="72"/>
      <c r="AF121" s="72"/>
      <c r="AG121" s="72"/>
      <c r="AH121" s="73"/>
    </row>
    <row r="122" spans="1:34">
      <c r="A122" s="40">
        <v>1759</v>
      </c>
      <c r="B122" s="64">
        <v>8.5999999999999993E-2</v>
      </c>
      <c r="C122" s="65">
        <v>5.6000000000000001E-2</v>
      </c>
      <c r="D122" s="64">
        <v>5.5E-2</v>
      </c>
      <c r="E122" s="65">
        <v>5.3999999999999999E-2</v>
      </c>
      <c r="F122" s="64">
        <v>5.2999999999999999E-2</v>
      </c>
      <c r="G122" s="65">
        <v>5.1999999999999998E-2</v>
      </c>
      <c r="H122" s="64">
        <v>0.05</v>
      </c>
      <c r="I122" s="64">
        <v>4.9000000000000002E-2</v>
      </c>
      <c r="J122" s="64">
        <v>4.8000000000000001E-2</v>
      </c>
      <c r="K122" s="64">
        <v>4.7E-2</v>
      </c>
      <c r="L122" s="64">
        <v>4.5999999999999999E-2</v>
      </c>
      <c r="M122" s="64">
        <v>4.3999999999999997E-2</v>
      </c>
      <c r="N122" s="66">
        <v>4.2999999999999997E-2</v>
      </c>
      <c r="O122" s="66">
        <v>4.2000000000000003E-2</v>
      </c>
      <c r="P122" s="67"/>
      <c r="Q122" s="74"/>
      <c r="R122" s="73">
        <v>14.7</v>
      </c>
      <c r="S122" s="74"/>
      <c r="T122" s="74"/>
      <c r="U122" s="69"/>
      <c r="V122" s="70"/>
      <c r="W122" s="64"/>
      <c r="X122" s="70"/>
      <c r="Y122" s="64"/>
      <c r="Z122" s="64"/>
      <c r="AA122" s="64"/>
      <c r="AB122" s="71"/>
      <c r="AC122" s="72"/>
      <c r="AD122" s="72"/>
      <c r="AE122" s="72"/>
      <c r="AF122" s="72"/>
      <c r="AG122" s="72"/>
      <c r="AH122" s="73"/>
    </row>
    <row r="123" spans="1:34">
      <c r="A123" s="40">
        <v>1760</v>
      </c>
      <c r="B123" s="64">
        <v>8.3000000000000004E-2</v>
      </c>
      <c r="C123" s="65">
        <v>5.3999999999999999E-2</v>
      </c>
      <c r="D123" s="64">
        <v>5.2999999999999999E-2</v>
      </c>
      <c r="E123" s="65">
        <v>5.1999999999999998E-2</v>
      </c>
      <c r="F123" s="64">
        <v>5.0999999999999997E-2</v>
      </c>
      <c r="G123" s="65">
        <v>0.05</v>
      </c>
      <c r="H123" s="64">
        <v>4.8000000000000001E-2</v>
      </c>
      <c r="I123" s="64">
        <v>4.7E-2</v>
      </c>
      <c r="J123" s="64">
        <v>4.5999999999999999E-2</v>
      </c>
      <c r="K123" s="64">
        <v>4.4999999999999998E-2</v>
      </c>
      <c r="L123" s="64">
        <v>4.3999999999999997E-2</v>
      </c>
      <c r="M123" s="64">
        <v>4.2000000000000003E-2</v>
      </c>
      <c r="N123" s="66">
        <v>4.1000000000000002E-2</v>
      </c>
      <c r="O123" s="66">
        <v>0.04</v>
      </c>
      <c r="P123" s="67"/>
      <c r="Q123" s="74"/>
      <c r="R123" s="73">
        <v>-3.5</v>
      </c>
      <c r="S123" s="74"/>
      <c r="T123" s="74"/>
      <c r="U123" s="69"/>
      <c r="V123" s="70"/>
      <c r="W123" s="64"/>
      <c r="X123" s="70"/>
      <c r="Y123" s="64"/>
      <c r="Z123" s="64"/>
      <c r="AA123" s="64"/>
      <c r="AB123" s="71"/>
      <c r="AC123" s="72"/>
      <c r="AD123" s="72"/>
      <c r="AE123" s="72"/>
      <c r="AF123" s="72"/>
      <c r="AG123" s="72"/>
      <c r="AH123" s="73"/>
    </row>
    <row r="124" spans="1:34">
      <c r="A124" s="40">
        <v>1761</v>
      </c>
      <c r="B124" s="64">
        <v>7.5999999999999998E-2</v>
      </c>
      <c r="C124" s="65">
        <v>0.05</v>
      </c>
      <c r="D124" s="64">
        <v>4.8000000000000001E-2</v>
      </c>
      <c r="E124" s="65">
        <v>4.7E-2</v>
      </c>
      <c r="F124" s="64">
        <v>4.7E-2</v>
      </c>
      <c r="G124" s="65">
        <v>4.5999999999999999E-2</v>
      </c>
      <c r="H124" s="64">
        <v>4.3999999999999997E-2</v>
      </c>
      <c r="I124" s="64">
        <v>4.2999999999999997E-2</v>
      </c>
      <c r="J124" s="64">
        <v>4.2000000000000003E-2</v>
      </c>
      <c r="K124" s="64">
        <v>4.1000000000000002E-2</v>
      </c>
      <c r="L124" s="64">
        <v>0.04</v>
      </c>
      <c r="M124" s="64">
        <v>3.9E-2</v>
      </c>
      <c r="N124" s="66">
        <v>3.7999999999999999E-2</v>
      </c>
      <c r="O124" s="66">
        <v>3.6999999999999998E-2</v>
      </c>
      <c r="P124" s="67"/>
      <c r="Q124" s="74"/>
      <c r="R124" s="73">
        <v>-8.4</v>
      </c>
      <c r="S124" s="74"/>
      <c r="T124" s="74"/>
      <c r="U124" s="69"/>
      <c r="V124" s="70"/>
      <c r="W124" s="64"/>
      <c r="X124" s="70"/>
      <c r="Y124" s="64"/>
      <c r="Z124" s="64"/>
      <c r="AA124" s="64"/>
      <c r="AB124" s="71"/>
      <c r="AC124" s="72"/>
      <c r="AD124" s="72"/>
      <c r="AE124" s="72"/>
      <c r="AF124" s="72"/>
      <c r="AG124" s="72"/>
      <c r="AH124" s="73"/>
    </row>
    <row r="125" spans="1:34">
      <c r="A125" s="40">
        <v>1762</v>
      </c>
      <c r="B125" s="64">
        <v>8.2000000000000003E-2</v>
      </c>
      <c r="C125" s="65">
        <v>5.3999999999999999E-2</v>
      </c>
      <c r="D125" s="64">
        <v>5.1999999999999998E-2</v>
      </c>
      <c r="E125" s="65">
        <v>5.0999999999999997E-2</v>
      </c>
      <c r="F125" s="64">
        <v>0.05</v>
      </c>
      <c r="G125" s="65">
        <v>4.9000000000000002E-2</v>
      </c>
      <c r="H125" s="64">
        <v>4.8000000000000001E-2</v>
      </c>
      <c r="I125" s="64">
        <v>4.5999999999999999E-2</v>
      </c>
      <c r="J125" s="64">
        <v>4.5999999999999999E-2</v>
      </c>
      <c r="K125" s="64">
        <v>4.4999999999999998E-2</v>
      </c>
      <c r="L125" s="64">
        <v>4.2999999999999997E-2</v>
      </c>
      <c r="M125" s="64">
        <v>4.2000000000000003E-2</v>
      </c>
      <c r="N125" s="66">
        <v>4.1000000000000002E-2</v>
      </c>
      <c r="O125" s="66">
        <v>0.04</v>
      </c>
      <c r="P125" s="67"/>
      <c r="Q125" s="74"/>
      <c r="R125" s="73">
        <v>7.9</v>
      </c>
      <c r="S125" s="74"/>
      <c r="T125" s="74"/>
      <c r="U125" s="69"/>
      <c r="V125" s="70"/>
      <c r="W125" s="64"/>
      <c r="X125" s="70"/>
      <c r="Y125" s="64"/>
      <c r="Z125" s="64"/>
      <c r="AA125" s="64"/>
      <c r="AB125" s="71"/>
      <c r="AC125" s="72"/>
      <c r="AD125" s="72"/>
      <c r="AE125" s="72"/>
      <c r="AF125" s="72"/>
      <c r="AG125" s="72"/>
      <c r="AH125" s="73"/>
    </row>
    <row r="126" spans="1:34">
      <c r="A126" s="40">
        <v>1763</v>
      </c>
      <c r="B126" s="64">
        <v>8.2000000000000003E-2</v>
      </c>
      <c r="C126" s="65">
        <v>5.3999999999999999E-2</v>
      </c>
      <c r="D126" s="64">
        <v>5.1999999999999998E-2</v>
      </c>
      <c r="E126" s="65">
        <v>5.0999999999999997E-2</v>
      </c>
      <c r="F126" s="64">
        <v>0.05</v>
      </c>
      <c r="G126" s="65">
        <v>4.9000000000000002E-2</v>
      </c>
      <c r="H126" s="64">
        <v>4.8000000000000001E-2</v>
      </c>
      <c r="I126" s="64">
        <v>4.5999999999999999E-2</v>
      </c>
      <c r="J126" s="64">
        <v>4.5999999999999999E-2</v>
      </c>
      <c r="K126" s="64">
        <v>4.4999999999999998E-2</v>
      </c>
      <c r="L126" s="64">
        <v>4.2999999999999997E-2</v>
      </c>
      <c r="M126" s="64">
        <v>4.2000000000000003E-2</v>
      </c>
      <c r="N126" s="66">
        <v>4.1000000000000002E-2</v>
      </c>
      <c r="O126" s="66">
        <v>0.04</v>
      </c>
      <c r="P126" s="67"/>
      <c r="Q126" s="74"/>
      <c r="R126" s="73">
        <v>0</v>
      </c>
      <c r="S126" s="74"/>
      <c r="T126" s="74"/>
      <c r="U126" s="69"/>
      <c r="V126" s="70"/>
      <c r="W126" s="64"/>
      <c r="X126" s="70"/>
      <c r="Y126" s="64"/>
      <c r="Z126" s="64"/>
      <c r="AA126" s="64"/>
      <c r="AB126" s="71"/>
      <c r="AC126" s="72"/>
      <c r="AD126" s="72"/>
      <c r="AE126" s="72"/>
      <c r="AF126" s="72"/>
      <c r="AG126" s="72"/>
      <c r="AH126" s="73"/>
    </row>
    <row r="127" spans="1:34">
      <c r="A127" s="40">
        <v>1764</v>
      </c>
      <c r="B127" s="64">
        <v>7.5999999999999998E-2</v>
      </c>
      <c r="C127" s="65">
        <v>0.05</v>
      </c>
      <c r="D127" s="64">
        <v>4.8000000000000001E-2</v>
      </c>
      <c r="E127" s="65">
        <v>4.7E-2</v>
      </c>
      <c r="F127" s="64">
        <v>4.7E-2</v>
      </c>
      <c r="G127" s="65">
        <v>4.5999999999999999E-2</v>
      </c>
      <c r="H127" s="64">
        <v>4.3999999999999997E-2</v>
      </c>
      <c r="I127" s="64">
        <v>4.2999999999999997E-2</v>
      </c>
      <c r="J127" s="64">
        <v>4.2000000000000003E-2</v>
      </c>
      <c r="K127" s="64">
        <v>4.1000000000000002E-2</v>
      </c>
      <c r="L127" s="64">
        <v>0.04</v>
      </c>
      <c r="M127" s="64">
        <v>3.9E-2</v>
      </c>
      <c r="N127" s="66">
        <v>3.7999999999999999E-2</v>
      </c>
      <c r="O127" s="66">
        <v>3.6999999999999998E-2</v>
      </c>
      <c r="P127" s="67"/>
      <c r="Q127" s="74"/>
      <c r="R127" s="73">
        <v>-7.3</v>
      </c>
      <c r="S127" s="74"/>
      <c r="T127" s="74"/>
      <c r="U127" s="69"/>
      <c r="V127" s="70"/>
      <c r="W127" s="64"/>
      <c r="X127" s="70"/>
      <c r="Y127" s="64"/>
      <c r="Z127" s="64"/>
      <c r="AA127" s="64"/>
      <c r="AB127" s="71"/>
      <c r="AC127" s="72"/>
      <c r="AD127" s="72"/>
      <c r="AE127" s="72"/>
      <c r="AF127" s="72"/>
      <c r="AG127" s="72"/>
      <c r="AH127" s="73"/>
    </row>
    <row r="128" spans="1:34">
      <c r="A128" s="40">
        <v>1765</v>
      </c>
      <c r="B128" s="64">
        <v>7.6999999999999999E-2</v>
      </c>
      <c r="C128" s="65">
        <v>5.0999999999999997E-2</v>
      </c>
      <c r="D128" s="64">
        <v>4.9000000000000002E-2</v>
      </c>
      <c r="E128" s="65">
        <v>4.8000000000000001E-2</v>
      </c>
      <c r="F128" s="64">
        <v>4.7E-2</v>
      </c>
      <c r="G128" s="65">
        <v>4.5999999999999999E-2</v>
      </c>
      <c r="H128" s="64">
        <v>4.4999999999999998E-2</v>
      </c>
      <c r="I128" s="64">
        <v>4.2999999999999997E-2</v>
      </c>
      <c r="J128" s="64">
        <v>4.2999999999999997E-2</v>
      </c>
      <c r="K128" s="64">
        <v>4.2000000000000003E-2</v>
      </c>
      <c r="L128" s="64">
        <v>4.1000000000000002E-2</v>
      </c>
      <c r="M128" s="64">
        <v>3.9E-2</v>
      </c>
      <c r="N128" s="66">
        <v>3.7999999999999999E-2</v>
      </c>
      <c r="O128" s="66">
        <v>3.6999999999999998E-2</v>
      </c>
      <c r="P128" s="67"/>
      <c r="Q128" s="74"/>
      <c r="R128" s="73">
        <v>1.3</v>
      </c>
      <c r="S128" s="74"/>
      <c r="T128" s="74"/>
      <c r="U128" s="69"/>
      <c r="V128" s="70"/>
      <c r="W128" s="64"/>
      <c r="X128" s="70"/>
      <c r="Y128" s="64"/>
      <c r="Z128" s="64"/>
      <c r="AA128" s="64"/>
      <c r="AB128" s="71"/>
      <c r="AC128" s="72"/>
      <c r="AD128" s="72"/>
      <c r="AE128" s="72"/>
      <c r="AF128" s="72"/>
      <c r="AG128" s="72"/>
      <c r="AH128" s="73"/>
    </row>
    <row r="129" spans="1:34">
      <c r="A129" s="40">
        <v>1766</v>
      </c>
      <c r="B129" s="64">
        <v>8.4000000000000005E-2</v>
      </c>
      <c r="C129" s="65">
        <v>5.5E-2</v>
      </c>
      <c r="D129" s="64">
        <v>5.3999999999999999E-2</v>
      </c>
      <c r="E129" s="65">
        <v>5.1999999999999998E-2</v>
      </c>
      <c r="F129" s="64">
        <v>5.1999999999999998E-2</v>
      </c>
      <c r="G129" s="65">
        <v>0.05</v>
      </c>
      <c r="H129" s="64">
        <v>4.9000000000000002E-2</v>
      </c>
      <c r="I129" s="64">
        <v>4.7E-2</v>
      </c>
      <c r="J129" s="64">
        <v>4.7E-2</v>
      </c>
      <c r="K129" s="64">
        <v>4.5999999999999999E-2</v>
      </c>
      <c r="L129" s="64">
        <v>4.3999999999999997E-2</v>
      </c>
      <c r="M129" s="64">
        <v>4.2999999999999997E-2</v>
      </c>
      <c r="N129" s="66">
        <v>4.2000000000000003E-2</v>
      </c>
      <c r="O129" s="66">
        <v>4.1000000000000002E-2</v>
      </c>
      <c r="P129" s="67"/>
      <c r="Q129" s="74"/>
      <c r="R129" s="73">
        <v>9.1</v>
      </c>
      <c r="S129" s="74"/>
      <c r="T129" s="74"/>
      <c r="U129" s="69"/>
      <c r="V129" s="70"/>
      <c r="W129" s="64"/>
      <c r="X129" s="70"/>
      <c r="Y129" s="64"/>
      <c r="Z129" s="64"/>
      <c r="AA129" s="64"/>
      <c r="AB129" s="71"/>
      <c r="AC129" s="72"/>
      <c r="AD129" s="72"/>
      <c r="AE129" s="72"/>
      <c r="AF129" s="72"/>
      <c r="AG129" s="72"/>
      <c r="AH129" s="73"/>
    </row>
    <row r="130" spans="1:34">
      <c r="A130" s="40">
        <v>1767</v>
      </c>
      <c r="B130" s="64">
        <v>8.2000000000000003E-2</v>
      </c>
      <c r="C130" s="65">
        <v>5.3999999999999999E-2</v>
      </c>
      <c r="D130" s="64">
        <v>5.1999999999999998E-2</v>
      </c>
      <c r="E130" s="65">
        <v>5.0999999999999997E-2</v>
      </c>
      <c r="F130" s="64">
        <v>0.05</v>
      </c>
      <c r="G130" s="65">
        <v>4.9000000000000002E-2</v>
      </c>
      <c r="H130" s="64">
        <v>4.8000000000000001E-2</v>
      </c>
      <c r="I130" s="64">
        <v>4.5999999999999999E-2</v>
      </c>
      <c r="J130" s="64">
        <v>4.5999999999999999E-2</v>
      </c>
      <c r="K130" s="64">
        <v>4.4999999999999998E-2</v>
      </c>
      <c r="L130" s="64">
        <v>4.2999999999999997E-2</v>
      </c>
      <c r="M130" s="64">
        <v>4.2000000000000003E-2</v>
      </c>
      <c r="N130" s="66">
        <v>4.1000000000000002E-2</v>
      </c>
      <c r="O130" s="66">
        <v>0.04</v>
      </c>
      <c r="P130" s="67"/>
      <c r="Q130" s="74"/>
      <c r="R130" s="73">
        <v>-2.4</v>
      </c>
      <c r="S130" s="74"/>
      <c r="T130" s="74"/>
      <c r="U130" s="69"/>
      <c r="V130" s="70"/>
      <c r="W130" s="64"/>
      <c r="X130" s="70"/>
      <c r="Y130" s="64"/>
      <c r="Z130" s="64"/>
      <c r="AA130" s="64"/>
      <c r="AB130" s="71"/>
      <c r="AC130" s="72"/>
      <c r="AD130" s="72"/>
      <c r="AE130" s="72"/>
      <c r="AF130" s="72"/>
      <c r="AG130" s="72"/>
      <c r="AH130" s="73"/>
    </row>
    <row r="131" spans="1:34">
      <c r="A131" s="40">
        <v>1768</v>
      </c>
      <c r="B131" s="64">
        <v>7.8E-2</v>
      </c>
      <c r="C131" s="65">
        <v>5.0999999999999997E-2</v>
      </c>
      <c r="D131" s="64">
        <v>0.05</v>
      </c>
      <c r="E131" s="65">
        <v>4.9000000000000002E-2</v>
      </c>
      <c r="F131" s="64">
        <v>4.8000000000000001E-2</v>
      </c>
      <c r="G131" s="65">
        <v>4.7E-2</v>
      </c>
      <c r="H131" s="64">
        <v>4.4999999999999998E-2</v>
      </c>
      <c r="I131" s="64">
        <v>4.3999999999999997E-2</v>
      </c>
      <c r="J131" s="64">
        <v>4.2999999999999997E-2</v>
      </c>
      <c r="K131" s="64">
        <v>4.2000000000000003E-2</v>
      </c>
      <c r="L131" s="64">
        <v>4.1000000000000002E-2</v>
      </c>
      <c r="M131" s="64">
        <v>0.04</v>
      </c>
      <c r="N131" s="66">
        <v>3.9E-2</v>
      </c>
      <c r="O131" s="66">
        <v>3.7999999999999999E-2</v>
      </c>
      <c r="P131" s="67"/>
      <c r="Q131" s="74"/>
      <c r="R131" s="73">
        <v>-4.9000000000000004</v>
      </c>
      <c r="S131" s="74"/>
      <c r="T131" s="74"/>
      <c r="U131" s="69"/>
      <c r="V131" s="70"/>
      <c r="W131" s="64"/>
      <c r="X131" s="70"/>
      <c r="Y131" s="64"/>
      <c r="Z131" s="64"/>
      <c r="AA131" s="64"/>
      <c r="AB131" s="71"/>
      <c r="AC131" s="72"/>
      <c r="AD131" s="72"/>
      <c r="AE131" s="72"/>
      <c r="AF131" s="72"/>
      <c r="AG131" s="72"/>
      <c r="AH131" s="73"/>
    </row>
    <row r="132" spans="1:34">
      <c r="A132" s="40">
        <v>1769</v>
      </c>
      <c r="B132" s="64">
        <v>8.1000000000000003E-2</v>
      </c>
      <c r="C132" s="65">
        <v>5.2999999999999999E-2</v>
      </c>
      <c r="D132" s="64">
        <v>5.1999999999999998E-2</v>
      </c>
      <c r="E132" s="65">
        <v>0.05</v>
      </c>
      <c r="F132" s="64">
        <v>0.05</v>
      </c>
      <c r="G132" s="65">
        <v>4.9000000000000002E-2</v>
      </c>
      <c r="H132" s="64">
        <v>4.7E-2</v>
      </c>
      <c r="I132" s="64">
        <v>4.5999999999999999E-2</v>
      </c>
      <c r="J132" s="64">
        <v>4.4999999999999998E-2</v>
      </c>
      <c r="K132" s="64">
        <v>4.3999999999999997E-2</v>
      </c>
      <c r="L132" s="64">
        <v>4.2999999999999997E-2</v>
      </c>
      <c r="M132" s="64">
        <v>4.1000000000000002E-2</v>
      </c>
      <c r="N132" s="66">
        <v>0.04</v>
      </c>
      <c r="O132" s="66">
        <v>3.9E-2</v>
      </c>
      <c r="P132" s="67"/>
      <c r="Q132" s="74"/>
      <c r="R132" s="73">
        <v>3.8</v>
      </c>
      <c r="S132" s="74"/>
      <c r="T132" s="74"/>
      <c r="U132" s="69"/>
      <c r="V132" s="70"/>
      <c r="W132" s="64"/>
      <c r="X132" s="70"/>
      <c r="Y132" s="64"/>
      <c r="Z132" s="64"/>
      <c r="AA132" s="64"/>
      <c r="AB132" s="71"/>
      <c r="AC132" s="72"/>
      <c r="AD132" s="72"/>
      <c r="AE132" s="72"/>
      <c r="AF132" s="72"/>
      <c r="AG132" s="72"/>
      <c r="AH132" s="73"/>
    </row>
    <row r="133" spans="1:34">
      <c r="A133" s="40">
        <v>1770</v>
      </c>
      <c r="B133" s="64">
        <v>8.6999999999999994E-2</v>
      </c>
      <c r="C133" s="65">
        <v>5.7000000000000002E-2</v>
      </c>
      <c r="D133" s="64">
        <v>5.5E-2</v>
      </c>
      <c r="E133" s="65">
        <v>5.3999999999999999E-2</v>
      </c>
      <c r="F133" s="64">
        <v>5.2999999999999999E-2</v>
      </c>
      <c r="G133" s="65">
        <v>5.1999999999999998E-2</v>
      </c>
      <c r="H133" s="64">
        <v>5.0999999999999997E-2</v>
      </c>
      <c r="I133" s="64">
        <v>4.9000000000000002E-2</v>
      </c>
      <c r="J133" s="64">
        <v>4.8000000000000001E-2</v>
      </c>
      <c r="K133" s="64">
        <v>4.7E-2</v>
      </c>
      <c r="L133" s="64">
        <v>4.5999999999999999E-2</v>
      </c>
      <c r="M133" s="64">
        <v>4.4999999999999998E-2</v>
      </c>
      <c r="N133" s="66">
        <v>4.2999999999999997E-2</v>
      </c>
      <c r="O133" s="66">
        <v>4.2000000000000003E-2</v>
      </c>
      <c r="P133" s="67"/>
      <c r="Q133" s="74"/>
      <c r="R133" s="73">
        <v>7.4</v>
      </c>
      <c r="S133" s="74"/>
      <c r="T133" s="74"/>
      <c r="U133" s="69"/>
      <c r="V133" s="70"/>
      <c r="W133" s="64"/>
      <c r="X133" s="70"/>
      <c r="Y133" s="64"/>
      <c r="Z133" s="64"/>
      <c r="AA133" s="64"/>
      <c r="AB133" s="71"/>
      <c r="AC133" s="72"/>
      <c r="AD133" s="72"/>
      <c r="AE133" s="72"/>
      <c r="AF133" s="72"/>
      <c r="AG133" s="72"/>
      <c r="AH133" s="73"/>
    </row>
    <row r="134" spans="1:34">
      <c r="A134" s="40">
        <v>1771</v>
      </c>
      <c r="B134" s="64">
        <v>8.3000000000000004E-2</v>
      </c>
      <c r="C134" s="65">
        <v>5.3999999999999999E-2</v>
      </c>
      <c r="D134" s="64">
        <v>5.2999999999999999E-2</v>
      </c>
      <c r="E134" s="65">
        <v>5.1999999999999998E-2</v>
      </c>
      <c r="F134" s="64">
        <v>5.0999999999999997E-2</v>
      </c>
      <c r="G134" s="65">
        <v>0.05</v>
      </c>
      <c r="H134" s="64">
        <v>4.8000000000000001E-2</v>
      </c>
      <c r="I134" s="64">
        <v>4.7E-2</v>
      </c>
      <c r="J134" s="64">
        <v>4.5999999999999999E-2</v>
      </c>
      <c r="K134" s="64">
        <v>4.4999999999999998E-2</v>
      </c>
      <c r="L134" s="64">
        <v>4.3999999999999997E-2</v>
      </c>
      <c r="M134" s="64">
        <v>4.2000000000000003E-2</v>
      </c>
      <c r="N134" s="66">
        <v>4.1000000000000002E-2</v>
      </c>
      <c r="O134" s="66">
        <v>0.04</v>
      </c>
      <c r="P134" s="67"/>
      <c r="Q134" s="74"/>
      <c r="R134" s="73">
        <v>-4.5999999999999996</v>
      </c>
      <c r="S134" s="74"/>
      <c r="T134" s="74"/>
      <c r="U134" s="69"/>
      <c r="V134" s="70"/>
      <c r="W134" s="64"/>
      <c r="X134" s="70"/>
      <c r="Y134" s="64"/>
      <c r="Z134" s="64"/>
      <c r="AA134" s="64"/>
      <c r="AB134" s="71"/>
      <c r="AC134" s="72"/>
      <c r="AD134" s="72"/>
      <c r="AE134" s="72"/>
      <c r="AF134" s="72"/>
      <c r="AG134" s="72"/>
      <c r="AH134" s="73"/>
    </row>
    <row r="135" spans="1:34">
      <c r="A135" s="40">
        <v>1772</v>
      </c>
      <c r="B135" s="64">
        <v>9.5000000000000001E-2</v>
      </c>
      <c r="C135" s="65">
        <v>6.2E-2</v>
      </c>
      <c r="D135" s="64">
        <v>6.0999999999999999E-2</v>
      </c>
      <c r="E135" s="65">
        <v>5.8999999999999997E-2</v>
      </c>
      <c r="F135" s="64">
        <v>5.8000000000000003E-2</v>
      </c>
      <c r="G135" s="65">
        <v>5.7000000000000002E-2</v>
      </c>
      <c r="H135" s="64">
        <v>5.5E-2</v>
      </c>
      <c r="I135" s="64">
        <v>5.3999999999999999E-2</v>
      </c>
      <c r="J135" s="64">
        <v>5.2999999999999999E-2</v>
      </c>
      <c r="K135" s="64">
        <v>5.1999999999999998E-2</v>
      </c>
      <c r="L135" s="64">
        <v>0.05</v>
      </c>
      <c r="M135" s="64">
        <v>4.9000000000000002E-2</v>
      </c>
      <c r="N135" s="66">
        <v>4.7E-2</v>
      </c>
      <c r="O135" s="66">
        <v>4.5999999999999999E-2</v>
      </c>
      <c r="P135" s="67"/>
      <c r="Q135" s="74"/>
      <c r="R135" s="73">
        <v>14.5</v>
      </c>
      <c r="S135" s="74"/>
      <c r="T135" s="74"/>
      <c r="U135" s="69"/>
      <c r="V135" s="70"/>
      <c r="W135" s="64"/>
      <c r="X135" s="70"/>
      <c r="Y135" s="64"/>
      <c r="Z135" s="64"/>
      <c r="AA135" s="64"/>
      <c r="AB135" s="71"/>
      <c r="AC135" s="72"/>
      <c r="AD135" s="72"/>
      <c r="AE135" s="72"/>
      <c r="AF135" s="72"/>
      <c r="AG135" s="72"/>
      <c r="AH135" s="73"/>
    </row>
    <row r="136" spans="1:34">
      <c r="A136" s="40">
        <v>1773</v>
      </c>
      <c r="B136" s="64">
        <v>8.7999999999999995E-2</v>
      </c>
      <c r="C136" s="65">
        <v>5.8000000000000003E-2</v>
      </c>
      <c r="D136" s="64">
        <v>5.6000000000000001E-2</v>
      </c>
      <c r="E136" s="65">
        <v>5.5E-2</v>
      </c>
      <c r="F136" s="64">
        <v>5.3999999999999999E-2</v>
      </c>
      <c r="G136" s="65">
        <v>5.2999999999999999E-2</v>
      </c>
      <c r="H136" s="64">
        <v>5.0999999999999997E-2</v>
      </c>
      <c r="I136" s="64">
        <v>0.05</v>
      </c>
      <c r="J136" s="64">
        <v>4.9000000000000002E-2</v>
      </c>
      <c r="K136" s="64">
        <v>4.8000000000000001E-2</v>
      </c>
      <c r="L136" s="64">
        <v>4.7E-2</v>
      </c>
      <c r="M136" s="64">
        <v>4.4999999999999998E-2</v>
      </c>
      <c r="N136" s="66">
        <v>4.3999999999999997E-2</v>
      </c>
      <c r="O136" s="66">
        <v>4.2999999999999997E-2</v>
      </c>
      <c r="P136" s="67"/>
      <c r="Q136" s="74"/>
      <c r="R136" s="73">
        <v>-7.4</v>
      </c>
      <c r="S136" s="74"/>
      <c r="T136" s="74"/>
      <c r="U136" s="69"/>
      <c r="V136" s="70"/>
      <c r="W136" s="64"/>
      <c r="X136" s="70"/>
      <c r="Y136" s="64"/>
      <c r="Z136" s="64"/>
      <c r="AA136" s="64"/>
      <c r="AB136" s="71"/>
      <c r="AC136" s="72"/>
      <c r="AD136" s="72"/>
      <c r="AE136" s="72"/>
      <c r="AF136" s="72"/>
      <c r="AG136" s="72"/>
      <c r="AH136" s="73"/>
    </row>
    <row r="137" spans="1:34">
      <c r="A137" s="40">
        <v>1774</v>
      </c>
      <c r="B137" s="64">
        <v>8.4000000000000005E-2</v>
      </c>
      <c r="C137" s="65">
        <v>5.5E-2</v>
      </c>
      <c r="D137" s="64">
        <v>5.3999999999999999E-2</v>
      </c>
      <c r="E137" s="65">
        <v>5.1999999999999998E-2</v>
      </c>
      <c r="F137" s="64">
        <v>5.1999999999999998E-2</v>
      </c>
      <c r="G137" s="65">
        <v>0.05</v>
      </c>
      <c r="H137" s="64">
        <v>4.9000000000000002E-2</v>
      </c>
      <c r="I137" s="64">
        <v>4.7E-2</v>
      </c>
      <c r="J137" s="64">
        <v>4.7E-2</v>
      </c>
      <c r="K137" s="64">
        <v>4.5999999999999999E-2</v>
      </c>
      <c r="L137" s="64">
        <v>4.3999999999999997E-2</v>
      </c>
      <c r="M137" s="64">
        <v>4.2999999999999997E-2</v>
      </c>
      <c r="N137" s="66">
        <v>4.2000000000000003E-2</v>
      </c>
      <c r="O137" s="66">
        <v>4.1000000000000002E-2</v>
      </c>
      <c r="P137" s="67"/>
      <c r="Q137" s="74"/>
      <c r="R137" s="73">
        <v>-4.5</v>
      </c>
      <c r="S137" s="74"/>
      <c r="T137" s="74"/>
      <c r="U137" s="69"/>
      <c r="V137" s="70"/>
      <c r="W137" s="64"/>
      <c r="X137" s="70"/>
      <c r="Y137" s="64"/>
      <c r="Z137" s="64"/>
      <c r="AA137" s="64"/>
      <c r="AB137" s="71"/>
      <c r="AC137" s="72"/>
      <c r="AD137" s="72"/>
      <c r="AE137" s="72"/>
      <c r="AF137" s="72"/>
      <c r="AG137" s="72"/>
      <c r="AH137" s="73"/>
    </row>
    <row r="138" spans="1:34">
      <c r="A138" s="40">
        <v>1775</v>
      </c>
      <c r="B138" s="64">
        <v>0.08</v>
      </c>
      <c r="C138" s="65">
        <v>5.1999999999999998E-2</v>
      </c>
      <c r="D138" s="64">
        <v>5.0999999999999997E-2</v>
      </c>
      <c r="E138" s="65">
        <v>0.05</v>
      </c>
      <c r="F138" s="64">
        <v>4.9000000000000002E-2</v>
      </c>
      <c r="G138" s="65">
        <v>4.8000000000000001E-2</v>
      </c>
      <c r="H138" s="64">
        <v>4.5999999999999999E-2</v>
      </c>
      <c r="I138" s="64">
        <v>4.4999999999999998E-2</v>
      </c>
      <c r="J138" s="64">
        <v>4.3999999999999997E-2</v>
      </c>
      <c r="K138" s="64">
        <v>4.2999999999999997E-2</v>
      </c>
      <c r="L138" s="64">
        <v>4.2000000000000003E-2</v>
      </c>
      <c r="M138" s="64">
        <v>4.1000000000000002E-2</v>
      </c>
      <c r="N138" s="66">
        <v>0.04</v>
      </c>
      <c r="O138" s="66">
        <v>3.9E-2</v>
      </c>
      <c r="P138" s="67"/>
      <c r="Q138" s="74"/>
      <c r="R138" s="73">
        <v>-4.8</v>
      </c>
      <c r="S138" s="74"/>
      <c r="T138" s="74"/>
      <c r="U138" s="69"/>
      <c r="V138" s="70"/>
      <c r="W138" s="64"/>
      <c r="X138" s="70"/>
      <c r="Y138" s="64"/>
      <c r="Z138" s="64"/>
      <c r="AA138" s="64"/>
      <c r="AB138" s="71"/>
      <c r="AC138" s="72"/>
      <c r="AD138" s="72"/>
      <c r="AE138" s="72"/>
      <c r="AF138" s="72"/>
      <c r="AG138" s="72"/>
      <c r="AH138" s="73"/>
    </row>
    <row r="139" spans="1:34">
      <c r="A139" s="40">
        <v>1776</v>
      </c>
      <c r="B139" s="64">
        <v>9.0999999999999998E-2</v>
      </c>
      <c r="C139" s="65">
        <v>0.06</v>
      </c>
      <c r="D139" s="64">
        <v>5.8000000000000003E-2</v>
      </c>
      <c r="E139" s="65">
        <v>5.7000000000000002E-2</v>
      </c>
      <c r="F139" s="64">
        <v>5.6000000000000001E-2</v>
      </c>
      <c r="G139" s="65">
        <v>5.5E-2</v>
      </c>
      <c r="H139" s="64">
        <v>5.2999999999999999E-2</v>
      </c>
      <c r="I139" s="64">
        <v>5.0999999999999997E-2</v>
      </c>
      <c r="J139" s="64">
        <v>5.0999999999999997E-2</v>
      </c>
      <c r="K139" s="64">
        <v>4.9000000000000002E-2</v>
      </c>
      <c r="L139" s="64">
        <v>4.8000000000000001E-2</v>
      </c>
      <c r="M139" s="64">
        <v>4.7E-2</v>
      </c>
      <c r="N139" s="66">
        <v>4.4999999999999998E-2</v>
      </c>
      <c r="O139" s="66">
        <v>4.3999999999999997E-2</v>
      </c>
      <c r="P139" s="67"/>
      <c r="Q139" s="74"/>
      <c r="R139" s="73">
        <v>13.8</v>
      </c>
      <c r="S139" s="74"/>
      <c r="T139" s="74"/>
      <c r="U139" s="69"/>
      <c r="V139" s="70"/>
      <c r="W139" s="64"/>
      <c r="X139" s="70"/>
      <c r="Y139" s="64"/>
      <c r="Z139" s="64"/>
      <c r="AA139" s="64"/>
      <c r="AB139" s="71"/>
      <c r="AC139" s="72"/>
      <c r="AD139" s="72"/>
      <c r="AE139" s="72"/>
      <c r="AF139" s="72"/>
      <c r="AG139" s="72"/>
      <c r="AH139" s="73"/>
    </row>
    <row r="140" spans="1:34">
      <c r="A140" s="40">
        <v>1777</v>
      </c>
      <c r="B140" s="64">
        <v>0.111</v>
      </c>
      <c r="C140" s="65">
        <v>7.2999999999999995E-2</v>
      </c>
      <c r="D140" s="64">
        <v>7.0999999999999994E-2</v>
      </c>
      <c r="E140" s="65">
        <v>6.9000000000000006E-2</v>
      </c>
      <c r="F140" s="64">
        <v>6.8000000000000005E-2</v>
      </c>
      <c r="G140" s="65">
        <v>6.7000000000000004E-2</v>
      </c>
      <c r="H140" s="64">
        <v>6.4000000000000001E-2</v>
      </c>
      <c r="I140" s="64">
        <v>6.3E-2</v>
      </c>
      <c r="J140" s="64">
        <v>6.2E-2</v>
      </c>
      <c r="K140" s="64">
        <v>0.06</v>
      </c>
      <c r="L140" s="64">
        <v>5.8999999999999997E-2</v>
      </c>
      <c r="M140" s="64">
        <v>5.7000000000000002E-2</v>
      </c>
      <c r="N140" s="66">
        <v>5.5E-2</v>
      </c>
      <c r="O140" s="66">
        <v>5.3999999999999999E-2</v>
      </c>
      <c r="P140" s="67"/>
      <c r="Q140" s="74"/>
      <c r="R140" s="73">
        <v>22</v>
      </c>
      <c r="S140" s="74"/>
      <c r="T140" s="74"/>
      <c r="U140" s="69"/>
      <c r="V140" s="70"/>
      <c r="W140" s="64"/>
      <c r="X140" s="70"/>
      <c r="Y140" s="64"/>
      <c r="Z140" s="64"/>
      <c r="AA140" s="64"/>
      <c r="AB140" s="71"/>
      <c r="AC140" s="72"/>
      <c r="AD140" s="72"/>
      <c r="AE140" s="72"/>
      <c r="AF140" s="72"/>
      <c r="AG140" s="72"/>
      <c r="AH140" s="73"/>
    </row>
    <row r="141" spans="1:34">
      <c r="A141" s="40">
        <v>1778</v>
      </c>
      <c r="B141" s="64">
        <v>0.14399999999999999</v>
      </c>
      <c r="C141" s="65">
        <v>9.4E-2</v>
      </c>
      <c r="D141" s="64">
        <v>9.1999999999999998E-2</v>
      </c>
      <c r="E141" s="65">
        <v>0.09</v>
      </c>
      <c r="F141" s="64">
        <v>8.7999999999999995E-2</v>
      </c>
      <c r="G141" s="65">
        <v>8.5999999999999993E-2</v>
      </c>
      <c r="H141" s="64">
        <v>8.4000000000000005E-2</v>
      </c>
      <c r="I141" s="64">
        <v>8.1000000000000003E-2</v>
      </c>
      <c r="J141" s="64">
        <v>0.08</v>
      </c>
      <c r="K141" s="64">
        <v>7.8E-2</v>
      </c>
      <c r="L141" s="64">
        <v>7.5999999999999998E-2</v>
      </c>
      <c r="M141" s="64">
        <v>7.3999999999999996E-2</v>
      </c>
      <c r="N141" s="66">
        <v>7.0999999999999994E-2</v>
      </c>
      <c r="O141" s="66">
        <v>7.0000000000000007E-2</v>
      </c>
      <c r="P141" s="67"/>
      <c r="Q141" s="74"/>
      <c r="R141" s="73">
        <v>29.7</v>
      </c>
      <c r="S141" s="74"/>
      <c r="T141" s="74"/>
      <c r="U141" s="69"/>
      <c r="V141" s="70"/>
      <c r="W141" s="64"/>
      <c r="X141" s="70"/>
      <c r="Y141" s="64"/>
      <c r="Z141" s="64"/>
      <c r="AA141" s="64"/>
      <c r="AB141" s="71"/>
      <c r="AC141" s="72"/>
      <c r="AD141" s="72"/>
      <c r="AE141" s="72"/>
      <c r="AF141" s="72"/>
      <c r="AG141" s="72"/>
      <c r="AH141" s="73"/>
    </row>
    <row r="142" spans="1:34">
      <c r="A142" s="40">
        <v>1779</v>
      </c>
      <c r="B142" s="64">
        <v>0.127</v>
      </c>
      <c r="C142" s="65">
        <v>8.3000000000000004E-2</v>
      </c>
      <c r="D142" s="64">
        <v>8.1000000000000003E-2</v>
      </c>
      <c r="E142" s="65">
        <v>7.9000000000000001E-2</v>
      </c>
      <c r="F142" s="64">
        <v>7.8E-2</v>
      </c>
      <c r="G142" s="65">
        <v>7.5999999999999998E-2</v>
      </c>
      <c r="H142" s="64">
        <v>7.3999999999999996E-2</v>
      </c>
      <c r="I142" s="64">
        <v>7.1999999999999995E-2</v>
      </c>
      <c r="J142" s="64">
        <v>7.0999999999999994E-2</v>
      </c>
      <c r="K142" s="64">
        <v>6.9000000000000006E-2</v>
      </c>
      <c r="L142" s="64">
        <v>6.7000000000000004E-2</v>
      </c>
      <c r="M142" s="64">
        <v>6.5000000000000002E-2</v>
      </c>
      <c r="N142" s="66">
        <v>6.3E-2</v>
      </c>
      <c r="O142" s="66">
        <v>6.2E-2</v>
      </c>
      <c r="P142" s="67"/>
      <c r="Q142" s="74"/>
      <c r="R142" s="73">
        <v>-11.8</v>
      </c>
      <c r="S142" s="74"/>
      <c r="T142" s="74"/>
      <c r="U142" s="69"/>
      <c r="V142" s="70"/>
      <c r="W142" s="64"/>
      <c r="X142" s="70"/>
      <c r="Y142" s="64"/>
      <c r="Z142" s="64"/>
      <c r="AA142" s="64"/>
      <c r="AB142" s="71"/>
      <c r="AC142" s="72"/>
      <c r="AD142" s="72"/>
      <c r="AE142" s="72"/>
      <c r="AF142" s="72"/>
      <c r="AG142" s="72"/>
      <c r="AH142" s="73"/>
    </row>
    <row r="143" spans="1:34">
      <c r="A143" s="40">
        <v>1780</v>
      </c>
      <c r="B143" s="64">
        <v>0.14299999999999999</v>
      </c>
      <c r="C143" s="65">
        <v>9.4E-2</v>
      </c>
      <c r="D143" s="64">
        <v>9.0999999999999998E-2</v>
      </c>
      <c r="E143" s="65">
        <v>8.8999999999999996E-2</v>
      </c>
      <c r="F143" s="64">
        <v>8.7999999999999995E-2</v>
      </c>
      <c r="G143" s="65">
        <v>8.5999999999999993E-2</v>
      </c>
      <c r="H143" s="64">
        <v>8.3000000000000004E-2</v>
      </c>
      <c r="I143" s="64">
        <v>8.1000000000000003E-2</v>
      </c>
      <c r="J143" s="64">
        <v>7.9000000000000001E-2</v>
      </c>
      <c r="K143" s="64">
        <v>7.8E-2</v>
      </c>
      <c r="L143" s="64">
        <v>7.5999999999999998E-2</v>
      </c>
      <c r="M143" s="64">
        <v>7.2999999999999995E-2</v>
      </c>
      <c r="N143" s="66">
        <v>7.0999999999999994E-2</v>
      </c>
      <c r="O143" s="66">
        <v>6.9000000000000006E-2</v>
      </c>
      <c r="P143" s="67"/>
      <c r="Q143" s="74"/>
      <c r="R143" s="73">
        <v>12.6</v>
      </c>
      <c r="S143" s="74"/>
      <c r="T143" s="74"/>
      <c r="U143" s="69"/>
      <c r="V143" s="70"/>
      <c r="W143" s="64"/>
      <c r="X143" s="70"/>
      <c r="Y143" s="64"/>
      <c r="Z143" s="64"/>
      <c r="AA143" s="64"/>
      <c r="AB143" s="71"/>
      <c r="AC143" s="72"/>
      <c r="AD143" s="72"/>
      <c r="AE143" s="72"/>
      <c r="AF143" s="72"/>
      <c r="AG143" s="72"/>
      <c r="AH143" s="73"/>
    </row>
    <row r="144" spans="1:34">
      <c r="A144" s="40">
        <v>1781</v>
      </c>
      <c r="B144" s="64">
        <v>0.115</v>
      </c>
      <c r="C144" s="65">
        <v>7.4999999999999997E-2</v>
      </c>
      <c r="D144" s="64">
        <v>7.2999999999999995E-2</v>
      </c>
      <c r="E144" s="65">
        <v>7.1999999999999995E-2</v>
      </c>
      <c r="F144" s="64">
        <v>7.0999999999999994E-2</v>
      </c>
      <c r="G144" s="65">
        <v>6.9000000000000006E-2</v>
      </c>
      <c r="H144" s="64">
        <v>6.7000000000000004E-2</v>
      </c>
      <c r="I144" s="64">
        <v>6.5000000000000002E-2</v>
      </c>
      <c r="J144" s="64">
        <v>6.4000000000000001E-2</v>
      </c>
      <c r="K144" s="64">
        <v>6.3E-2</v>
      </c>
      <c r="L144" s="64">
        <v>6.0999999999999999E-2</v>
      </c>
      <c r="M144" s="64">
        <v>5.8999999999999997E-2</v>
      </c>
      <c r="N144" s="66">
        <v>5.7000000000000002E-2</v>
      </c>
      <c r="O144" s="66">
        <v>5.6000000000000001E-2</v>
      </c>
      <c r="P144" s="67"/>
      <c r="Q144" s="74"/>
      <c r="R144" s="73">
        <v>-19.600000000000001</v>
      </c>
      <c r="S144" s="74"/>
      <c r="T144" s="74"/>
      <c r="U144" s="69"/>
      <c r="V144" s="70"/>
      <c r="W144" s="64"/>
      <c r="X144" s="70"/>
      <c r="Y144" s="64"/>
      <c r="Z144" s="64"/>
      <c r="AA144" s="64"/>
      <c r="AB144" s="71"/>
      <c r="AC144" s="72"/>
      <c r="AD144" s="72"/>
      <c r="AE144" s="72"/>
      <c r="AF144" s="72"/>
      <c r="AG144" s="72"/>
      <c r="AH144" s="73"/>
    </row>
    <row r="145" spans="1:34">
      <c r="A145" s="40">
        <v>1782</v>
      </c>
      <c r="B145" s="64">
        <v>0.127</v>
      </c>
      <c r="C145" s="65">
        <v>8.3000000000000004E-2</v>
      </c>
      <c r="D145" s="64">
        <v>8.1000000000000003E-2</v>
      </c>
      <c r="E145" s="65">
        <v>7.9000000000000001E-2</v>
      </c>
      <c r="F145" s="64">
        <v>7.8E-2</v>
      </c>
      <c r="G145" s="65">
        <v>7.5999999999999998E-2</v>
      </c>
      <c r="H145" s="64">
        <v>7.3999999999999996E-2</v>
      </c>
      <c r="I145" s="64">
        <v>7.1999999999999995E-2</v>
      </c>
      <c r="J145" s="64">
        <v>7.0999999999999994E-2</v>
      </c>
      <c r="K145" s="64">
        <v>6.9000000000000006E-2</v>
      </c>
      <c r="L145" s="64">
        <v>6.7000000000000004E-2</v>
      </c>
      <c r="M145" s="64">
        <v>6.5000000000000002E-2</v>
      </c>
      <c r="N145" s="66">
        <v>6.3E-2</v>
      </c>
      <c r="O145" s="66">
        <v>6.2E-2</v>
      </c>
      <c r="P145" s="67"/>
      <c r="Q145" s="74"/>
      <c r="R145" s="73">
        <v>10.4</v>
      </c>
      <c r="S145" s="74"/>
      <c r="T145" s="74"/>
      <c r="U145" s="69"/>
      <c r="V145" s="70"/>
      <c r="W145" s="64"/>
      <c r="X145" s="70"/>
      <c r="Y145" s="64"/>
      <c r="Z145" s="64"/>
      <c r="AA145" s="64"/>
      <c r="AB145" s="71"/>
      <c r="AC145" s="72"/>
      <c r="AD145" s="72"/>
      <c r="AE145" s="72"/>
      <c r="AF145" s="72"/>
      <c r="AG145" s="72"/>
      <c r="AH145" s="73"/>
    </row>
    <row r="146" spans="1:34">
      <c r="A146" s="40">
        <v>1783</v>
      </c>
      <c r="B146" s="64">
        <v>0.111</v>
      </c>
      <c r="C146" s="65">
        <v>7.2999999999999995E-2</v>
      </c>
      <c r="D146" s="64">
        <v>7.0999999999999994E-2</v>
      </c>
      <c r="E146" s="65">
        <v>6.9000000000000006E-2</v>
      </c>
      <c r="F146" s="64">
        <v>6.8000000000000005E-2</v>
      </c>
      <c r="G146" s="65">
        <v>6.7000000000000004E-2</v>
      </c>
      <c r="H146" s="64">
        <v>6.4000000000000001E-2</v>
      </c>
      <c r="I146" s="64">
        <v>6.3E-2</v>
      </c>
      <c r="J146" s="64">
        <v>6.2E-2</v>
      </c>
      <c r="K146" s="64">
        <v>0.06</v>
      </c>
      <c r="L146" s="64">
        <v>5.8999999999999997E-2</v>
      </c>
      <c r="M146" s="64">
        <v>5.7000000000000002E-2</v>
      </c>
      <c r="N146" s="66">
        <v>5.5E-2</v>
      </c>
      <c r="O146" s="66">
        <v>5.3999999999999999E-2</v>
      </c>
      <c r="P146" s="67"/>
      <c r="Q146" s="74"/>
      <c r="R146" s="73">
        <v>-12.6</v>
      </c>
      <c r="S146" s="74"/>
      <c r="T146" s="74"/>
      <c r="U146" s="69"/>
      <c r="V146" s="70"/>
      <c r="W146" s="64"/>
      <c r="X146" s="70"/>
      <c r="Y146" s="64"/>
      <c r="Z146" s="64"/>
      <c r="AA146" s="64"/>
      <c r="AB146" s="71"/>
      <c r="AC146" s="72"/>
      <c r="AD146" s="72"/>
      <c r="AE146" s="72"/>
      <c r="AF146" s="72"/>
      <c r="AG146" s="72"/>
      <c r="AH146" s="73"/>
    </row>
    <row r="147" spans="1:34">
      <c r="A147" s="40">
        <v>1784</v>
      </c>
      <c r="B147" s="64">
        <v>0.107</v>
      </c>
      <c r="C147" s="65">
        <v>7.0000000000000007E-2</v>
      </c>
      <c r="D147" s="64">
        <v>6.8000000000000005E-2</v>
      </c>
      <c r="E147" s="65">
        <v>6.7000000000000004E-2</v>
      </c>
      <c r="F147" s="64">
        <v>6.6000000000000003E-2</v>
      </c>
      <c r="G147" s="65">
        <v>6.4000000000000001E-2</v>
      </c>
      <c r="H147" s="64">
        <v>6.2E-2</v>
      </c>
      <c r="I147" s="64">
        <v>0.06</v>
      </c>
      <c r="J147" s="64">
        <v>5.8999999999999997E-2</v>
      </c>
      <c r="K147" s="64">
        <v>5.8000000000000003E-2</v>
      </c>
      <c r="L147" s="64">
        <v>5.7000000000000002E-2</v>
      </c>
      <c r="M147" s="64">
        <v>5.5E-2</v>
      </c>
      <c r="N147" s="66">
        <v>5.2999999999999999E-2</v>
      </c>
      <c r="O147" s="66">
        <v>5.1999999999999998E-2</v>
      </c>
      <c r="P147" s="67"/>
      <c r="Q147" s="74"/>
      <c r="R147" s="73">
        <v>-3.6</v>
      </c>
      <c r="S147" s="74"/>
      <c r="T147" s="74"/>
      <c r="U147" s="69"/>
      <c r="V147" s="70"/>
      <c r="W147" s="64"/>
      <c r="X147" s="70"/>
      <c r="Y147" s="64"/>
      <c r="Z147" s="64"/>
      <c r="AA147" s="64"/>
      <c r="AB147" s="71"/>
      <c r="AC147" s="72"/>
      <c r="AD147" s="72"/>
      <c r="AE147" s="72"/>
      <c r="AF147" s="72"/>
      <c r="AG147" s="72"/>
      <c r="AH147" s="73"/>
    </row>
    <row r="148" spans="1:34">
      <c r="A148" s="40">
        <v>1785</v>
      </c>
      <c r="B148" s="64">
        <v>0.10100000000000001</v>
      </c>
      <c r="C148" s="65">
        <v>6.6000000000000003E-2</v>
      </c>
      <c r="D148" s="64">
        <v>6.4000000000000001E-2</v>
      </c>
      <c r="E148" s="65">
        <v>6.3E-2</v>
      </c>
      <c r="F148" s="64">
        <v>6.2E-2</v>
      </c>
      <c r="G148" s="65">
        <v>6.0999999999999999E-2</v>
      </c>
      <c r="H148" s="64">
        <v>5.8999999999999997E-2</v>
      </c>
      <c r="I148" s="64">
        <v>5.7000000000000002E-2</v>
      </c>
      <c r="J148" s="64">
        <v>5.6000000000000001E-2</v>
      </c>
      <c r="K148" s="64">
        <v>5.5E-2</v>
      </c>
      <c r="L148" s="64">
        <v>5.2999999999999999E-2</v>
      </c>
      <c r="M148" s="64">
        <v>5.1999999999999998E-2</v>
      </c>
      <c r="N148" s="66">
        <v>0.05</v>
      </c>
      <c r="O148" s="66">
        <v>4.9000000000000002E-2</v>
      </c>
      <c r="P148" s="67"/>
      <c r="Q148" s="74"/>
      <c r="R148" s="73">
        <v>-5.6</v>
      </c>
      <c r="S148" s="74"/>
      <c r="T148" s="74"/>
      <c r="U148" s="69"/>
      <c r="V148" s="70"/>
      <c r="W148" s="64"/>
      <c r="X148" s="70"/>
      <c r="Y148" s="64"/>
      <c r="Z148" s="64"/>
      <c r="AA148" s="64"/>
      <c r="AB148" s="71"/>
      <c r="AC148" s="72"/>
      <c r="AD148" s="72"/>
      <c r="AE148" s="72"/>
      <c r="AF148" s="72"/>
      <c r="AG148" s="72"/>
      <c r="AH148" s="73"/>
    </row>
    <row r="149" spans="1:34">
      <c r="A149" s="40">
        <v>1786</v>
      </c>
      <c r="B149" s="64">
        <v>9.9000000000000005E-2</v>
      </c>
      <c r="C149" s="65">
        <v>6.5000000000000002E-2</v>
      </c>
      <c r="D149" s="64">
        <v>6.3E-2</v>
      </c>
      <c r="E149" s="65">
        <v>6.2E-2</v>
      </c>
      <c r="F149" s="64">
        <v>6.0999999999999999E-2</v>
      </c>
      <c r="G149" s="65">
        <v>5.8999999999999997E-2</v>
      </c>
      <c r="H149" s="64">
        <v>5.7000000000000002E-2</v>
      </c>
      <c r="I149" s="64">
        <v>5.6000000000000001E-2</v>
      </c>
      <c r="J149" s="64">
        <v>5.5E-2</v>
      </c>
      <c r="K149" s="64">
        <v>5.3999999999999999E-2</v>
      </c>
      <c r="L149" s="64">
        <v>5.1999999999999998E-2</v>
      </c>
      <c r="M149" s="64">
        <v>5.0999999999999997E-2</v>
      </c>
      <c r="N149" s="66">
        <v>4.9000000000000002E-2</v>
      </c>
      <c r="O149" s="66">
        <v>4.8000000000000001E-2</v>
      </c>
      <c r="P149" s="67"/>
      <c r="Q149" s="74"/>
      <c r="R149" s="73">
        <v>-2</v>
      </c>
      <c r="S149" s="74"/>
      <c r="T149" s="74"/>
      <c r="U149" s="69"/>
      <c r="V149" s="70"/>
      <c r="W149" s="64"/>
      <c r="X149" s="70"/>
      <c r="Y149" s="64"/>
      <c r="Z149" s="64"/>
      <c r="AA149" s="64"/>
      <c r="AB149" s="71"/>
      <c r="AC149" s="72"/>
      <c r="AD149" s="72"/>
      <c r="AE149" s="72"/>
      <c r="AF149" s="72"/>
      <c r="AG149" s="72"/>
      <c r="AH149" s="73"/>
    </row>
    <row r="150" spans="1:34">
      <c r="A150" s="40">
        <v>1787</v>
      </c>
      <c r="B150" s="64">
        <v>9.7000000000000003E-2</v>
      </c>
      <c r="C150" s="65">
        <v>6.4000000000000001E-2</v>
      </c>
      <c r="D150" s="64">
        <v>6.2E-2</v>
      </c>
      <c r="E150" s="65">
        <v>0.06</v>
      </c>
      <c r="F150" s="64">
        <v>0.06</v>
      </c>
      <c r="G150" s="65">
        <v>5.8000000000000003E-2</v>
      </c>
      <c r="H150" s="64">
        <v>5.6000000000000001E-2</v>
      </c>
      <c r="I150" s="64">
        <v>5.5E-2</v>
      </c>
      <c r="J150" s="64">
        <v>5.3999999999999999E-2</v>
      </c>
      <c r="K150" s="64">
        <v>5.2999999999999999E-2</v>
      </c>
      <c r="L150" s="64">
        <v>5.0999999999999997E-2</v>
      </c>
      <c r="M150" s="64">
        <v>0.05</v>
      </c>
      <c r="N150" s="66">
        <v>4.8000000000000001E-2</v>
      </c>
      <c r="O150" s="66">
        <v>4.7E-2</v>
      </c>
      <c r="P150" s="67"/>
      <c r="Q150" s="74"/>
      <c r="R150" s="73">
        <v>-2</v>
      </c>
      <c r="S150" s="74"/>
      <c r="T150" s="74"/>
      <c r="U150" s="69"/>
      <c r="V150" s="70"/>
      <c r="W150" s="64"/>
      <c r="X150" s="70"/>
      <c r="Y150" s="64"/>
      <c r="Z150" s="64"/>
      <c r="AA150" s="64"/>
      <c r="AB150" s="71"/>
      <c r="AC150" s="72"/>
      <c r="AD150" s="72"/>
      <c r="AE150" s="72"/>
      <c r="AF150" s="72"/>
      <c r="AG150" s="72"/>
      <c r="AH150" s="73"/>
    </row>
    <row r="151" spans="1:34">
      <c r="A151" s="40">
        <v>1788</v>
      </c>
      <c r="B151" s="64">
        <v>9.2999999999999999E-2</v>
      </c>
      <c r="C151" s="65">
        <v>6.0999999999999999E-2</v>
      </c>
      <c r="D151" s="64">
        <v>5.8999999999999997E-2</v>
      </c>
      <c r="E151" s="65">
        <v>5.8000000000000003E-2</v>
      </c>
      <c r="F151" s="64">
        <v>5.7000000000000002E-2</v>
      </c>
      <c r="G151" s="65">
        <v>5.6000000000000001E-2</v>
      </c>
      <c r="H151" s="64">
        <v>5.3999999999999999E-2</v>
      </c>
      <c r="I151" s="64">
        <v>5.2999999999999999E-2</v>
      </c>
      <c r="J151" s="64">
        <v>5.1999999999999998E-2</v>
      </c>
      <c r="K151" s="64">
        <v>5.0999999999999997E-2</v>
      </c>
      <c r="L151" s="64">
        <v>4.9000000000000002E-2</v>
      </c>
      <c r="M151" s="64">
        <v>4.8000000000000001E-2</v>
      </c>
      <c r="N151" s="66">
        <v>4.5999999999999999E-2</v>
      </c>
      <c r="O151" s="66">
        <v>4.4999999999999998E-2</v>
      </c>
      <c r="P151" s="67"/>
      <c r="Q151" s="74"/>
      <c r="R151" s="73">
        <v>-4.0999999999999996</v>
      </c>
      <c r="S151" s="74"/>
      <c r="T151" s="74"/>
      <c r="U151" s="69"/>
      <c r="V151" s="70"/>
      <c r="W151" s="64"/>
      <c r="X151" s="70"/>
      <c r="Y151" s="64"/>
      <c r="Z151" s="64"/>
      <c r="AA151" s="64"/>
      <c r="AB151" s="71"/>
      <c r="AC151" s="72"/>
      <c r="AD151" s="72"/>
      <c r="AE151" s="72"/>
      <c r="AF151" s="72"/>
      <c r="AG151" s="72"/>
      <c r="AH151" s="73"/>
    </row>
    <row r="152" spans="1:34">
      <c r="A152" s="40">
        <v>1789</v>
      </c>
      <c r="B152" s="64">
        <v>9.1999999999999998E-2</v>
      </c>
      <c r="C152" s="65">
        <v>0.06</v>
      </c>
      <c r="D152" s="64">
        <v>5.8999999999999997E-2</v>
      </c>
      <c r="E152" s="65">
        <v>5.7000000000000002E-2</v>
      </c>
      <c r="F152" s="64">
        <v>5.6000000000000001E-2</v>
      </c>
      <c r="G152" s="65">
        <v>5.5E-2</v>
      </c>
      <c r="H152" s="64">
        <v>5.2999999999999999E-2</v>
      </c>
      <c r="I152" s="64">
        <v>5.1999999999999998E-2</v>
      </c>
      <c r="J152" s="64">
        <v>5.0999999999999997E-2</v>
      </c>
      <c r="K152" s="64">
        <v>0.05</v>
      </c>
      <c r="L152" s="64">
        <v>4.9000000000000002E-2</v>
      </c>
      <c r="M152" s="64">
        <v>4.7E-2</v>
      </c>
      <c r="N152" s="66">
        <v>4.5999999999999999E-2</v>
      </c>
      <c r="O152" s="66">
        <v>4.4999999999999998E-2</v>
      </c>
      <c r="P152" s="67"/>
      <c r="Q152" s="74"/>
      <c r="R152" s="73">
        <v>-1.1000000000000001</v>
      </c>
      <c r="S152" s="74"/>
      <c r="T152" s="74"/>
      <c r="U152" s="69"/>
      <c r="V152" s="70"/>
      <c r="W152" s="64"/>
      <c r="X152" s="70"/>
      <c r="Y152" s="64"/>
      <c r="Z152" s="64"/>
      <c r="AA152" s="64"/>
      <c r="AB152" s="71"/>
      <c r="AC152" s="72"/>
      <c r="AD152" s="72"/>
      <c r="AE152" s="72"/>
      <c r="AF152" s="72"/>
      <c r="AG152" s="72"/>
      <c r="AH152" s="73"/>
    </row>
    <row r="153" spans="1:34">
      <c r="A153" s="40">
        <v>1790</v>
      </c>
      <c r="B153" s="64">
        <v>9.5000000000000001E-2</v>
      </c>
      <c r="C153" s="65">
        <v>6.2E-2</v>
      </c>
      <c r="D153" s="64">
        <v>6.0999999999999999E-2</v>
      </c>
      <c r="E153" s="65">
        <v>5.8999999999999997E-2</v>
      </c>
      <c r="F153" s="64">
        <v>5.8000000000000003E-2</v>
      </c>
      <c r="G153" s="65">
        <v>5.7000000000000002E-2</v>
      </c>
      <c r="H153" s="64">
        <v>5.5E-2</v>
      </c>
      <c r="I153" s="64">
        <v>5.3999999999999999E-2</v>
      </c>
      <c r="J153" s="64">
        <v>5.2999999999999999E-2</v>
      </c>
      <c r="K153" s="64">
        <v>5.1999999999999998E-2</v>
      </c>
      <c r="L153" s="64">
        <v>0.05</v>
      </c>
      <c r="M153" s="64">
        <v>4.9000000000000002E-2</v>
      </c>
      <c r="N153" s="66">
        <v>4.7E-2</v>
      </c>
      <c r="O153" s="66">
        <v>4.5999999999999999E-2</v>
      </c>
      <c r="P153" s="67"/>
      <c r="Q153" s="74"/>
      <c r="R153" s="73">
        <v>3.3</v>
      </c>
      <c r="S153" s="74"/>
      <c r="T153" s="74"/>
      <c r="U153" s="69"/>
      <c r="V153" s="70"/>
      <c r="W153" s="64"/>
      <c r="X153" s="70"/>
      <c r="Y153" s="64"/>
      <c r="Z153" s="64"/>
      <c r="AA153" s="64"/>
      <c r="AB153" s="71"/>
      <c r="AC153" s="72"/>
      <c r="AD153" s="72"/>
      <c r="AE153" s="72"/>
      <c r="AF153" s="72"/>
      <c r="AG153" s="72"/>
      <c r="AH153" s="73"/>
    </row>
    <row r="154" spans="1:34">
      <c r="A154" s="40">
        <v>1791</v>
      </c>
      <c r="B154" s="64">
        <v>9.8000000000000004E-2</v>
      </c>
      <c r="C154" s="65">
        <v>6.4000000000000001E-2</v>
      </c>
      <c r="D154" s="64">
        <v>6.2E-2</v>
      </c>
      <c r="E154" s="65">
        <v>6.0999999999999999E-2</v>
      </c>
      <c r="F154" s="64">
        <v>0.06</v>
      </c>
      <c r="G154" s="65">
        <v>5.8999999999999997E-2</v>
      </c>
      <c r="H154" s="64">
        <v>5.7000000000000002E-2</v>
      </c>
      <c r="I154" s="64">
        <v>5.5E-2</v>
      </c>
      <c r="J154" s="64">
        <v>5.3999999999999999E-2</v>
      </c>
      <c r="K154" s="64">
        <v>5.2999999999999999E-2</v>
      </c>
      <c r="L154" s="64">
        <v>5.1999999999999998E-2</v>
      </c>
      <c r="M154" s="64">
        <v>0.05</v>
      </c>
      <c r="N154" s="66">
        <v>4.9000000000000002E-2</v>
      </c>
      <c r="O154" s="66">
        <v>4.8000000000000001E-2</v>
      </c>
      <c r="P154" s="67"/>
      <c r="Q154" s="74"/>
      <c r="R154" s="73">
        <v>3.2</v>
      </c>
      <c r="S154" s="74"/>
      <c r="T154" s="74"/>
      <c r="U154" s="69"/>
      <c r="V154" s="70"/>
      <c r="W154" s="64"/>
      <c r="X154" s="70"/>
      <c r="Y154" s="64"/>
      <c r="Z154" s="64"/>
      <c r="AA154" s="64"/>
      <c r="AB154" s="71"/>
      <c r="AC154" s="72"/>
      <c r="AD154" s="72"/>
      <c r="AE154" s="72"/>
      <c r="AF154" s="72"/>
      <c r="AG154" s="72"/>
      <c r="AH154" s="73"/>
    </row>
    <row r="155" spans="1:34">
      <c r="A155" s="40">
        <v>1792</v>
      </c>
      <c r="B155" s="64">
        <v>0.1</v>
      </c>
      <c r="C155" s="65">
        <v>6.6000000000000003E-2</v>
      </c>
      <c r="D155" s="64">
        <v>6.4000000000000001E-2</v>
      </c>
      <c r="E155" s="65">
        <v>6.2E-2</v>
      </c>
      <c r="F155" s="64">
        <v>6.0999999999999999E-2</v>
      </c>
      <c r="G155" s="65">
        <v>0.06</v>
      </c>
      <c r="H155" s="64">
        <v>5.8000000000000003E-2</v>
      </c>
      <c r="I155" s="64">
        <v>5.6000000000000001E-2</v>
      </c>
      <c r="J155" s="64">
        <v>5.6000000000000001E-2</v>
      </c>
      <c r="K155" s="64">
        <v>5.3999999999999999E-2</v>
      </c>
      <c r="L155" s="64">
        <v>5.2999999999999999E-2</v>
      </c>
      <c r="M155" s="64">
        <v>5.0999999999999997E-2</v>
      </c>
      <c r="N155" s="66">
        <v>0.05</v>
      </c>
      <c r="O155" s="66">
        <v>4.9000000000000002E-2</v>
      </c>
      <c r="P155" s="67"/>
      <c r="Q155" s="74"/>
      <c r="R155" s="73">
        <v>2</v>
      </c>
      <c r="S155" s="74"/>
      <c r="T155" s="74"/>
      <c r="U155" s="69"/>
      <c r="V155" s="70"/>
      <c r="W155" s="64"/>
      <c r="X155" s="70"/>
      <c r="Y155" s="64"/>
      <c r="Z155" s="64"/>
      <c r="AA155" s="64"/>
      <c r="AB155" s="71"/>
      <c r="AC155" s="72"/>
      <c r="AD155" s="72"/>
      <c r="AE155" s="72"/>
      <c r="AF155" s="72"/>
      <c r="AG155" s="72"/>
      <c r="AH155" s="73"/>
    </row>
    <row r="156" spans="1:34">
      <c r="A156" s="40">
        <v>1793</v>
      </c>
      <c r="B156" s="64">
        <v>0.10299999999999999</v>
      </c>
      <c r="C156" s="65">
        <v>6.8000000000000005E-2</v>
      </c>
      <c r="D156" s="64">
        <v>6.6000000000000003E-2</v>
      </c>
      <c r="E156" s="65">
        <v>6.4000000000000001E-2</v>
      </c>
      <c r="F156" s="64">
        <v>6.3E-2</v>
      </c>
      <c r="G156" s="65">
        <v>6.2E-2</v>
      </c>
      <c r="H156" s="64">
        <v>0.06</v>
      </c>
      <c r="I156" s="64">
        <v>5.8000000000000003E-2</v>
      </c>
      <c r="J156" s="64">
        <v>5.7000000000000002E-2</v>
      </c>
      <c r="K156" s="64">
        <v>5.6000000000000001E-2</v>
      </c>
      <c r="L156" s="64">
        <v>5.5E-2</v>
      </c>
      <c r="M156" s="64">
        <v>5.2999999999999999E-2</v>
      </c>
      <c r="N156" s="66">
        <v>5.0999999999999997E-2</v>
      </c>
      <c r="O156" s="66">
        <v>0.05</v>
      </c>
      <c r="P156" s="67"/>
      <c r="Q156" s="74"/>
      <c r="R156" s="73">
        <v>3</v>
      </c>
      <c r="S156" s="74"/>
      <c r="T156" s="74"/>
      <c r="U156" s="69"/>
      <c r="V156" s="70"/>
      <c r="W156" s="64"/>
      <c r="X156" s="70"/>
      <c r="Y156" s="64"/>
      <c r="Z156" s="64"/>
      <c r="AA156" s="64"/>
      <c r="AB156" s="71"/>
      <c r="AC156" s="72"/>
      <c r="AD156" s="72"/>
      <c r="AE156" s="72"/>
      <c r="AF156" s="72"/>
      <c r="AG156" s="72"/>
      <c r="AH156" s="73"/>
    </row>
    <row r="157" spans="1:34">
      <c r="A157" s="40">
        <v>1794</v>
      </c>
      <c r="B157" s="64">
        <v>0.114</v>
      </c>
      <c r="C157" s="65">
        <v>7.4999999999999997E-2</v>
      </c>
      <c r="D157" s="64">
        <v>7.2999999999999995E-2</v>
      </c>
      <c r="E157" s="65">
        <v>7.0999999999999994E-2</v>
      </c>
      <c r="F157" s="64">
        <v>7.0000000000000007E-2</v>
      </c>
      <c r="G157" s="65">
        <v>6.8000000000000005E-2</v>
      </c>
      <c r="H157" s="64">
        <v>6.6000000000000003E-2</v>
      </c>
      <c r="I157" s="64">
        <v>6.4000000000000001E-2</v>
      </c>
      <c r="J157" s="64">
        <v>6.3E-2</v>
      </c>
      <c r="K157" s="64">
        <v>6.2E-2</v>
      </c>
      <c r="L157" s="64">
        <v>0.06</v>
      </c>
      <c r="M157" s="64">
        <v>5.8000000000000003E-2</v>
      </c>
      <c r="N157" s="66">
        <v>5.7000000000000002E-2</v>
      </c>
      <c r="O157" s="66">
        <v>5.5E-2</v>
      </c>
      <c r="P157" s="67"/>
      <c r="Q157" s="74"/>
      <c r="R157" s="73">
        <v>10.7</v>
      </c>
      <c r="S157" s="74"/>
      <c r="T157" s="74"/>
      <c r="U157" s="69"/>
      <c r="V157" s="70"/>
      <c r="W157" s="64"/>
      <c r="X157" s="70"/>
      <c r="Y157" s="64"/>
      <c r="Z157" s="64"/>
      <c r="AA157" s="64"/>
      <c r="AB157" s="71"/>
      <c r="AC157" s="72"/>
      <c r="AD157" s="72"/>
      <c r="AE157" s="72"/>
      <c r="AF157" s="72"/>
      <c r="AG157" s="72"/>
      <c r="AH157" s="73"/>
    </row>
    <row r="158" spans="1:34">
      <c r="A158" s="40">
        <v>1795</v>
      </c>
      <c r="B158" s="64">
        <v>0.13100000000000001</v>
      </c>
      <c r="C158" s="65">
        <v>8.5999999999999993E-2</v>
      </c>
      <c r="D158" s="64">
        <v>8.3000000000000004E-2</v>
      </c>
      <c r="E158" s="65">
        <v>8.2000000000000003E-2</v>
      </c>
      <c r="F158" s="64">
        <v>0.08</v>
      </c>
      <c r="G158" s="65">
        <v>7.9000000000000001E-2</v>
      </c>
      <c r="H158" s="64">
        <v>7.5999999999999998E-2</v>
      </c>
      <c r="I158" s="64">
        <v>7.3999999999999996E-2</v>
      </c>
      <c r="J158" s="64">
        <v>7.2999999999999995E-2</v>
      </c>
      <c r="K158" s="64">
        <v>7.0999999999999994E-2</v>
      </c>
      <c r="L158" s="64">
        <v>6.9000000000000006E-2</v>
      </c>
      <c r="M158" s="64">
        <v>6.7000000000000004E-2</v>
      </c>
      <c r="N158" s="66">
        <v>6.5000000000000002E-2</v>
      </c>
      <c r="O158" s="66">
        <v>6.4000000000000001E-2</v>
      </c>
      <c r="P158" s="67"/>
      <c r="Q158" s="74"/>
      <c r="R158" s="73">
        <v>14.9</v>
      </c>
      <c r="S158" s="74"/>
      <c r="T158" s="74"/>
      <c r="U158" s="69"/>
      <c r="V158" s="70"/>
      <c r="W158" s="64"/>
      <c r="X158" s="70"/>
      <c r="Y158" s="64"/>
      <c r="Z158" s="64"/>
      <c r="AA158" s="64"/>
      <c r="AB158" s="71"/>
      <c r="AC158" s="72"/>
      <c r="AD158" s="72"/>
      <c r="AE158" s="72"/>
      <c r="AF158" s="72"/>
      <c r="AG158" s="72"/>
      <c r="AH158" s="73"/>
    </row>
    <row r="159" spans="1:34">
      <c r="A159" s="40">
        <v>1796</v>
      </c>
      <c r="B159" s="64">
        <v>0.13800000000000001</v>
      </c>
      <c r="C159" s="65">
        <v>9.0999999999999998E-2</v>
      </c>
      <c r="D159" s="64">
        <v>8.7999999999999995E-2</v>
      </c>
      <c r="E159" s="65">
        <v>8.5999999999999993E-2</v>
      </c>
      <c r="F159" s="64">
        <v>8.5000000000000006E-2</v>
      </c>
      <c r="G159" s="65">
        <v>8.3000000000000004E-2</v>
      </c>
      <c r="H159" s="64">
        <v>0.08</v>
      </c>
      <c r="I159" s="64">
        <v>7.8E-2</v>
      </c>
      <c r="J159" s="64">
        <v>7.6999999999999999E-2</v>
      </c>
      <c r="K159" s="64">
        <v>7.4999999999999997E-2</v>
      </c>
      <c r="L159" s="64">
        <v>7.2999999999999995E-2</v>
      </c>
      <c r="M159" s="64">
        <v>7.0999999999999994E-2</v>
      </c>
      <c r="N159" s="66">
        <v>6.8000000000000005E-2</v>
      </c>
      <c r="O159" s="66">
        <v>6.7000000000000004E-2</v>
      </c>
      <c r="P159" s="67"/>
      <c r="Q159" s="74"/>
      <c r="R159" s="73">
        <v>5.3</v>
      </c>
      <c r="S159" s="74"/>
      <c r="T159" s="74"/>
      <c r="U159" s="69"/>
      <c r="V159" s="70"/>
      <c r="W159" s="64"/>
      <c r="X159" s="70"/>
      <c r="Y159" s="64"/>
      <c r="Z159" s="64"/>
      <c r="AA159" s="64"/>
      <c r="AB159" s="71"/>
      <c r="AC159" s="72"/>
      <c r="AD159" s="72"/>
      <c r="AE159" s="72"/>
      <c r="AF159" s="72"/>
      <c r="AG159" s="72"/>
      <c r="AH159" s="73"/>
    </row>
    <row r="160" spans="1:34">
      <c r="A160" s="40">
        <v>1797</v>
      </c>
      <c r="B160" s="64">
        <v>0.13300000000000001</v>
      </c>
      <c r="C160" s="65">
        <v>8.6999999999999994E-2</v>
      </c>
      <c r="D160" s="64">
        <v>8.5000000000000006E-2</v>
      </c>
      <c r="E160" s="65">
        <v>8.3000000000000004E-2</v>
      </c>
      <c r="F160" s="64">
        <v>8.2000000000000003E-2</v>
      </c>
      <c r="G160" s="65">
        <v>0.08</v>
      </c>
      <c r="H160" s="64">
        <v>7.6999999999999999E-2</v>
      </c>
      <c r="I160" s="64">
        <v>7.4999999999999997E-2</v>
      </c>
      <c r="J160" s="64">
        <v>7.3999999999999996E-2</v>
      </c>
      <c r="K160" s="64">
        <v>7.1999999999999995E-2</v>
      </c>
      <c r="L160" s="64">
        <v>7.0000000000000007E-2</v>
      </c>
      <c r="M160" s="64">
        <v>6.8000000000000005E-2</v>
      </c>
      <c r="N160" s="66">
        <v>6.6000000000000003E-2</v>
      </c>
      <c r="O160" s="66">
        <v>6.5000000000000002E-2</v>
      </c>
      <c r="P160" s="67"/>
      <c r="Q160" s="74"/>
      <c r="R160" s="73">
        <v>-3.6</v>
      </c>
      <c r="S160" s="74"/>
      <c r="T160" s="74"/>
      <c r="U160" s="69"/>
      <c r="V160" s="70"/>
      <c r="W160" s="64"/>
      <c r="X160" s="70"/>
      <c r="Y160" s="64"/>
      <c r="Z160" s="64"/>
      <c r="AA160" s="64"/>
      <c r="AB160" s="71"/>
      <c r="AC160" s="72"/>
      <c r="AD160" s="72"/>
      <c r="AE160" s="72"/>
      <c r="AF160" s="72"/>
      <c r="AG160" s="72"/>
      <c r="AH160" s="73"/>
    </row>
    <row r="161" spans="1:34">
      <c r="A161" s="40">
        <v>1798</v>
      </c>
      <c r="B161" s="64">
        <v>0.128</v>
      </c>
      <c r="C161" s="65">
        <v>8.4000000000000005E-2</v>
      </c>
      <c r="D161" s="64">
        <v>8.2000000000000003E-2</v>
      </c>
      <c r="E161" s="65">
        <v>0.08</v>
      </c>
      <c r="F161" s="64">
        <v>7.9000000000000001E-2</v>
      </c>
      <c r="G161" s="65">
        <v>7.6999999999999999E-2</v>
      </c>
      <c r="H161" s="64">
        <v>7.3999999999999996E-2</v>
      </c>
      <c r="I161" s="64">
        <v>7.1999999999999995E-2</v>
      </c>
      <c r="J161" s="64">
        <v>7.0999999999999994E-2</v>
      </c>
      <c r="K161" s="64">
        <v>7.0000000000000007E-2</v>
      </c>
      <c r="L161" s="64">
        <v>6.8000000000000005E-2</v>
      </c>
      <c r="M161" s="64">
        <v>6.6000000000000003E-2</v>
      </c>
      <c r="N161" s="66">
        <v>6.3E-2</v>
      </c>
      <c r="O161" s="66">
        <v>6.2E-2</v>
      </c>
      <c r="P161" s="67"/>
      <c r="Q161" s="74"/>
      <c r="R161" s="73">
        <v>-3.8</v>
      </c>
      <c r="S161" s="74"/>
      <c r="T161" s="74"/>
      <c r="U161" s="69"/>
      <c r="V161" s="70"/>
      <c r="W161" s="64"/>
      <c r="X161" s="70"/>
      <c r="Y161" s="64"/>
      <c r="Z161" s="64"/>
      <c r="AA161" s="64"/>
      <c r="AB161" s="71"/>
      <c r="AC161" s="72"/>
      <c r="AD161" s="72"/>
      <c r="AE161" s="72"/>
      <c r="AF161" s="72"/>
      <c r="AG161" s="72"/>
      <c r="AH161" s="73"/>
    </row>
    <row r="162" spans="1:34">
      <c r="A162" s="40">
        <v>1799</v>
      </c>
      <c r="B162" s="64">
        <v>0.128</v>
      </c>
      <c r="C162" s="65">
        <v>8.4000000000000005E-2</v>
      </c>
      <c r="D162" s="64">
        <v>8.2000000000000003E-2</v>
      </c>
      <c r="E162" s="65">
        <v>0.08</v>
      </c>
      <c r="F162" s="64">
        <v>7.9000000000000001E-2</v>
      </c>
      <c r="G162" s="65">
        <v>7.6999999999999999E-2</v>
      </c>
      <c r="H162" s="64">
        <v>7.3999999999999996E-2</v>
      </c>
      <c r="I162" s="64">
        <v>7.1999999999999995E-2</v>
      </c>
      <c r="J162" s="64">
        <v>7.0999999999999994E-2</v>
      </c>
      <c r="K162" s="64">
        <v>7.0000000000000007E-2</v>
      </c>
      <c r="L162" s="64">
        <v>6.8000000000000005E-2</v>
      </c>
      <c r="M162" s="64">
        <v>6.6000000000000003E-2</v>
      </c>
      <c r="N162" s="66">
        <v>6.3E-2</v>
      </c>
      <c r="O162" s="66">
        <v>6.2E-2</v>
      </c>
      <c r="P162" s="67"/>
      <c r="Q162" s="74"/>
      <c r="R162" s="73">
        <v>0</v>
      </c>
      <c r="S162" s="74"/>
      <c r="T162" s="74"/>
      <c r="U162" s="69"/>
      <c r="V162" s="70"/>
      <c r="W162" s="64"/>
      <c r="X162" s="70"/>
      <c r="Y162" s="64"/>
      <c r="Z162" s="64"/>
      <c r="AA162" s="64"/>
      <c r="AB162" s="71"/>
      <c r="AC162" s="72"/>
      <c r="AD162" s="72"/>
      <c r="AE162" s="72"/>
      <c r="AF162" s="72"/>
      <c r="AG162" s="72"/>
      <c r="AH162" s="73"/>
    </row>
    <row r="163" spans="1:34">
      <c r="A163" s="40">
        <v>1800</v>
      </c>
      <c r="B163" s="64">
        <v>0.13100000000000001</v>
      </c>
      <c r="C163" s="65">
        <v>8.5999999999999993E-2</v>
      </c>
      <c r="D163" s="64">
        <v>8.3000000000000004E-2</v>
      </c>
      <c r="E163" s="65">
        <v>8.2000000000000003E-2</v>
      </c>
      <c r="F163" s="64">
        <v>0.08</v>
      </c>
      <c r="G163" s="65">
        <v>7.9000000000000001E-2</v>
      </c>
      <c r="H163" s="64">
        <v>7.5999999999999998E-2</v>
      </c>
      <c r="I163" s="64">
        <v>7.3999999999999996E-2</v>
      </c>
      <c r="J163" s="64">
        <v>7.2999999999999995E-2</v>
      </c>
      <c r="K163" s="64">
        <v>7.0999999999999994E-2</v>
      </c>
      <c r="L163" s="64">
        <v>6.9000000000000006E-2</v>
      </c>
      <c r="M163" s="64">
        <v>6.7000000000000004E-2</v>
      </c>
      <c r="N163" s="66">
        <v>6.5000000000000002E-2</v>
      </c>
      <c r="O163" s="66">
        <v>6.4000000000000001E-2</v>
      </c>
      <c r="P163" s="67"/>
      <c r="R163" s="73">
        <v>2.2999999999999998</v>
      </c>
      <c r="U163" s="69"/>
      <c r="V163" s="70"/>
      <c r="W163" s="64"/>
      <c r="X163" s="70"/>
      <c r="Y163" s="64"/>
      <c r="Z163" s="64"/>
      <c r="AA163" s="64"/>
      <c r="AB163" s="71"/>
      <c r="AC163" s="72"/>
      <c r="AD163" s="72"/>
      <c r="AE163" s="72"/>
      <c r="AF163" s="72"/>
      <c r="AG163" s="72"/>
      <c r="AH163" s="73"/>
    </row>
    <row r="164" spans="1:34">
      <c r="A164" s="40">
        <v>1801</v>
      </c>
      <c r="B164" s="64">
        <v>0.13300000000000001</v>
      </c>
      <c r="C164" s="65">
        <v>8.6999999999999994E-2</v>
      </c>
      <c r="D164" s="64">
        <v>8.5000000000000006E-2</v>
      </c>
      <c r="E164" s="65">
        <v>8.3000000000000004E-2</v>
      </c>
      <c r="F164" s="64">
        <v>8.2000000000000003E-2</v>
      </c>
      <c r="G164" s="65">
        <v>0.08</v>
      </c>
      <c r="H164" s="64">
        <v>7.6999999999999999E-2</v>
      </c>
      <c r="I164" s="64">
        <v>7.4999999999999997E-2</v>
      </c>
      <c r="J164" s="64">
        <v>7.3999999999999996E-2</v>
      </c>
      <c r="K164" s="64">
        <v>7.1999999999999995E-2</v>
      </c>
      <c r="L164" s="64">
        <v>7.0000000000000007E-2</v>
      </c>
      <c r="M164" s="64">
        <v>6.8000000000000005E-2</v>
      </c>
      <c r="N164" s="66">
        <v>6.6000000000000003E-2</v>
      </c>
      <c r="O164" s="66">
        <v>6.5000000000000002E-2</v>
      </c>
      <c r="P164" s="67"/>
      <c r="R164" s="73">
        <v>1.5</v>
      </c>
      <c r="S164" s="40"/>
      <c r="T164" s="40"/>
      <c r="U164" s="69"/>
      <c r="V164" s="70"/>
      <c r="W164" s="64"/>
      <c r="X164" s="70"/>
      <c r="Y164" s="64"/>
      <c r="Z164" s="64"/>
      <c r="AA164" s="64"/>
      <c r="AB164" s="71"/>
      <c r="AC164" s="72"/>
      <c r="AD164" s="72"/>
      <c r="AE164" s="72"/>
      <c r="AF164" s="72"/>
      <c r="AG164" s="72"/>
      <c r="AH164" s="73"/>
    </row>
    <row r="165" spans="1:34">
      <c r="A165" s="40">
        <v>1802</v>
      </c>
      <c r="B165" s="64">
        <v>0.112</v>
      </c>
      <c r="C165" s="65">
        <v>7.2999999999999995E-2</v>
      </c>
      <c r="D165" s="64">
        <v>7.0999999999999994E-2</v>
      </c>
      <c r="E165" s="65">
        <v>7.0000000000000007E-2</v>
      </c>
      <c r="F165" s="64">
        <v>6.9000000000000006E-2</v>
      </c>
      <c r="G165" s="65">
        <v>6.7000000000000004E-2</v>
      </c>
      <c r="H165" s="64">
        <v>6.5000000000000002E-2</v>
      </c>
      <c r="I165" s="64">
        <v>6.3E-2</v>
      </c>
      <c r="J165" s="64">
        <v>6.2E-2</v>
      </c>
      <c r="K165" s="64">
        <v>6.0999999999999999E-2</v>
      </c>
      <c r="L165" s="64">
        <v>5.8999999999999997E-2</v>
      </c>
      <c r="M165" s="64">
        <v>5.7000000000000002E-2</v>
      </c>
      <c r="N165" s="66">
        <v>5.6000000000000001E-2</v>
      </c>
      <c r="O165" s="66">
        <v>5.3999999999999999E-2</v>
      </c>
      <c r="P165" s="67"/>
      <c r="R165" s="73">
        <v>-15.8</v>
      </c>
      <c r="S165" s="40"/>
      <c r="T165" s="40"/>
      <c r="U165" s="69"/>
      <c r="V165" s="70"/>
      <c r="W165" s="64"/>
      <c r="X165" s="70"/>
      <c r="Y165" s="64"/>
      <c r="Z165" s="64"/>
      <c r="AA165" s="64"/>
      <c r="AB165" s="71"/>
      <c r="AC165" s="72"/>
      <c r="AD165" s="72"/>
      <c r="AE165" s="72"/>
      <c r="AF165" s="72"/>
      <c r="AG165" s="72"/>
      <c r="AH165" s="73"/>
    </row>
    <row r="166" spans="1:34">
      <c r="A166" s="40">
        <v>1803</v>
      </c>
      <c r="B166" s="64">
        <v>0.11799999999999999</v>
      </c>
      <c r="C166" s="65">
        <v>7.6999999999999999E-2</v>
      </c>
      <c r="D166" s="64">
        <v>7.4999999999999997E-2</v>
      </c>
      <c r="E166" s="65">
        <v>7.3999999999999996E-2</v>
      </c>
      <c r="F166" s="64">
        <v>7.1999999999999995E-2</v>
      </c>
      <c r="G166" s="65">
        <v>7.0999999999999994E-2</v>
      </c>
      <c r="H166" s="64">
        <v>6.9000000000000006E-2</v>
      </c>
      <c r="I166" s="64">
        <v>6.7000000000000004E-2</v>
      </c>
      <c r="J166" s="64">
        <v>6.6000000000000003E-2</v>
      </c>
      <c r="K166" s="64">
        <v>6.4000000000000001E-2</v>
      </c>
      <c r="L166" s="64">
        <v>6.2E-2</v>
      </c>
      <c r="M166" s="64">
        <v>0.06</v>
      </c>
      <c r="N166" s="66">
        <v>5.8999999999999997E-2</v>
      </c>
      <c r="O166" s="66">
        <v>5.7000000000000002E-2</v>
      </c>
      <c r="P166" s="67"/>
      <c r="R166" s="73">
        <v>5.4</v>
      </c>
      <c r="S166" s="40"/>
      <c r="T166" s="40"/>
      <c r="U166" s="69"/>
      <c r="V166" s="70"/>
      <c r="W166" s="64"/>
      <c r="X166" s="70"/>
      <c r="Y166" s="64"/>
      <c r="Z166" s="64"/>
      <c r="AA166" s="64"/>
      <c r="AB166" s="71"/>
      <c r="AC166" s="72"/>
      <c r="AD166" s="72"/>
      <c r="AE166" s="72"/>
      <c r="AF166" s="72"/>
      <c r="AG166" s="72"/>
      <c r="AH166" s="73"/>
    </row>
    <row r="167" spans="1:34">
      <c r="A167" s="40">
        <v>1804</v>
      </c>
      <c r="B167" s="64">
        <v>0.123</v>
      </c>
      <c r="C167" s="65">
        <v>8.1000000000000003E-2</v>
      </c>
      <c r="D167" s="64">
        <v>7.8E-2</v>
      </c>
      <c r="E167" s="65">
        <v>7.6999999999999999E-2</v>
      </c>
      <c r="F167" s="64">
        <v>7.4999999999999997E-2</v>
      </c>
      <c r="G167" s="65">
        <v>7.3999999999999996E-2</v>
      </c>
      <c r="H167" s="64">
        <v>7.0999999999999994E-2</v>
      </c>
      <c r="I167" s="64">
        <v>6.9000000000000006E-2</v>
      </c>
      <c r="J167" s="64">
        <v>6.8000000000000005E-2</v>
      </c>
      <c r="K167" s="64">
        <v>6.7000000000000004E-2</v>
      </c>
      <c r="L167" s="64">
        <v>6.5000000000000002E-2</v>
      </c>
      <c r="M167" s="64">
        <v>6.3E-2</v>
      </c>
      <c r="N167" s="66">
        <v>6.0999999999999999E-2</v>
      </c>
      <c r="O167" s="66">
        <v>0.06</v>
      </c>
      <c r="P167" s="67"/>
      <c r="R167" s="73">
        <v>4.2</v>
      </c>
      <c r="S167" s="40"/>
      <c r="T167" s="40"/>
      <c r="U167" s="69"/>
      <c r="V167" s="70"/>
      <c r="W167" s="64"/>
      <c r="X167" s="70"/>
      <c r="Y167" s="64"/>
      <c r="Z167" s="64"/>
      <c r="AA167" s="64"/>
      <c r="AB167" s="71"/>
      <c r="AC167" s="72"/>
      <c r="AD167" s="72"/>
      <c r="AE167" s="72"/>
      <c r="AF167" s="72"/>
      <c r="AG167" s="72"/>
      <c r="AH167" s="73"/>
    </row>
    <row r="168" spans="1:34">
      <c r="A168" s="40">
        <v>1805</v>
      </c>
      <c r="B168" s="64">
        <v>0.122</v>
      </c>
      <c r="C168" s="65">
        <v>0.08</v>
      </c>
      <c r="D168" s="64">
        <v>7.8E-2</v>
      </c>
      <c r="E168" s="65">
        <v>7.5999999999999998E-2</v>
      </c>
      <c r="F168" s="64">
        <v>7.4999999999999997E-2</v>
      </c>
      <c r="G168" s="65">
        <v>7.2999999999999995E-2</v>
      </c>
      <c r="H168" s="64">
        <v>7.0999999999999994E-2</v>
      </c>
      <c r="I168" s="64">
        <v>6.9000000000000006E-2</v>
      </c>
      <c r="J168" s="64">
        <v>6.8000000000000005E-2</v>
      </c>
      <c r="K168" s="64">
        <v>6.6000000000000003E-2</v>
      </c>
      <c r="L168" s="64">
        <v>6.5000000000000002E-2</v>
      </c>
      <c r="M168" s="64">
        <v>6.2E-2</v>
      </c>
      <c r="N168" s="66">
        <v>6.0999999999999999E-2</v>
      </c>
      <c r="O168" s="66">
        <v>5.8999999999999997E-2</v>
      </c>
      <c r="P168" s="67"/>
      <c r="R168" s="73">
        <v>-0.8</v>
      </c>
      <c r="S168" s="40"/>
      <c r="T168" s="40"/>
      <c r="U168" s="69"/>
      <c r="V168" s="70"/>
      <c r="W168" s="64"/>
      <c r="X168" s="70"/>
      <c r="Y168" s="64"/>
      <c r="Z168" s="64"/>
      <c r="AA168" s="64"/>
      <c r="AB168" s="71"/>
      <c r="AC168" s="72"/>
      <c r="AD168" s="72"/>
      <c r="AE168" s="72"/>
      <c r="AF168" s="72"/>
      <c r="AG168" s="72"/>
      <c r="AH168" s="73"/>
    </row>
    <row r="169" spans="1:34">
      <c r="A169" s="40">
        <v>1806</v>
      </c>
      <c r="B169" s="64">
        <v>0.127</v>
      </c>
      <c r="C169" s="65">
        <v>8.3000000000000004E-2</v>
      </c>
      <c r="D169" s="64">
        <v>8.1000000000000003E-2</v>
      </c>
      <c r="E169" s="65">
        <v>7.9000000000000001E-2</v>
      </c>
      <c r="F169" s="64">
        <v>7.8E-2</v>
      </c>
      <c r="G169" s="65">
        <v>7.5999999999999998E-2</v>
      </c>
      <c r="H169" s="64">
        <v>7.3999999999999996E-2</v>
      </c>
      <c r="I169" s="64">
        <v>7.1999999999999995E-2</v>
      </c>
      <c r="J169" s="64">
        <v>7.0999999999999994E-2</v>
      </c>
      <c r="K169" s="64">
        <v>6.9000000000000006E-2</v>
      </c>
      <c r="L169" s="64">
        <v>6.7000000000000004E-2</v>
      </c>
      <c r="M169" s="64">
        <v>6.5000000000000002E-2</v>
      </c>
      <c r="N169" s="66">
        <v>6.3E-2</v>
      </c>
      <c r="O169" s="66">
        <v>6.2E-2</v>
      </c>
      <c r="P169" s="67"/>
      <c r="R169" s="73">
        <v>4.0999999999999996</v>
      </c>
      <c r="S169" s="40"/>
      <c r="T169" s="40"/>
      <c r="U169" s="69"/>
      <c r="V169" s="70"/>
      <c r="W169" s="64"/>
      <c r="X169" s="70"/>
      <c r="Y169" s="64"/>
      <c r="Z169" s="64"/>
      <c r="AA169" s="64"/>
      <c r="AB169" s="71"/>
      <c r="AC169" s="72"/>
      <c r="AD169" s="72"/>
      <c r="AE169" s="72"/>
      <c r="AF169" s="72"/>
      <c r="AG169" s="72"/>
      <c r="AH169" s="73"/>
    </row>
    <row r="170" spans="1:34">
      <c r="A170" s="40">
        <v>1807</v>
      </c>
      <c r="B170" s="64">
        <v>0.12</v>
      </c>
      <c r="C170" s="65">
        <v>7.9000000000000001E-2</v>
      </c>
      <c r="D170" s="64">
        <v>7.5999999999999998E-2</v>
      </c>
      <c r="E170" s="65">
        <v>7.4999999999999997E-2</v>
      </c>
      <c r="F170" s="64">
        <v>7.3999999999999996E-2</v>
      </c>
      <c r="G170" s="65">
        <v>7.1999999999999995E-2</v>
      </c>
      <c r="H170" s="64">
        <v>7.0000000000000007E-2</v>
      </c>
      <c r="I170" s="64">
        <v>6.8000000000000005E-2</v>
      </c>
      <c r="J170" s="64">
        <v>6.7000000000000004E-2</v>
      </c>
      <c r="K170" s="64">
        <v>6.5000000000000002E-2</v>
      </c>
      <c r="L170" s="64">
        <v>6.4000000000000001E-2</v>
      </c>
      <c r="M170" s="64">
        <v>6.0999999999999999E-2</v>
      </c>
      <c r="N170" s="66">
        <v>0.06</v>
      </c>
      <c r="O170" s="66">
        <v>5.8000000000000003E-2</v>
      </c>
      <c r="P170" s="67"/>
      <c r="R170" s="73">
        <v>-5.5</v>
      </c>
      <c r="S170" s="40"/>
      <c r="T170" s="40"/>
      <c r="U170" s="69"/>
      <c r="V170" s="70"/>
      <c r="W170" s="64"/>
      <c r="X170" s="70"/>
      <c r="Y170" s="64"/>
      <c r="Z170" s="64"/>
      <c r="AA170" s="64"/>
      <c r="AB170" s="71"/>
      <c r="AC170" s="72"/>
      <c r="AD170" s="72"/>
      <c r="AE170" s="72"/>
      <c r="AF170" s="72"/>
      <c r="AG170" s="72"/>
      <c r="AH170" s="73"/>
    </row>
    <row r="171" spans="1:34">
      <c r="A171" s="40">
        <v>1808</v>
      </c>
      <c r="B171" s="64">
        <v>0.13100000000000001</v>
      </c>
      <c r="C171" s="65">
        <v>8.5999999999999993E-2</v>
      </c>
      <c r="D171" s="64">
        <v>8.3000000000000004E-2</v>
      </c>
      <c r="E171" s="65">
        <v>8.2000000000000003E-2</v>
      </c>
      <c r="F171" s="64">
        <v>0.08</v>
      </c>
      <c r="G171" s="65">
        <v>7.9000000000000001E-2</v>
      </c>
      <c r="H171" s="64">
        <v>7.5999999999999998E-2</v>
      </c>
      <c r="I171" s="64">
        <v>7.3999999999999996E-2</v>
      </c>
      <c r="J171" s="64">
        <v>7.2999999999999995E-2</v>
      </c>
      <c r="K171" s="64">
        <v>7.0999999999999994E-2</v>
      </c>
      <c r="L171" s="64">
        <v>6.9000000000000006E-2</v>
      </c>
      <c r="M171" s="64">
        <v>6.7000000000000004E-2</v>
      </c>
      <c r="N171" s="66">
        <v>6.5000000000000002E-2</v>
      </c>
      <c r="O171" s="66">
        <v>6.4000000000000001E-2</v>
      </c>
      <c r="P171" s="67"/>
      <c r="R171" s="73">
        <v>9.1999999999999993</v>
      </c>
      <c r="S171" s="40"/>
      <c r="T171" s="40"/>
      <c r="U171" s="69"/>
      <c r="V171" s="70"/>
      <c r="W171" s="64"/>
      <c r="X171" s="70"/>
      <c r="Y171" s="64"/>
      <c r="Z171" s="64"/>
      <c r="AA171" s="64"/>
      <c r="AB171" s="71"/>
      <c r="AC171" s="72"/>
      <c r="AD171" s="72"/>
      <c r="AE171" s="72"/>
      <c r="AF171" s="72"/>
      <c r="AG171" s="72"/>
      <c r="AH171" s="73"/>
    </row>
    <row r="172" spans="1:34">
      <c r="A172" s="40">
        <v>1809</v>
      </c>
      <c r="B172" s="64">
        <v>0.128</v>
      </c>
      <c r="C172" s="65">
        <v>8.4000000000000005E-2</v>
      </c>
      <c r="D172" s="64">
        <v>8.2000000000000003E-2</v>
      </c>
      <c r="E172" s="65">
        <v>0.08</v>
      </c>
      <c r="F172" s="64">
        <v>7.9000000000000001E-2</v>
      </c>
      <c r="G172" s="65">
        <v>7.6999999999999999E-2</v>
      </c>
      <c r="H172" s="64">
        <v>7.3999999999999996E-2</v>
      </c>
      <c r="I172" s="64">
        <v>7.1999999999999995E-2</v>
      </c>
      <c r="J172" s="64">
        <v>7.0999999999999994E-2</v>
      </c>
      <c r="K172" s="64">
        <v>7.0000000000000007E-2</v>
      </c>
      <c r="L172" s="64">
        <v>6.8000000000000005E-2</v>
      </c>
      <c r="M172" s="64">
        <v>6.6000000000000003E-2</v>
      </c>
      <c r="N172" s="66">
        <v>6.3E-2</v>
      </c>
      <c r="O172" s="66">
        <v>6.2E-2</v>
      </c>
      <c r="P172" s="67"/>
      <c r="R172" s="73">
        <v>-2.2999999999999998</v>
      </c>
      <c r="S172" s="40"/>
      <c r="T172" s="40"/>
      <c r="U172" s="69"/>
      <c r="V172" s="70"/>
      <c r="W172" s="64"/>
      <c r="X172" s="70"/>
      <c r="Y172" s="64"/>
      <c r="Z172" s="64"/>
      <c r="AA172" s="64"/>
      <c r="AB172" s="71"/>
      <c r="AC172" s="72"/>
      <c r="AD172" s="72"/>
      <c r="AE172" s="72"/>
      <c r="AF172" s="72"/>
      <c r="AG172" s="72"/>
      <c r="AH172" s="73"/>
    </row>
    <row r="173" spans="1:34">
      <c r="A173" s="40">
        <v>1810</v>
      </c>
      <c r="B173" s="64">
        <v>0.128</v>
      </c>
      <c r="C173" s="65">
        <v>8.4000000000000005E-2</v>
      </c>
      <c r="D173" s="64">
        <v>8.2000000000000003E-2</v>
      </c>
      <c r="E173" s="65">
        <v>0.08</v>
      </c>
      <c r="F173" s="64">
        <v>7.9000000000000001E-2</v>
      </c>
      <c r="G173" s="65">
        <v>7.6999999999999999E-2</v>
      </c>
      <c r="H173" s="64">
        <v>7.3999999999999996E-2</v>
      </c>
      <c r="I173" s="64">
        <v>7.1999999999999995E-2</v>
      </c>
      <c r="J173" s="64">
        <v>7.0999999999999994E-2</v>
      </c>
      <c r="K173" s="64">
        <v>7.0000000000000007E-2</v>
      </c>
      <c r="L173" s="64">
        <v>6.8000000000000005E-2</v>
      </c>
      <c r="M173" s="64">
        <v>6.6000000000000003E-2</v>
      </c>
      <c r="N173" s="66">
        <v>6.3E-2</v>
      </c>
      <c r="O173" s="66">
        <v>6.2E-2</v>
      </c>
      <c r="P173" s="67"/>
      <c r="R173" s="73">
        <v>0</v>
      </c>
      <c r="S173" s="40"/>
      <c r="T173" s="40"/>
      <c r="U173" s="69"/>
      <c r="V173" s="70"/>
      <c r="W173" s="64"/>
      <c r="X173" s="70"/>
      <c r="Y173" s="64"/>
      <c r="Z173" s="64"/>
      <c r="AA173" s="64"/>
      <c r="AB173" s="71"/>
      <c r="AC173" s="72"/>
      <c r="AD173" s="72"/>
      <c r="AE173" s="72"/>
      <c r="AF173" s="72"/>
      <c r="AG173" s="72"/>
      <c r="AH173" s="73"/>
    </row>
    <row r="174" spans="1:34">
      <c r="A174" s="40">
        <v>1811</v>
      </c>
      <c r="B174" s="64">
        <v>0.13700000000000001</v>
      </c>
      <c r="C174" s="65">
        <v>0.09</v>
      </c>
      <c r="D174" s="64">
        <v>8.6999999999999994E-2</v>
      </c>
      <c r="E174" s="65">
        <v>8.5000000000000006E-2</v>
      </c>
      <c r="F174" s="64">
        <v>8.4000000000000005E-2</v>
      </c>
      <c r="G174" s="65">
        <v>8.2000000000000003E-2</v>
      </c>
      <c r="H174" s="64">
        <v>0.08</v>
      </c>
      <c r="I174" s="64">
        <v>7.6999999999999999E-2</v>
      </c>
      <c r="J174" s="64">
        <v>7.5999999999999998E-2</v>
      </c>
      <c r="K174" s="64">
        <v>7.3999999999999996E-2</v>
      </c>
      <c r="L174" s="64">
        <v>7.2999999999999995E-2</v>
      </c>
      <c r="M174" s="64">
        <v>7.0000000000000007E-2</v>
      </c>
      <c r="N174" s="66">
        <v>6.8000000000000005E-2</v>
      </c>
      <c r="O174" s="66">
        <v>6.7000000000000004E-2</v>
      </c>
      <c r="P174" s="67"/>
      <c r="R174" s="73">
        <v>7</v>
      </c>
      <c r="S174" s="40"/>
      <c r="T174" s="40"/>
      <c r="U174" s="69"/>
      <c r="V174" s="70"/>
      <c r="W174" s="64"/>
      <c r="X174" s="70"/>
      <c r="Y174" s="64"/>
      <c r="Z174" s="64"/>
      <c r="AA174" s="64"/>
      <c r="AB174" s="71"/>
      <c r="AC174" s="72"/>
      <c r="AD174" s="72"/>
      <c r="AE174" s="72"/>
      <c r="AF174" s="72"/>
      <c r="AG174" s="72"/>
      <c r="AH174" s="73"/>
    </row>
    <row r="175" spans="1:34">
      <c r="A175" s="40">
        <v>1812</v>
      </c>
      <c r="B175" s="64">
        <v>0.13900000000000001</v>
      </c>
      <c r="C175" s="65">
        <v>9.0999999999999998E-2</v>
      </c>
      <c r="D175" s="64">
        <v>8.8999999999999996E-2</v>
      </c>
      <c r="E175" s="65">
        <v>8.6999999999999994E-2</v>
      </c>
      <c r="F175" s="64">
        <v>8.5000000000000006E-2</v>
      </c>
      <c r="G175" s="65">
        <v>8.3000000000000004E-2</v>
      </c>
      <c r="H175" s="64">
        <v>8.1000000000000003E-2</v>
      </c>
      <c r="I175" s="64">
        <v>7.8E-2</v>
      </c>
      <c r="J175" s="64">
        <v>7.6999999999999999E-2</v>
      </c>
      <c r="K175" s="64">
        <v>7.5999999999999998E-2</v>
      </c>
      <c r="L175" s="64">
        <v>7.3999999999999996E-2</v>
      </c>
      <c r="M175" s="64">
        <v>7.0999999999999994E-2</v>
      </c>
      <c r="N175" s="66">
        <v>6.9000000000000006E-2</v>
      </c>
      <c r="O175" s="66">
        <v>6.8000000000000005E-2</v>
      </c>
      <c r="P175" s="67"/>
      <c r="R175" s="73">
        <v>1.5</v>
      </c>
      <c r="S175" s="40"/>
      <c r="T175" s="40"/>
      <c r="U175" s="69"/>
      <c r="V175" s="70"/>
      <c r="W175" s="64"/>
      <c r="X175" s="70"/>
      <c r="Y175" s="64"/>
      <c r="Z175" s="64"/>
      <c r="AA175" s="64"/>
      <c r="AB175" s="71"/>
      <c r="AC175" s="72"/>
      <c r="AD175" s="72"/>
      <c r="AE175" s="72"/>
      <c r="AF175" s="72"/>
      <c r="AG175" s="72"/>
      <c r="AH175" s="73"/>
    </row>
    <row r="176" spans="1:34">
      <c r="A176" s="40">
        <v>1813</v>
      </c>
      <c r="B176" s="64">
        <v>0.16600000000000001</v>
      </c>
      <c r="C176" s="65">
        <v>0.109</v>
      </c>
      <c r="D176" s="64">
        <v>0.106</v>
      </c>
      <c r="E176" s="65">
        <v>0.10299999999999999</v>
      </c>
      <c r="F176" s="64">
        <v>0.10199999999999999</v>
      </c>
      <c r="G176" s="65">
        <v>0.1</v>
      </c>
      <c r="H176" s="64">
        <v>9.6000000000000002E-2</v>
      </c>
      <c r="I176" s="64">
        <v>9.4E-2</v>
      </c>
      <c r="J176" s="64">
        <v>9.1999999999999998E-2</v>
      </c>
      <c r="K176" s="64">
        <v>0.09</v>
      </c>
      <c r="L176" s="64">
        <v>8.7999999999999995E-2</v>
      </c>
      <c r="M176" s="64">
        <v>8.5000000000000006E-2</v>
      </c>
      <c r="N176" s="66">
        <v>8.2000000000000003E-2</v>
      </c>
      <c r="O176" s="66">
        <v>8.1000000000000003E-2</v>
      </c>
      <c r="P176" s="67"/>
      <c r="R176" s="73">
        <v>19.399999999999999</v>
      </c>
      <c r="S176" s="40"/>
      <c r="T176" s="40"/>
      <c r="U176" s="69"/>
      <c r="V176" s="70"/>
      <c r="W176" s="64"/>
      <c r="X176" s="70"/>
      <c r="Y176" s="64"/>
      <c r="Z176" s="64"/>
      <c r="AA176" s="64"/>
      <c r="AB176" s="71"/>
      <c r="AC176" s="72"/>
      <c r="AD176" s="72"/>
      <c r="AE176" s="72"/>
      <c r="AF176" s="72"/>
      <c r="AG176" s="72"/>
      <c r="AH176" s="73"/>
    </row>
    <row r="177" spans="1:34">
      <c r="A177" s="40">
        <v>1814</v>
      </c>
      <c r="B177" s="64">
        <v>0.183</v>
      </c>
      <c r="C177" s="65">
        <v>0.12</v>
      </c>
      <c r="D177" s="64">
        <v>0.11700000000000001</v>
      </c>
      <c r="E177" s="65">
        <v>0.114</v>
      </c>
      <c r="F177" s="64">
        <v>0.112</v>
      </c>
      <c r="G177" s="65">
        <v>0.11</v>
      </c>
      <c r="H177" s="64">
        <v>0.106</v>
      </c>
      <c r="I177" s="64">
        <v>0.10299999999999999</v>
      </c>
      <c r="J177" s="64">
        <v>0.10199999999999999</v>
      </c>
      <c r="K177" s="64">
        <v>9.9000000000000005E-2</v>
      </c>
      <c r="L177" s="64">
        <v>9.7000000000000003E-2</v>
      </c>
      <c r="M177" s="64">
        <v>9.4E-2</v>
      </c>
      <c r="N177" s="66">
        <v>9.0999999999999998E-2</v>
      </c>
      <c r="O177" s="66">
        <v>8.8999999999999996E-2</v>
      </c>
      <c r="P177" s="67"/>
      <c r="R177" s="73">
        <v>10.199999999999999</v>
      </c>
      <c r="S177" s="40"/>
      <c r="T177" s="40"/>
      <c r="U177" s="69"/>
      <c r="V177" s="70"/>
      <c r="W177" s="64"/>
      <c r="X177" s="70"/>
      <c r="Y177" s="64"/>
      <c r="Z177" s="64"/>
      <c r="AA177" s="64"/>
      <c r="AB177" s="71"/>
      <c r="AC177" s="72"/>
      <c r="AD177" s="72"/>
      <c r="AE177" s="72"/>
      <c r="AF177" s="72"/>
      <c r="AG177" s="72"/>
      <c r="AH177" s="73"/>
    </row>
    <row r="178" spans="1:34">
      <c r="A178" s="40">
        <v>1815</v>
      </c>
      <c r="B178" s="64">
        <v>0.16</v>
      </c>
      <c r="C178" s="65">
        <v>0.105</v>
      </c>
      <c r="D178" s="64">
        <v>0.10199999999999999</v>
      </c>
      <c r="E178" s="65">
        <v>0.1</v>
      </c>
      <c r="F178" s="64">
        <v>9.8000000000000004E-2</v>
      </c>
      <c r="G178" s="65">
        <v>9.6000000000000002E-2</v>
      </c>
      <c r="H178" s="64">
        <v>9.2999999999999999E-2</v>
      </c>
      <c r="I178" s="64">
        <v>0.09</v>
      </c>
      <c r="J178" s="64">
        <v>8.8999999999999996E-2</v>
      </c>
      <c r="K178" s="64">
        <v>8.6999999999999994E-2</v>
      </c>
      <c r="L178" s="64">
        <v>8.5000000000000006E-2</v>
      </c>
      <c r="M178" s="64">
        <v>8.2000000000000003E-2</v>
      </c>
      <c r="N178" s="66">
        <v>7.9000000000000001E-2</v>
      </c>
      <c r="O178" s="66">
        <v>7.8E-2</v>
      </c>
      <c r="P178" s="67"/>
      <c r="R178" s="73">
        <v>-12.6</v>
      </c>
      <c r="S178" s="40"/>
      <c r="T178" s="40"/>
      <c r="U178" s="69"/>
      <c r="V178" s="70"/>
      <c r="W178" s="64"/>
      <c r="X178" s="70"/>
      <c r="Y178" s="64"/>
      <c r="Z178" s="64"/>
      <c r="AA178" s="64"/>
      <c r="AB178" s="71"/>
      <c r="AC178" s="72"/>
      <c r="AD178" s="72"/>
      <c r="AE178" s="72"/>
      <c r="AF178" s="72"/>
      <c r="AG178" s="72"/>
      <c r="AH178" s="73"/>
    </row>
    <row r="179" spans="1:34">
      <c r="A179" s="40">
        <v>1816</v>
      </c>
      <c r="B179" s="64">
        <v>0.14599999999999999</v>
      </c>
      <c r="C179" s="65">
        <v>9.6000000000000002E-2</v>
      </c>
      <c r="D179" s="64">
        <v>9.2999999999999999E-2</v>
      </c>
      <c r="E179" s="65">
        <v>9.0999999999999998E-2</v>
      </c>
      <c r="F179" s="64">
        <v>0.09</v>
      </c>
      <c r="G179" s="65">
        <v>8.7999999999999995E-2</v>
      </c>
      <c r="H179" s="64">
        <v>8.5000000000000006E-2</v>
      </c>
      <c r="I179" s="64">
        <v>8.2000000000000003E-2</v>
      </c>
      <c r="J179" s="64">
        <v>8.1000000000000003E-2</v>
      </c>
      <c r="K179" s="64">
        <v>7.9000000000000001E-2</v>
      </c>
      <c r="L179" s="64">
        <v>7.6999999999999999E-2</v>
      </c>
      <c r="M179" s="64">
        <v>7.4999999999999997E-2</v>
      </c>
      <c r="N179" s="66">
        <v>7.1999999999999995E-2</v>
      </c>
      <c r="O179" s="66">
        <v>7.0999999999999994E-2</v>
      </c>
      <c r="P179" s="67"/>
      <c r="R179" s="73">
        <v>-8.8000000000000007</v>
      </c>
      <c r="S179" s="40"/>
      <c r="T179" s="40"/>
      <c r="U179" s="69"/>
      <c r="V179" s="70"/>
      <c r="W179" s="64"/>
      <c r="X179" s="70"/>
      <c r="Y179" s="64"/>
      <c r="Z179" s="64"/>
      <c r="AA179" s="64"/>
      <c r="AB179" s="71"/>
      <c r="AC179" s="72"/>
      <c r="AD179" s="72"/>
      <c r="AE179" s="72"/>
      <c r="AF179" s="72"/>
      <c r="AG179" s="72"/>
      <c r="AH179" s="73"/>
    </row>
    <row r="180" spans="1:34">
      <c r="A180" s="40">
        <v>1817</v>
      </c>
      <c r="B180" s="64">
        <v>0.13900000000000001</v>
      </c>
      <c r="C180" s="65">
        <v>9.0999999999999998E-2</v>
      </c>
      <c r="D180" s="64">
        <v>8.8999999999999996E-2</v>
      </c>
      <c r="E180" s="65">
        <v>8.6999999999999994E-2</v>
      </c>
      <c r="F180" s="64">
        <v>8.5000000000000006E-2</v>
      </c>
      <c r="G180" s="65">
        <v>8.3000000000000004E-2</v>
      </c>
      <c r="H180" s="64">
        <v>8.1000000000000003E-2</v>
      </c>
      <c r="I180" s="64">
        <v>7.8E-2</v>
      </c>
      <c r="J180" s="64">
        <v>7.6999999999999999E-2</v>
      </c>
      <c r="K180" s="64">
        <v>7.5999999999999998E-2</v>
      </c>
      <c r="L180" s="64">
        <v>7.3999999999999996E-2</v>
      </c>
      <c r="M180" s="64">
        <v>7.0999999999999994E-2</v>
      </c>
      <c r="N180" s="66">
        <v>6.9000000000000006E-2</v>
      </c>
      <c r="O180" s="66">
        <v>6.8000000000000005E-2</v>
      </c>
      <c r="P180" s="67"/>
      <c r="R180" s="73">
        <v>-4.8</v>
      </c>
      <c r="S180" s="40"/>
      <c r="T180" s="40"/>
      <c r="U180" s="69"/>
      <c r="V180" s="70"/>
      <c r="W180" s="64"/>
      <c r="X180" s="70"/>
      <c r="Y180" s="64"/>
      <c r="Z180" s="64"/>
      <c r="AA180" s="64"/>
      <c r="AB180" s="71"/>
      <c r="AC180" s="72"/>
      <c r="AD180" s="72"/>
      <c r="AE180" s="72"/>
      <c r="AF180" s="72"/>
      <c r="AG180" s="72"/>
      <c r="AH180" s="73"/>
    </row>
    <row r="181" spans="1:34">
      <c r="A181" s="40">
        <v>1818</v>
      </c>
      <c r="B181" s="64">
        <v>0.13300000000000001</v>
      </c>
      <c r="C181" s="65">
        <v>8.6999999999999994E-2</v>
      </c>
      <c r="D181" s="64">
        <v>8.5000000000000006E-2</v>
      </c>
      <c r="E181" s="65">
        <v>8.3000000000000004E-2</v>
      </c>
      <c r="F181" s="64">
        <v>8.2000000000000003E-2</v>
      </c>
      <c r="G181" s="65">
        <v>0.08</v>
      </c>
      <c r="H181" s="64">
        <v>7.6999999999999999E-2</v>
      </c>
      <c r="I181" s="64">
        <v>7.4999999999999997E-2</v>
      </c>
      <c r="J181" s="64">
        <v>7.3999999999999996E-2</v>
      </c>
      <c r="K181" s="64">
        <v>7.1999999999999995E-2</v>
      </c>
      <c r="L181" s="64">
        <v>7.0000000000000007E-2</v>
      </c>
      <c r="M181" s="64">
        <v>6.8000000000000005E-2</v>
      </c>
      <c r="N181" s="66">
        <v>6.6000000000000003E-2</v>
      </c>
      <c r="O181" s="66">
        <v>6.5000000000000002E-2</v>
      </c>
      <c r="P181" s="67"/>
      <c r="R181" s="73">
        <v>-4.3</v>
      </c>
      <c r="S181" s="40"/>
      <c r="T181" s="40"/>
      <c r="U181" s="69"/>
      <c r="V181" s="70"/>
      <c r="W181" s="64"/>
      <c r="X181" s="70"/>
      <c r="Y181" s="64"/>
      <c r="Z181" s="64"/>
      <c r="AA181" s="64"/>
      <c r="AB181" s="71"/>
      <c r="AC181" s="72"/>
      <c r="AD181" s="72"/>
      <c r="AE181" s="72"/>
      <c r="AF181" s="72"/>
      <c r="AG181" s="72"/>
      <c r="AH181" s="73"/>
    </row>
    <row r="182" spans="1:34">
      <c r="A182" s="40">
        <v>1819</v>
      </c>
      <c r="B182" s="64">
        <v>0.13300000000000001</v>
      </c>
      <c r="C182" s="65">
        <v>8.6999999999999994E-2</v>
      </c>
      <c r="D182" s="64">
        <v>8.5000000000000006E-2</v>
      </c>
      <c r="E182" s="65">
        <v>8.3000000000000004E-2</v>
      </c>
      <c r="F182" s="64">
        <v>8.2000000000000003E-2</v>
      </c>
      <c r="G182" s="65">
        <v>0.08</v>
      </c>
      <c r="H182" s="64">
        <v>7.6999999999999999E-2</v>
      </c>
      <c r="I182" s="64">
        <v>7.4999999999999997E-2</v>
      </c>
      <c r="J182" s="64">
        <v>7.3999999999999996E-2</v>
      </c>
      <c r="K182" s="64">
        <v>7.1999999999999995E-2</v>
      </c>
      <c r="L182" s="64">
        <v>7.0000000000000007E-2</v>
      </c>
      <c r="M182" s="64">
        <v>6.8000000000000005E-2</v>
      </c>
      <c r="N182" s="66">
        <v>6.6000000000000003E-2</v>
      </c>
      <c r="O182" s="66">
        <v>6.5000000000000002E-2</v>
      </c>
      <c r="P182" s="67"/>
      <c r="R182" s="73">
        <v>0</v>
      </c>
      <c r="S182" s="40"/>
      <c r="T182" s="40"/>
      <c r="U182" s="69"/>
      <c r="V182" s="70"/>
      <c r="W182" s="64"/>
      <c r="X182" s="70"/>
      <c r="Y182" s="64"/>
      <c r="Z182" s="64"/>
      <c r="AA182" s="64"/>
      <c r="AB182" s="71"/>
      <c r="AC182" s="72"/>
      <c r="AD182" s="72"/>
      <c r="AE182" s="72"/>
      <c r="AF182" s="72"/>
      <c r="AG182" s="72"/>
      <c r="AH182" s="73"/>
    </row>
    <row r="183" spans="1:34">
      <c r="A183" s="40">
        <v>1820</v>
      </c>
      <c r="B183" s="64">
        <v>0.122</v>
      </c>
      <c r="C183" s="65">
        <v>0.08</v>
      </c>
      <c r="D183" s="64">
        <v>7.8E-2</v>
      </c>
      <c r="E183" s="65">
        <v>7.5999999999999998E-2</v>
      </c>
      <c r="F183" s="64">
        <v>7.4999999999999997E-2</v>
      </c>
      <c r="G183" s="65">
        <v>7.2999999999999995E-2</v>
      </c>
      <c r="H183" s="64">
        <v>7.0999999999999994E-2</v>
      </c>
      <c r="I183" s="64">
        <v>6.9000000000000006E-2</v>
      </c>
      <c r="J183" s="64">
        <v>6.8000000000000005E-2</v>
      </c>
      <c r="K183" s="64">
        <v>6.6000000000000003E-2</v>
      </c>
      <c r="L183" s="64">
        <v>6.5000000000000002E-2</v>
      </c>
      <c r="M183" s="64">
        <v>6.2E-2</v>
      </c>
      <c r="N183" s="66">
        <v>6.0999999999999999E-2</v>
      </c>
      <c r="O183" s="66">
        <v>5.8999999999999997E-2</v>
      </c>
      <c r="P183" s="67"/>
      <c r="R183" s="73">
        <v>-8.3000000000000007</v>
      </c>
      <c r="S183" s="40"/>
      <c r="T183" s="40"/>
      <c r="U183" s="69"/>
      <c r="V183" s="70"/>
      <c r="W183" s="64"/>
      <c r="X183" s="70"/>
      <c r="Y183" s="64"/>
      <c r="Z183" s="64"/>
      <c r="AA183" s="64"/>
      <c r="AB183" s="71"/>
      <c r="AC183" s="72"/>
      <c r="AD183" s="72"/>
      <c r="AE183" s="72"/>
      <c r="AF183" s="72"/>
      <c r="AG183" s="72"/>
      <c r="AH183" s="73"/>
    </row>
    <row r="184" spans="1:34">
      <c r="A184" s="40">
        <v>1821</v>
      </c>
      <c r="B184" s="64">
        <v>0.11799999999999999</v>
      </c>
      <c r="C184" s="65">
        <v>7.6999999999999999E-2</v>
      </c>
      <c r="D184" s="64">
        <v>7.4999999999999997E-2</v>
      </c>
      <c r="E184" s="65">
        <v>7.3999999999999996E-2</v>
      </c>
      <c r="F184" s="64">
        <v>7.1999999999999995E-2</v>
      </c>
      <c r="G184" s="65">
        <v>7.0999999999999994E-2</v>
      </c>
      <c r="H184" s="64">
        <v>6.9000000000000006E-2</v>
      </c>
      <c r="I184" s="64">
        <v>6.7000000000000004E-2</v>
      </c>
      <c r="J184" s="64">
        <v>6.6000000000000003E-2</v>
      </c>
      <c r="K184" s="64">
        <v>6.4000000000000001E-2</v>
      </c>
      <c r="L184" s="64">
        <v>6.2E-2</v>
      </c>
      <c r="M184" s="64">
        <v>0.06</v>
      </c>
      <c r="N184" s="66">
        <v>5.8999999999999997E-2</v>
      </c>
      <c r="O184" s="66">
        <v>5.7000000000000002E-2</v>
      </c>
      <c r="P184" s="67"/>
      <c r="R184" s="73">
        <v>-3.3</v>
      </c>
      <c r="S184" s="40"/>
      <c r="T184" s="40"/>
      <c r="U184" s="69"/>
      <c r="V184" s="70"/>
      <c r="W184" s="64"/>
      <c r="X184" s="70"/>
      <c r="Y184" s="64"/>
      <c r="Z184" s="64"/>
      <c r="AA184" s="64"/>
      <c r="AB184" s="71"/>
      <c r="AC184" s="72"/>
      <c r="AD184" s="72"/>
      <c r="AE184" s="72"/>
      <c r="AF184" s="72"/>
      <c r="AG184" s="72"/>
      <c r="AH184" s="73"/>
    </row>
    <row r="185" spans="1:34">
      <c r="A185" s="40">
        <v>1822</v>
      </c>
      <c r="B185" s="64">
        <v>0.122</v>
      </c>
      <c r="C185" s="65">
        <v>0.08</v>
      </c>
      <c r="D185" s="64">
        <v>7.8E-2</v>
      </c>
      <c r="E185" s="65">
        <v>7.5999999999999998E-2</v>
      </c>
      <c r="F185" s="64">
        <v>7.4999999999999997E-2</v>
      </c>
      <c r="G185" s="65">
        <v>7.2999999999999995E-2</v>
      </c>
      <c r="H185" s="64">
        <v>7.0999999999999994E-2</v>
      </c>
      <c r="I185" s="64">
        <v>6.9000000000000006E-2</v>
      </c>
      <c r="J185" s="64">
        <v>6.8000000000000005E-2</v>
      </c>
      <c r="K185" s="64">
        <v>6.6000000000000003E-2</v>
      </c>
      <c r="L185" s="64">
        <v>6.5000000000000002E-2</v>
      </c>
      <c r="M185" s="64">
        <v>6.2E-2</v>
      </c>
      <c r="N185" s="66">
        <v>6.0999999999999999E-2</v>
      </c>
      <c r="O185" s="66">
        <v>5.8999999999999997E-2</v>
      </c>
      <c r="P185" s="67"/>
      <c r="R185" s="73">
        <v>3.4</v>
      </c>
      <c r="S185" s="40"/>
      <c r="T185" s="40"/>
      <c r="U185" s="69"/>
      <c r="V185" s="70"/>
      <c r="W185" s="64"/>
      <c r="X185" s="70"/>
      <c r="Y185" s="64"/>
      <c r="Z185" s="64"/>
      <c r="AA185" s="64"/>
      <c r="AB185" s="71"/>
      <c r="AC185" s="72"/>
      <c r="AD185" s="72"/>
      <c r="AE185" s="72"/>
      <c r="AF185" s="72"/>
      <c r="AG185" s="72"/>
      <c r="AH185" s="73"/>
    </row>
    <row r="186" spans="1:34">
      <c r="A186" s="40">
        <v>1823</v>
      </c>
      <c r="B186" s="64">
        <v>0.109</v>
      </c>
      <c r="C186" s="65">
        <v>7.1999999999999995E-2</v>
      </c>
      <c r="D186" s="64">
        <v>6.9000000000000006E-2</v>
      </c>
      <c r="E186" s="65">
        <v>6.8000000000000005E-2</v>
      </c>
      <c r="F186" s="64">
        <v>6.7000000000000004E-2</v>
      </c>
      <c r="G186" s="65">
        <v>6.5000000000000002E-2</v>
      </c>
      <c r="H186" s="64">
        <v>6.3E-2</v>
      </c>
      <c r="I186" s="64">
        <v>6.2E-2</v>
      </c>
      <c r="J186" s="64">
        <v>6.0999999999999999E-2</v>
      </c>
      <c r="K186" s="64">
        <v>5.8999999999999997E-2</v>
      </c>
      <c r="L186" s="64">
        <v>5.8000000000000003E-2</v>
      </c>
      <c r="M186" s="64">
        <v>5.6000000000000001E-2</v>
      </c>
      <c r="N186" s="66">
        <v>5.3999999999999999E-2</v>
      </c>
      <c r="O186" s="66">
        <v>5.2999999999999999E-2</v>
      </c>
      <c r="P186" s="67"/>
      <c r="R186" s="73">
        <v>-10.7</v>
      </c>
      <c r="S186" s="40"/>
      <c r="T186" s="40"/>
      <c r="U186" s="69"/>
      <c r="V186" s="70"/>
      <c r="W186" s="64"/>
      <c r="X186" s="70"/>
      <c r="Y186" s="64"/>
      <c r="Z186" s="64"/>
      <c r="AA186" s="64"/>
      <c r="AB186" s="71"/>
      <c r="AC186" s="72"/>
      <c r="AD186" s="72"/>
      <c r="AE186" s="72"/>
      <c r="AF186" s="72"/>
      <c r="AG186" s="72"/>
      <c r="AH186" s="73"/>
    </row>
    <row r="187" spans="1:34">
      <c r="A187" s="40">
        <v>1824</v>
      </c>
      <c r="B187" s="64">
        <v>0.10100000000000001</v>
      </c>
      <c r="C187" s="65">
        <v>6.6000000000000003E-2</v>
      </c>
      <c r="D187" s="64">
        <v>6.4000000000000001E-2</v>
      </c>
      <c r="E187" s="65">
        <v>6.3E-2</v>
      </c>
      <c r="F187" s="64">
        <v>6.2E-2</v>
      </c>
      <c r="G187" s="65">
        <v>6.0999999999999999E-2</v>
      </c>
      <c r="H187" s="64">
        <v>5.8999999999999997E-2</v>
      </c>
      <c r="I187" s="64">
        <v>5.7000000000000002E-2</v>
      </c>
      <c r="J187" s="64">
        <v>5.6000000000000001E-2</v>
      </c>
      <c r="K187" s="64">
        <v>5.5E-2</v>
      </c>
      <c r="L187" s="64">
        <v>5.2999999999999999E-2</v>
      </c>
      <c r="M187" s="64">
        <v>5.1999999999999998E-2</v>
      </c>
      <c r="N187" s="66">
        <v>0.05</v>
      </c>
      <c r="O187" s="66">
        <v>4.9000000000000002E-2</v>
      </c>
      <c r="P187" s="67"/>
      <c r="R187" s="73">
        <v>-7.3</v>
      </c>
      <c r="S187" s="40"/>
      <c r="T187" s="40"/>
      <c r="U187" s="69"/>
      <c r="V187" s="70"/>
      <c r="W187" s="64"/>
      <c r="X187" s="70"/>
      <c r="Y187" s="64"/>
      <c r="Z187" s="64"/>
      <c r="AA187" s="64"/>
      <c r="AB187" s="71"/>
      <c r="AC187" s="72"/>
      <c r="AD187" s="72"/>
      <c r="AE187" s="72"/>
      <c r="AF187" s="72"/>
      <c r="AG187" s="72"/>
      <c r="AH187" s="73"/>
    </row>
    <row r="188" spans="1:34">
      <c r="A188" s="40">
        <v>1825</v>
      </c>
      <c r="B188" s="64">
        <v>0.10299999999999999</v>
      </c>
      <c r="C188" s="65">
        <v>6.8000000000000005E-2</v>
      </c>
      <c r="D188" s="64">
        <v>6.6000000000000003E-2</v>
      </c>
      <c r="E188" s="65">
        <v>6.4000000000000001E-2</v>
      </c>
      <c r="F188" s="64">
        <v>6.3E-2</v>
      </c>
      <c r="G188" s="65">
        <v>6.2E-2</v>
      </c>
      <c r="H188" s="64">
        <v>0.06</v>
      </c>
      <c r="I188" s="64">
        <v>5.8000000000000003E-2</v>
      </c>
      <c r="J188" s="64">
        <v>5.7000000000000002E-2</v>
      </c>
      <c r="K188" s="64">
        <v>5.6000000000000001E-2</v>
      </c>
      <c r="L188" s="64">
        <v>5.5E-2</v>
      </c>
      <c r="M188" s="64">
        <v>5.2999999999999999E-2</v>
      </c>
      <c r="N188" s="66">
        <v>5.0999999999999997E-2</v>
      </c>
      <c r="O188" s="66">
        <v>0.05</v>
      </c>
      <c r="P188" s="67"/>
      <c r="R188" s="73">
        <v>2</v>
      </c>
      <c r="S188" s="40"/>
      <c r="T188" s="40"/>
      <c r="U188" s="69"/>
      <c r="V188" s="70"/>
      <c r="W188" s="64"/>
      <c r="X188" s="70"/>
      <c r="Y188" s="64"/>
      <c r="Z188" s="64"/>
      <c r="AA188" s="64"/>
      <c r="AB188" s="71"/>
      <c r="AC188" s="72"/>
      <c r="AD188" s="72"/>
      <c r="AE188" s="72"/>
      <c r="AF188" s="72"/>
      <c r="AG188" s="72"/>
      <c r="AH188" s="73"/>
    </row>
    <row r="189" spans="1:34">
      <c r="A189" s="40">
        <v>1826</v>
      </c>
      <c r="B189" s="64">
        <v>0.10299999999999999</v>
      </c>
      <c r="C189" s="65">
        <v>6.8000000000000005E-2</v>
      </c>
      <c r="D189" s="64">
        <v>6.6000000000000003E-2</v>
      </c>
      <c r="E189" s="65">
        <v>6.4000000000000001E-2</v>
      </c>
      <c r="F189" s="64">
        <v>6.3E-2</v>
      </c>
      <c r="G189" s="65">
        <v>6.2E-2</v>
      </c>
      <c r="H189" s="64">
        <v>0.06</v>
      </c>
      <c r="I189" s="64">
        <v>5.8000000000000003E-2</v>
      </c>
      <c r="J189" s="64">
        <v>5.7000000000000002E-2</v>
      </c>
      <c r="K189" s="64">
        <v>5.6000000000000001E-2</v>
      </c>
      <c r="L189" s="64">
        <v>5.5E-2</v>
      </c>
      <c r="M189" s="64">
        <v>5.2999999999999999E-2</v>
      </c>
      <c r="N189" s="66">
        <v>5.0999999999999997E-2</v>
      </c>
      <c r="O189" s="66">
        <v>0.05</v>
      </c>
      <c r="P189" s="67"/>
      <c r="R189" s="73">
        <v>0</v>
      </c>
      <c r="S189" s="40"/>
      <c r="T189" s="40"/>
      <c r="U189" s="69"/>
      <c r="V189" s="70"/>
      <c r="W189" s="64"/>
      <c r="X189" s="70"/>
      <c r="Y189" s="64"/>
      <c r="Z189" s="64"/>
      <c r="AA189" s="64"/>
      <c r="AB189" s="71"/>
      <c r="AC189" s="72"/>
      <c r="AD189" s="72"/>
      <c r="AE189" s="72"/>
      <c r="AF189" s="72"/>
      <c r="AG189" s="72"/>
      <c r="AH189" s="73"/>
    </row>
    <row r="190" spans="1:34">
      <c r="A190" s="40">
        <v>1827</v>
      </c>
      <c r="B190" s="64">
        <v>0.104</v>
      </c>
      <c r="C190" s="65">
        <v>6.8000000000000005E-2</v>
      </c>
      <c r="D190" s="64">
        <v>6.6000000000000003E-2</v>
      </c>
      <c r="E190" s="65">
        <v>6.5000000000000002E-2</v>
      </c>
      <c r="F190" s="64">
        <v>6.4000000000000001E-2</v>
      </c>
      <c r="G190" s="65">
        <v>6.2E-2</v>
      </c>
      <c r="H190" s="64">
        <v>0.06</v>
      </c>
      <c r="I190" s="64">
        <v>5.8999999999999997E-2</v>
      </c>
      <c r="J190" s="64">
        <v>5.8000000000000003E-2</v>
      </c>
      <c r="K190" s="64">
        <v>5.7000000000000002E-2</v>
      </c>
      <c r="L190" s="64">
        <v>5.5E-2</v>
      </c>
      <c r="M190" s="64">
        <v>5.2999999999999999E-2</v>
      </c>
      <c r="N190" s="66">
        <v>5.1999999999999998E-2</v>
      </c>
      <c r="O190" s="66">
        <v>5.0999999999999997E-2</v>
      </c>
      <c r="P190" s="67"/>
      <c r="R190" s="73">
        <v>1</v>
      </c>
      <c r="S190" s="40"/>
      <c r="T190" s="40"/>
      <c r="U190" s="69"/>
      <c r="V190" s="70"/>
      <c r="W190" s="64"/>
      <c r="X190" s="70"/>
      <c r="Y190" s="64"/>
      <c r="Z190" s="64"/>
      <c r="AA190" s="64"/>
      <c r="AB190" s="71"/>
      <c r="AC190" s="72"/>
      <c r="AD190" s="72"/>
      <c r="AE190" s="72"/>
      <c r="AF190" s="72"/>
      <c r="AG190" s="72"/>
      <c r="AH190" s="73"/>
    </row>
    <row r="191" spans="1:34">
      <c r="A191" s="40">
        <v>1828</v>
      </c>
      <c r="B191" s="64">
        <v>9.9000000000000005E-2</v>
      </c>
      <c r="C191" s="65">
        <v>6.5000000000000002E-2</v>
      </c>
      <c r="D191" s="64">
        <v>6.3E-2</v>
      </c>
      <c r="E191" s="65">
        <v>6.2E-2</v>
      </c>
      <c r="F191" s="64">
        <v>6.0999999999999999E-2</v>
      </c>
      <c r="G191" s="65">
        <v>5.8999999999999997E-2</v>
      </c>
      <c r="H191" s="64">
        <v>5.7000000000000002E-2</v>
      </c>
      <c r="I191" s="64">
        <v>5.6000000000000001E-2</v>
      </c>
      <c r="J191" s="64">
        <v>5.5E-2</v>
      </c>
      <c r="K191" s="64">
        <v>5.3999999999999999E-2</v>
      </c>
      <c r="L191" s="64">
        <v>5.1999999999999998E-2</v>
      </c>
      <c r="M191" s="64">
        <v>5.0999999999999997E-2</v>
      </c>
      <c r="N191" s="66">
        <v>4.9000000000000002E-2</v>
      </c>
      <c r="O191" s="66">
        <v>4.8000000000000001E-2</v>
      </c>
      <c r="P191" s="67"/>
      <c r="R191" s="73">
        <v>-4.8</v>
      </c>
      <c r="S191" s="40"/>
      <c r="T191" s="40"/>
      <c r="U191" s="69"/>
      <c r="V191" s="70"/>
      <c r="W191" s="64"/>
      <c r="X191" s="70"/>
      <c r="Y191" s="64"/>
      <c r="Z191" s="64"/>
      <c r="AA191" s="64"/>
      <c r="AB191" s="71"/>
      <c r="AC191" s="72"/>
      <c r="AD191" s="72"/>
      <c r="AE191" s="72"/>
      <c r="AF191" s="72"/>
      <c r="AG191" s="72"/>
      <c r="AH191" s="73"/>
    </row>
    <row r="192" spans="1:34">
      <c r="A192" s="40">
        <v>1829</v>
      </c>
      <c r="B192" s="64">
        <v>9.7000000000000003E-2</v>
      </c>
      <c r="C192" s="65">
        <v>6.4000000000000001E-2</v>
      </c>
      <c r="D192" s="64">
        <v>6.2E-2</v>
      </c>
      <c r="E192" s="65">
        <v>0.06</v>
      </c>
      <c r="F192" s="64">
        <v>0.06</v>
      </c>
      <c r="G192" s="65">
        <v>5.8000000000000003E-2</v>
      </c>
      <c r="H192" s="64">
        <v>5.6000000000000001E-2</v>
      </c>
      <c r="I192" s="64">
        <v>5.5E-2</v>
      </c>
      <c r="J192" s="64">
        <v>5.3999999999999999E-2</v>
      </c>
      <c r="K192" s="64">
        <v>5.2999999999999999E-2</v>
      </c>
      <c r="L192" s="64">
        <v>5.0999999999999997E-2</v>
      </c>
      <c r="M192" s="64">
        <v>0.05</v>
      </c>
      <c r="N192" s="66">
        <v>4.8000000000000001E-2</v>
      </c>
      <c r="O192" s="66">
        <v>4.7E-2</v>
      </c>
      <c r="P192" s="67"/>
      <c r="R192" s="73">
        <v>-2</v>
      </c>
      <c r="S192" s="40"/>
      <c r="T192" s="40"/>
      <c r="U192" s="69"/>
      <c r="V192" s="70"/>
      <c r="W192" s="64"/>
      <c r="X192" s="70"/>
      <c r="Y192" s="64"/>
      <c r="Z192" s="64"/>
      <c r="AA192" s="64"/>
      <c r="AB192" s="71"/>
      <c r="AC192" s="72"/>
      <c r="AD192" s="72"/>
      <c r="AE192" s="72"/>
      <c r="AF192" s="72"/>
      <c r="AG192" s="72"/>
      <c r="AH192" s="73"/>
    </row>
    <row r="193" spans="1:34">
      <c r="A193" s="40">
        <v>1830</v>
      </c>
      <c r="B193" s="64">
        <v>9.6000000000000002E-2</v>
      </c>
      <c r="C193" s="65">
        <v>6.3E-2</v>
      </c>
      <c r="D193" s="64">
        <v>6.0999999999999999E-2</v>
      </c>
      <c r="E193" s="65">
        <v>0.06</v>
      </c>
      <c r="F193" s="64">
        <v>5.8999999999999997E-2</v>
      </c>
      <c r="G193" s="65">
        <v>5.8000000000000003E-2</v>
      </c>
      <c r="H193" s="64">
        <v>5.6000000000000001E-2</v>
      </c>
      <c r="I193" s="64">
        <v>5.3999999999999999E-2</v>
      </c>
      <c r="J193" s="64">
        <v>5.2999999999999999E-2</v>
      </c>
      <c r="K193" s="64">
        <v>5.1999999999999998E-2</v>
      </c>
      <c r="L193" s="64">
        <v>5.0999999999999997E-2</v>
      </c>
      <c r="M193" s="64">
        <v>4.9000000000000002E-2</v>
      </c>
      <c r="N193" s="66">
        <v>4.8000000000000001E-2</v>
      </c>
      <c r="O193" s="66">
        <v>4.7E-2</v>
      </c>
      <c r="P193" s="67"/>
      <c r="R193" s="73">
        <v>-1</v>
      </c>
      <c r="S193" s="40"/>
      <c r="T193" s="40"/>
      <c r="U193" s="69"/>
      <c r="V193" s="70"/>
      <c r="W193" s="64"/>
      <c r="X193" s="70"/>
      <c r="Y193" s="64"/>
      <c r="Z193" s="64"/>
      <c r="AA193" s="64"/>
      <c r="AB193" s="71"/>
      <c r="AC193" s="72"/>
      <c r="AD193" s="72"/>
      <c r="AE193" s="72"/>
      <c r="AF193" s="72"/>
      <c r="AG193" s="72"/>
      <c r="AH193" s="73"/>
    </row>
    <row r="194" spans="1:34">
      <c r="A194" s="40">
        <v>1831</v>
      </c>
      <c r="B194" s="64">
        <v>0.09</v>
      </c>
      <c r="C194" s="65">
        <v>5.8999999999999997E-2</v>
      </c>
      <c r="D194" s="64">
        <v>5.7000000000000002E-2</v>
      </c>
      <c r="E194" s="65">
        <v>5.6000000000000001E-2</v>
      </c>
      <c r="F194" s="64">
        <v>5.5E-2</v>
      </c>
      <c r="G194" s="65">
        <v>5.3999999999999999E-2</v>
      </c>
      <c r="H194" s="64">
        <v>5.1999999999999998E-2</v>
      </c>
      <c r="I194" s="64">
        <v>5.0999999999999997E-2</v>
      </c>
      <c r="J194" s="64">
        <v>0.05</v>
      </c>
      <c r="K194" s="64">
        <v>4.9000000000000002E-2</v>
      </c>
      <c r="L194" s="64">
        <v>4.8000000000000001E-2</v>
      </c>
      <c r="M194" s="64">
        <v>4.5999999999999999E-2</v>
      </c>
      <c r="N194" s="66">
        <v>4.4999999999999998E-2</v>
      </c>
      <c r="O194" s="66">
        <v>4.3999999999999997E-2</v>
      </c>
      <c r="P194" s="67"/>
      <c r="R194" s="73">
        <v>-6.3</v>
      </c>
      <c r="S194" s="40"/>
      <c r="T194" s="40"/>
      <c r="U194" s="69"/>
      <c r="V194" s="70"/>
      <c r="W194" s="64"/>
      <c r="X194" s="70"/>
      <c r="Y194" s="64"/>
      <c r="Z194" s="64"/>
      <c r="AA194" s="64"/>
      <c r="AB194" s="71"/>
      <c r="AC194" s="72"/>
      <c r="AD194" s="72"/>
      <c r="AE194" s="72"/>
      <c r="AF194" s="72"/>
      <c r="AG194" s="72"/>
      <c r="AH194" s="73"/>
    </row>
    <row r="195" spans="1:34">
      <c r="A195" s="40">
        <v>1832</v>
      </c>
      <c r="B195" s="64">
        <v>8.8999999999999996E-2</v>
      </c>
      <c r="C195" s="65">
        <v>5.8000000000000003E-2</v>
      </c>
      <c r="D195" s="64">
        <v>5.7000000000000002E-2</v>
      </c>
      <c r="E195" s="65">
        <v>5.5E-2</v>
      </c>
      <c r="F195" s="64">
        <v>5.5E-2</v>
      </c>
      <c r="G195" s="65">
        <v>5.2999999999999999E-2</v>
      </c>
      <c r="H195" s="64">
        <v>5.1999999999999998E-2</v>
      </c>
      <c r="I195" s="64">
        <v>0.05</v>
      </c>
      <c r="J195" s="64">
        <v>4.9000000000000002E-2</v>
      </c>
      <c r="K195" s="64">
        <v>4.8000000000000001E-2</v>
      </c>
      <c r="L195" s="64">
        <v>4.7E-2</v>
      </c>
      <c r="M195" s="64">
        <v>4.5999999999999999E-2</v>
      </c>
      <c r="N195" s="66">
        <v>4.3999999999999997E-2</v>
      </c>
      <c r="O195" s="66">
        <v>4.2999999999999997E-2</v>
      </c>
      <c r="P195" s="67"/>
      <c r="R195" s="73">
        <v>-1.1000000000000001</v>
      </c>
      <c r="S195" s="40"/>
      <c r="T195" s="40"/>
      <c r="U195" s="69"/>
      <c r="V195" s="70"/>
      <c r="W195" s="64"/>
      <c r="X195" s="70"/>
      <c r="Y195" s="64"/>
      <c r="Z195" s="64"/>
      <c r="AA195" s="64"/>
      <c r="AB195" s="71"/>
      <c r="AC195" s="72"/>
      <c r="AD195" s="72"/>
      <c r="AE195" s="72"/>
      <c r="AF195" s="72"/>
      <c r="AG195" s="72"/>
      <c r="AH195" s="73"/>
    </row>
    <row r="196" spans="1:34">
      <c r="A196" s="40">
        <v>1833</v>
      </c>
      <c r="B196" s="64">
        <v>8.7999999999999995E-2</v>
      </c>
      <c r="C196" s="65">
        <v>5.8000000000000003E-2</v>
      </c>
      <c r="D196" s="64">
        <v>5.6000000000000001E-2</v>
      </c>
      <c r="E196" s="65">
        <v>5.5E-2</v>
      </c>
      <c r="F196" s="64">
        <v>5.3999999999999999E-2</v>
      </c>
      <c r="G196" s="65">
        <v>5.2999999999999999E-2</v>
      </c>
      <c r="H196" s="64">
        <v>5.0999999999999997E-2</v>
      </c>
      <c r="I196" s="64">
        <v>0.05</v>
      </c>
      <c r="J196" s="64">
        <v>4.9000000000000002E-2</v>
      </c>
      <c r="K196" s="64">
        <v>4.8000000000000001E-2</v>
      </c>
      <c r="L196" s="64">
        <v>4.7E-2</v>
      </c>
      <c r="M196" s="64">
        <v>4.4999999999999998E-2</v>
      </c>
      <c r="N196" s="66">
        <v>4.3999999999999997E-2</v>
      </c>
      <c r="O196" s="66">
        <v>4.2999999999999997E-2</v>
      </c>
      <c r="P196" s="67"/>
      <c r="R196" s="73">
        <v>-1.1000000000000001</v>
      </c>
      <c r="S196" s="40"/>
      <c r="T196" s="40"/>
      <c r="U196" s="69"/>
      <c r="V196" s="70"/>
      <c r="W196" s="64"/>
      <c r="X196" s="70"/>
      <c r="Y196" s="64"/>
      <c r="Z196" s="64"/>
      <c r="AA196" s="64"/>
      <c r="AB196" s="71"/>
      <c r="AC196" s="72"/>
      <c r="AD196" s="72"/>
      <c r="AE196" s="72"/>
      <c r="AF196" s="72"/>
      <c r="AG196" s="72"/>
      <c r="AH196" s="73"/>
    </row>
    <row r="197" spans="1:34">
      <c r="A197" s="40">
        <v>1834</v>
      </c>
      <c r="B197" s="64">
        <v>8.8999999999999996E-2</v>
      </c>
      <c r="C197" s="65">
        <v>5.8000000000000003E-2</v>
      </c>
      <c r="D197" s="64">
        <v>5.7000000000000002E-2</v>
      </c>
      <c r="E197" s="65">
        <v>5.5E-2</v>
      </c>
      <c r="F197" s="64">
        <v>5.5E-2</v>
      </c>
      <c r="G197" s="65">
        <v>5.2999999999999999E-2</v>
      </c>
      <c r="H197" s="64">
        <v>5.1999999999999998E-2</v>
      </c>
      <c r="I197" s="64">
        <v>0.05</v>
      </c>
      <c r="J197" s="64">
        <v>4.9000000000000002E-2</v>
      </c>
      <c r="K197" s="64">
        <v>4.8000000000000001E-2</v>
      </c>
      <c r="L197" s="64">
        <v>4.7E-2</v>
      </c>
      <c r="M197" s="64">
        <v>4.5999999999999999E-2</v>
      </c>
      <c r="N197" s="66">
        <v>4.3999999999999997E-2</v>
      </c>
      <c r="O197" s="66">
        <v>4.2999999999999997E-2</v>
      </c>
      <c r="P197" s="67"/>
      <c r="R197" s="73">
        <v>1.1000000000000001</v>
      </c>
      <c r="S197" s="40"/>
      <c r="T197" s="40"/>
      <c r="U197" s="69"/>
      <c r="V197" s="70"/>
      <c r="W197" s="64"/>
      <c r="X197" s="70"/>
      <c r="Y197" s="64"/>
      <c r="Z197" s="64"/>
      <c r="AA197" s="64"/>
      <c r="AB197" s="71"/>
      <c r="AC197" s="72"/>
      <c r="AD197" s="72"/>
      <c r="AE197" s="72"/>
      <c r="AF197" s="72"/>
      <c r="AG197" s="72"/>
      <c r="AH197" s="73"/>
    </row>
    <row r="198" spans="1:34">
      <c r="A198" s="40">
        <v>1835</v>
      </c>
      <c r="B198" s="64">
        <v>9.1999999999999998E-2</v>
      </c>
      <c r="C198" s="65">
        <v>0.06</v>
      </c>
      <c r="D198" s="64">
        <v>5.8999999999999997E-2</v>
      </c>
      <c r="E198" s="65">
        <v>5.7000000000000002E-2</v>
      </c>
      <c r="F198" s="64">
        <v>5.6000000000000001E-2</v>
      </c>
      <c r="G198" s="65">
        <v>5.5E-2</v>
      </c>
      <c r="H198" s="64">
        <v>5.2999999999999999E-2</v>
      </c>
      <c r="I198" s="64">
        <v>5.1999999999999998E-2</v>
      </c>
      <c r="J198" s="64">
        <v>5.0999999999999997E-2</v>
      </c>
      <c r="K198" s="64">
        <v>0.05</v>
      </c>
      <c r="L198" s="64">
        <v>4.9000000000000002E-2</v>
      </c>
      <c r="M198" s="64">
        <v>4.7E-2</v>
      </c>
      <c r="N198" s="66">
        <v>4.5999999999999999E-2</v>
      </c>
      <c r="O198" s="66">
        <v>4.4999999999999998E-2</v>
      </c>
      <c r="P198" s="67"/>
      <c r="R198" s="73">
        <v>3.4</v>
      </c>
      <c r="S198" s="40"/>
      <c r="T198" s="40"/>
      <c r="U198" s="69"/>
      <c r="V198" s="70"/>
      <c r="W198" s="64"/>
      <c r="X198" s="70"/>
      <c r="Y198" s="64"/>
      <c r="Z198" s="64"/>
      <c r="AA198" s="64"/>
      <c r="AB198" s="71"/>
      <c r="AC198" s="72"/>
      <c r="AD198" s="72"/>
      <c r="AE198" s="72"/>
      <c r="AF198" s="72"/>
      <c r="AG198" s="72"/>
      <c r="AH198" s="73"/>
    </row>
    <row r="199" spans="1:34">
      <c r="A199" s="40">
        <v>1836</v>
      </c>
      <c r="B199" s="64">
        <v>9.7000000000000003E-2</v>
      </c>
      <c r="C199" s="65">
        <v>6.4000000000000001E-2</v>
      </c>
      <c r="D199" s="64">
        <v>6.2E-2</v>
      </c>
      <c r="E199" s="65">
        <v>0.06</v>
      </c>
      <c r="F199" s="64">
        <v>0.06</v>
      </c>
      <c r="G199" s="65">
        <v>5.8000000000000003E-2</v>
      </c>
      <c r="H199" s="64">
        <v>5.6000000000000001E-2</v>
      </c>
      <c r="I199" s="64">
        <v>5.5E-2</v>
      </c>
      <c r="J199" s="64">
        <v>5.3999999999999999E-2</v>
      </c>
      <c r="K199" s="64">
        <v>5.2999999999999999E-2</v>
      </c>
      <c r="L199" s="64">
        <v>5.0999999999999997E-2</v>
      </c>
      <c r="M199" s="64">
        <v>0.05</v>
      </c>
      <c r="N199" s="66">
        <v>4.8000000000000001E-2</v>
      </c>
      <c r="O199" s="66">
        <v>4.7E-2</v>
      </c>
      <c r="P199" s="67"/>
      <c r="R199" s="73">
        <v>5.4</v>
      </c>
      <c r="S199" s="40"/>
      <c r="T199" s="40"/>
      <c r="U199" s="69"/>
      <c r="V199" s="70"/>
      <c r="W199" s="64"/>
      <c r="X199" s="70"/>
      <c r="Y199" s="64"/>
      <c r="Z199" s="64"/>
      <c r="AA199" s="64"/>
      <c r="AB199" s="71"/>
      <c r="AC199" s="72"/>
      <c r="AD199" s="72"/>
      <c r="AE199" s="72"/>
      <c r="AF199" s="72"/>
      <c r="AG199" s="72"/>
      <c r="AH199" s="73"/>
    </row>
    <row r="200" spans="1:34">
      <c r="A200" s="40">
        <v>1837</v>
      </c>
      <c r="B200" s="64">
        <v>0.1</v>
      </c>
      <c r="C200" s="65">
        <v>6.6000000000000003E-2</v>
      </c>
      <c r="D200" s="64">
        <v>6.4000000000000001E-2</v>
      </c>
      <c r="E200" s="65">
        <v>6.2E-2</v>
      </c>
      <c r="F200" s="64">
        <v>6.0999999999999999E-2</v>
      </c>
      <c r="G200" s="65">
        <v>0.06</v>
      </c>
      <c r="H200" s="64">
        <v>5.8000000000000003E-2</v>
      </c>
      <c r="I200" s="64">
        <v>5.6000000000000001E-2</v>
      </c>
      <c r="J200" s="64">
        <v>5.6000000000000001E-2</v>
      </c>
      <c r="K200" s="64">
        <v>5.3999999999999999E-2</v>
      </c>
      <c r="L200" s="64">
        <v>5.2999999999999999E-2</v>
      </c>
      <c r="M200" s="64">
        <v>5.0999999999999997E-2</v>
      </c>
      <c r="N200" s="66">
        <v>0.05</v>
      </c>
      <c r="O200" s="66">
        <v>4.9000000000000002E-2</v>
      </c>
      <c r="P200" s="67"/>
      <c r="R200" s="73">
        <v>3.1</v>
      </c>
      <c r="S200" s="40"/>
      <c r="T200" s="40"/>
      <c r="U200" s="69"/>
      <c r="V200" s="70"/>
      <c r="W200" s="64"/>
      <c r="X200" s="70"/>
      <c r="Y200" s="64"/>
      <c r="Z200" s="64"/>
      <c r="AA200" s="64"/>
      <c r="AB200" s="71"/>
      <c r="AC200" s="72"/>
      <c r="AD200" s="72"/>
      <c r="AE200" s="72"/>
      <c r="AF200" s="72"/>
      <c r="AG200" s="72"/>
      <c r="AH200" s="73"/>
    </row>
    <row r="201" spans="1:34">
      <c r="A201" s="40">
        <v>1838</v>
      </c>
      <c r="B201" s="64">
        <v>9.7000000000000003E-2</v>
      </c>
      <c r="C201" s="65">
        <v>6.4000000000000001E-2</v>
      </c>
      <c r="D201" s="64">
        <v>6.2E-2</v>
      </c>
      <c r="E201" s="65">
        <v>0.06</v>
      </c>
      <c r="F201" s="64">
        <v>0.06</v>
      </c>
      <c r="G201" s="65">
        <v>5.8000000000000003E-2</v>
      </c>
      <c r="H201" s="64">
        <v>5.6000000000000001E-2</v>
      </c>
      <c r="I201" s="64">
        <v>5.5E-2</v>
      </c>
      <c r="J201" s="64">
        <v>5.3999999999999999E-2</v>
      </c>
      <c r="K201" s="64">
        <v>5.2999999999999999E-2</v>
      </c>
      <c r="L201" s="64">
        <v>5.0999999999999997E-2</v>
      </c>
      <c r="M201" s="64">
        <v>0.05</v>
      </c>
      <c r="N201" s="66">
        <v>4.8000000000000001E-2</v>
      </c>
      <c r="O201" s="66">
        <v>4.7E-2</v>
      </c>
      <c r="P201" s="67"/>
      <c r="R201" s="73">
        <v>-3</v>
      </c>
      <c r="S201" s="40"/>
      <c r="T201" s="40"/>
      <c r="U201" s="69"/>
      <c r="V201" s="70"/>
      <c r="W201" s="64"/>
      <c r="X201" s="70"/>
      <c r="Y201" s="64"/>
      <c r="Z201" s="64"/>
      <c r="AA201" s="64"/>
      <c r="AB201" s="71"/>
      <c r="AC201" s="72"/>
      <c r="AD201" s="72"/>
      <c r="AE201" s="72"/>
      <c r="AF201" s="72"/>
      <c r="AG201" s="72"/>
      <c r="AH201" s="73"/>
    </row>
    <row r="202" spans="1:34">
      <c r="A202" s="40">
        <v>1839</v>
      </c>
      <c r="B202" s="64">
        <v>9.7000000000000003E-2</v>
      </c>
      <c r="C202" s="65">
        <v>6.4000000000000001E-2</v>
      </c>
      <c r="D202" s="64">
        <v>6.2E-2</v>
      </c>
      <c r="E202" s="65">
        <v>0.06</v>
      </c>
      <c r="F202" s="64">
        <v>0.06</v>
      </c>
      <c r="G202" s="65">
        <v>5.8000000000000003E-2</v>
      </c>
      <c r="H202" s="64">
        <v>5.6000000000000001E-2</v>
      </c>
      <c r="I202" s="64">
        <v>5.5E-2</v>
      </c>
      <c r="J202" s="64">
        <v>5.3999999999999999E-2</v>
      </c>
      <c r="K202" s="64">
        <v>5.2999999999999999E-2</v>
      </c>
      <c r="L202" s="64">
        <v>5.0999999999999997E-2</v>
      </c>
      <c r="M202" s="64">
        <v>0.05</v>
      </c>
      <c r="N202" s="66">
        <v>4.8000000000000001E-2</v>
      </c>
      <c r="O202" s="66">
        <v>4.7E-2</v>
      </c>
      <c r="P202" s="67"/>
      <c r="R202" s="73">
        <v>0</v>
      </c>
      <c r="S202" s="40"/>
      <c r="T202" s="40"/>
      <c r="U202" s="69"/>
      <c r="V202" s="70"/>
      <c r="W202" s="64"/>
      <c r="X202" s="70"/>
      <c r="Y202" s="64"/>
      <c r="Z202" s="64"/>
      <c r="AA202" s="64"/>
      <c r="AB202" s="71"/>
      <c r="AC202" s="72"/>
      <c r="AD202" s="72"/>
      <c r="AE202" s="72"/>
      <c r="AF202" s="72"/>
      <c r="AG202" s="72"/>
      <c r="AH202" s="73"/>
    </row>
    <row r="203" spans="1:34">
      <c r="A203" s="40">
        <v>1840</v>
      </c>
      <c r="B203" s="64">
        <v>0.09</v>
      </c>
      <c r="C203" s="65">
        <v>5.8999999999999997E-2</v>
      </c>
      <c r="D203" s="64">
        <v>5.7000000000000002E-2</v>
      </c>
      <c r="E203" s="65">
        <v>5.6000000000000001E-2</v>
      </c>
      <c r="F203" s="64">
        <v>5.5E-2</v>
      </c>
      <c r="G203" s="65">
        <v>5.3999999999999999E-2</v>
      </c>
      <c r="H203" s="64">
        <v>5.1999999999999998E-2</v>
      </c>
      <c r="I203" s="64">
        <v>5.0999999999999997E-2</v>
      </c>
      <c r="J203" s="64">
        <v>0.05</v>
      </c>
      <c r="K203" s="64">
        <v>4.9000000000000002E-2</v>
      </c>
      <c r="L203" s="64">
        <v>4.8000000000000001E-2</v>
      </c>
      <c r="M203" s="64">
        <v>4.5999999999999999E-2</v>
      </c>
      <c r="N203" s="66">
        <v>4.4999999999999998E-2</v>
      </c>
      <c r="O203" s="66">
        <v>4.3999999999999997E-2</v>
      </c>
      <c r="P203" s="67"/>
      <c r="R203" s="73">
        <v>-7.2</v>
      </c>
      <c r="S203" s="40"/>
      <c r="T203" s="40"/>
      <c r="U203" s="69"/>
      <c r="V203" s="70"/>
      <c r="W203" s="64"/>
      <c r="X203" s="70"/>
      <c r="Y203" s="64"/>
      <c r="Z203" s="64"/>
      <c r="AA203" s="64"/>
      <c r="AB203" s="71"/>
      <c r="AC203" s="72"/>
      <c r="AD203" s="72"/>
      <c r="AE203" s="72"/>
      <c r="AF203" s="72"/>
      <c r="AG203" s="72"/>
      <c r="AH203" s="73"/>
    </row>
    <row r="204" spans="1:34">
      <c r="A204" s="40">
        <v>1841</v>
      </c>
      <c r="B204" s="64">
        <v>9.0999999999999998E-2</v>
      </c>
      <c r="C204" s="65">
        <v>0.06</v>
      </c>
      <c r="D204" s="64">
        <v>5.8000000000000003E-2</v>
      </c>
      <c r="E204" s="65">
        <v>5.7000000000000002E-2</v>
      </c>
      <c r="F204" s="64">
        <v>5.6000000000000001E-2</v>
      </c>
      <c r="G204" s="65">
        <v>5.5E-2</v>
      </c>
      <c r="H204" s="64">
        <v>5.2999999999999999E-2</v>
      </c>
      <c r="I204" s="64">
        <v>5.0999999999999997E-2</v>
      </c>
      <c r="J204" s="64">
        <v>5.0999999999999997E-2</v>
      </c>
      <c r="K204" s="64">
        <v>4.9000000000000002E-2</v>
      </c>
      <c r="L204" s="64">
        <v>4.8000000000000001E-2</v>
      </c>
      <c r="M204" s="64">
        <v>4.7E-2</v>
      </c>
      <c r="N204" s="66">
        <v>4.4999999999999998E-2</v>
      </c>
      <c r="O204" s="66">
        <v>4.3999999999999997E-2</v>
      </c>
      <c r="P204" s="67"/>
      <c r="R204" s="73">
        <v>1.1000000000000001</v>
      </c>
      <c r="S204" s="40"/>
      <c r="T204" s="40"/>
      <c r="U204" s="69"/>
      <c r="V204" s="70"/>
      <c r="W204" s="64"/>
      <c r="X204" s="70"/>
      <c r="Y204" s="64"/>
      <c r="Z204" s="64"/>
      <c r="AA204" s="64"/>
      <c r="AB204" s="71"/>
      <c r="AC204" s="72"/>
      <c r="AD204" s="72"/>
      <c r="AE204" s="72"/>
      <c r="AF204" s="72"/>
      <c r="AG204" s="72"/>
      <c r="AH204" s="73"/>
    </row>
    <row r="205" spans="1:34">
      <c r="A205" s="40">
        <v>1842</v>
      </c>
      <c r="B205" s="64">
        <v>8.5000000000000006E-2</v>
      </c>
      <c r="C205" s="65">
        <v>5.6000000000000001E-2</v>
      </c>
      <c r="D205" s="64">
        <v>5.3999999999999999E-2</v>
      </c>
      <c r="E205" s="65">
        <v>5.2999999999999999E-2</v>
      </c>
      <c r="F205" s="64">
        <v>5.1999999999999998E-2</v>
      </c>
      <c r="G205" s="65">
        <v>5.0999999999999997E-2</v>
      </c>
      <c r="H205" s="64">
        <v>4.9000000000000002E-2</v>
      </c>
      <c r="I205" s="64">
        <v>4.8000000000000001E-2</v>
      </c>
      <c r="J205" s="64">
        <v>4.7E-2</v>
      </c>
      <c r="K205" s="64">
        <v>4.5999999999999999E-2</v>
      </c>
      <c r="L205" s="64">
        <v>4.4999999999999998E-2</v>
      </c>
      <c r="M205" s="64">
        <v>4.3999999999999997E-2</v>
      </c>
      <c r="N205" s="66">
        <v>4.2000000000000003E-2</v>
      </c>
      <c r="O205" s="66">
        <v>4.1000000000000002E-2</v>
      </c>
      <c r="P205" s="67"/>
      <c r="R205" s="73">
        <v>-6.6</v>
      </c>
      <c r="S205" s="40"/>
      <c r="T205" s="40"/>
      <c r="U205" s="69"/>
      <c r="V205" s="70"/>
      <c r="W205" s="64"/>
      <c r="X205" s="70"/>
      <c r="Y205" s="64"/>
      <c r="Z205" s="64"/>
      <c r="AA205" s="64"/>
      <c r="AB205" s="71"/>
      <c r="AC205" s="72"/>
      <c r="AD205" s="72"/>
      <c r="AE205" s="72"/>
      <c r="AF205" s="72"/>
      <c r="AG205" s="72"/>
      <c r="AH205" s="73"/>
    </row>
    <row r="206" spans="1:34">
      <c r="A206" s="40">
        <v>1843</v>
      </c>
      <c r="B206" s="64">
        <v>7.6999999999999999E-2</v>
      </c>
      <c r="C206" s="65">
        <v>5.0999999999999997E-2</v>
      </c>
      <c r="D206" s="64">
        <v>4.9000000000000002E-2</v>
      </c>
      <c r="E206" s="65">
        <v>4.8000000000000001E-2</v>
      </c>
      <c r="F206" s="64">
        <v>4.7E-2</v>
      </c>
      <c r="G206" s="65">
        <v>4.5999999999999999E-2</v>
      </c>
      <c r="H206" s="64">
        <v>4.4999999999999998E-2</v>
      </c>
      <c r="I206" s="64">
        <v>4.2999999999999997E-2</v>
      </c>
      <c r="J206" s="64">
        <v>4.2999999999999997E-2</v>
      </c>
      <c r="K206" s="64">
        <v>4.2000000000000003E-2</v>
      </c>
      <c r="L206" s="64">
        <v>4.1000000000000002E-2</v>
      </c>
      <c r="M206" s="64">
        <v>3.9E-2</v>
      </c>
      <c r="N206" s="66">
        <v>3.7999999999999999E-2</v>
      </c>
      <c r="O206" s="66">
        <v>3.6999999999999998E-2</v>
      </c>
      <c r="P206" s="67"/>
      <c r="R206" s="73">
        <v>-9.4</v>
      </c>
      <c r="S206" s="40"/>
      <c r="T206" s="40"/>
      <c r="U206" s="69"/>
      <c r="V206" s="70"/>
      <c r="W206" s="64"/>
      <c r="X206" s="70"/>
      <c r="Y206" s="64"/>
      <c r="Z206" s="64"/>
      <c r="AA206" s="64"/>
      <c r="AB206" s="71"/>
      <c r="AC206" s="72"/>
      <c r="AD206" s="72"/>
      <c r="AE206" s="72"/>
      <c r="AF206" s="72"/>
      <c r="AG206" s="72"/>
      <c r="AH206" s="73"/>
    </row>
    <row r="207" spans="1:34">
      <c r="A207" s="40">
        <v>1844</v>
      </c>
      <c r="B207" s="64">
        <v>7.8E-2</v>
      </c>
      <c r="C207" s="65">
        <v>5.0999999999999997E-2</v>
      </c>
      <c r="D207" s="64">
        <v>0.05</v>
      </c>
      <c r="E207" s="65">
        <v>4.9000000000000002E-2</v>
      </c>
      <c r="F207" s="64">
        <v>4.8000000000000001E-2</v>
      </c>
      <c r="G207" s="65">
        <v>4.7E-2</v>
      </c>
      <c r="H207" s="64">
        <v>4.4999999999999998E-2</v>
      </c>
      <c r="I207" s="64">
        <v>4.3999999999999997E-2</v>
      </c>
      <c r="J207" s="64">
        <v>4.2999999999999997E-2</v>
      </c>
      <c r="K207" s="64">
        <v>4.2000000000000003E-2</v>
      </c>
      <c r="L207" s="64">
        <v>4.1000000000000002E-2</v>
      </c>
      <c r="M207" s="64">
        <v>0.04</v>
      </c>
      <c r="N207" s="66">
        <v>3.9E-2</v>
      </c>
      <c r="O207" s="66">
        <v>3.7999999999999999E-2</v>
      </c>
      <c r="P207" s="67"/>
      <c r="R207" s="73">
        <v>1.3</v>
      </c>
      <c r="S207" s="40"/>
      <c r="T207" s="40"/>
      <c r="U207" s="69"/>
      <c r="V207" s="70"/>
      <c r="W207" s="64"/>
      <c r="X207" s="70"/>
      <c r="Y207" s="64"/>
      <c r="Z207" s="64"/>
      <c r="AA207" s="64"/>
      <c r="AB207" s="71"/>
      <c r="AC207" s="72"/>
      <c r="AD207" s="72"/>
      <c r="AE207" s="72"/>
      <c r="AF207" s="72"/>
      <c r="AG207" s="72"/>
      <c r="AH207" s="73"/>
    </row>
    <row r="208" spans="1:34">
      <c r="A208" s="40">
        <v>1845</v>
      </c>
      <c r="B208" s="64">
        <v>7.9000000000000001E-2</v>
      </c>
      <c r="C208" s="65">
        <v>5.1999999999999998E-2</v>
      </c>
      <c r="D208" s="64">
        <v>0.05</v>
      </c>
      <c r="E208" s="65">
        <v>4.9000000000000002E-2</v>
      </c>
      <c r="F208" s="64">
        <v>4.8000000000000001E-2</v>
      </c>
      <c r="G208" s="65">
        <v>4.7E-2</v>
      </c>
      <c r="H208" s="64">
        <v>4.5999999999999999E-2</v>
      </c>
      <c r="I208" s="64">
        <v>4.4999999999999998E-2</v>
      </c>
      <c r="J208" s="64">
        <v>4.3999999999999997E-2</v>
      </c>
      <c r="K208" s="64">
        <v>4.2999999999999997E-2</v>
      </c>
      <c r="L208" s="64">
        <v>4.2000000000000003E-2</v>
      </c>
      <c r="M208" s="64">
        <v>0.04</v>
      </c>
      <c r="N208" s="66">
        <v>3.9E-2</v>
      </c>
      <c r="O208" s="66">
        <v>3.7999999999999999E-2</v>
      </c>
      <c r="P208" s="67"/>
      <c r="R208" s="73">
        <v>1.3</v>
      </c>
      <c r="S208" s="40"/>
      <c r="T208" s="40"/>
      <c r="U208" s="69"/>
      <c r="V208" s="70"/>
      <c r="W208" s="64"/>
      <c r="X208" s="70"/>
      <c r="Y208" s="64"/>
      <c r="Z208" s="64"/>
      <c r="AA208" s="64"/>
      <c r="AB208" s="71"/>
      <c r="AC208" s="72"/>
      <c r="AD208" s="72"/>
      <c r="AE208" s="72"/>
      <c r="AF208" s="72"/>
      <c r="AG208" s="72"/>
      <c r="AH208" s="73"/>
    </row>
    <row r="209" spans="1:34">
      <c r="A209" s="40">
        <v>1846</v>
      </c>
      <c r="B209" s="64">
        <v>0.08</v>
      </c>
      <c r="C209" s="65">
        <v>5.1999999999999998E-2</v>
      </c>
      <c r="D209" s="64">
        <v>5.0999999999999997E-2</v>
      </c>
      <c r="E209" s="65">
        <v>0.05</v>
      </c>
      <c r="F209" s="64">
        <v>4.9000000000000002E-2</v>
      </c>
      <c r="G209" s="65">
        <v>4.8000000000000001E-2</v>
      </c>
      <c r="H209" s="64">
        <v>4.5999999999999999E-2</v>
      </c>
      <c r="I209" s="64">
        <v>4.4999999999999998E-2</v>
      </c>
      <c r="J209" s="64">
        <v>4.3999999999999997E-2</v>
      </c>
      <c r="K209" s="64">
        <v>4.2999999999999997E-2</v>
      </c>
      <c r="L209" s="64">
        <v>4.2000000000000003E-2</v>
      </c>
      <c r="M209" s="64">
        <v>4.1000000000000002E-2</v>
      </c>
      <c r="N209" s="66">
        <v>0.04</v>
      </c>
      <c r="O209" s="66">
        <v>3.9E-2</v>
      </c>
      <c r="P209" s="67"/>
      <c r="R209" s="73">
        <v>1.3</v>
      </c>
      <c r="S209" s="40"/>
      <c r="T209" s="40"/>
      <c r="U209" s="69"/>
      <c r="V209" s="70"/>
      <c r="W209" s="64"/>
      <c r="X209" s="70"/>
      <c r="Y209" s="64"/>
      <c r="Z209" s="64"/>
      <c r="AA209" s="64"/>
      <c r="AB209" s="71"/>
      <c r="AC209" s="72"/>
      <c r="AD209" s="72"/>
      <c r="AE209" s="72"/>
      <c r="AF209" s="72"/>
      <c r="AG209" s="72"/>
      <c r="AH209" s="73"/>
    </row>
    <row r="210" spans="1:34">
      <c r="A210" s="40">
        <v>1847</v>
      </c>
      <c r="B210" s="64">
        <v>8.5999999999999993E-2</v>
      </c>
      <c r="C210" s="65">
        <v>5.6000000000000001E-2</v>
      </c>
      <c r="D210" s="64">
        <v>5.5E-2</v>
      </c>
      <c r="E210" s="65">
        <v>5.3999999999999999E-2</v>
      </c>
      <c r="F210" s="64">
        <v>5.2999999999999999E-2</v>
      </c>
      <c r="G210" s="65">
        <v>5.1999999999999998E-2</v>
      </c>
      <c r="H210" s="64">
        <v>0.05</v>
      </c>
      <c r="I210" s="64">
        <v>4.9000000000000002E-2</v>
      </c>
      <c r="J210" s="64">
        <v>4.8000000000000001E-2</v>
      </c>
      <c r="K210" s="64">
        <v>4.7E-2</v>
      </c>
      <c r="L210" s="64">
        <v>4.5999999999999999E-2</v>
      </c>
      <c r="M210" s="64">
        <v>4.3999999999999997E-2</v>
      </c>
      <c r="N210" s="66">
        <v>4.2999999999999997E-2</v>
      </c>
      <c r="O210" s="66">
        <v>4.2000000000000003E-2</v>
      </c>
      <c r="P210" s="67"/>
      <c r="R210" s="73">
        <v>7.5</v>
      </c>
      <c r="S210" s="40"/>
      <c r="T210" s="40"/>
      <c r="U210" s="69"/>
      <c r="V210" s="70"/>
      <c r="W210" s="64"/>
      <c r="X210" s="70"/>
      <c r="Y210" s="64"/>
      <c r="Z210" s="64"/>
      <c r="AA210" s="64"/>
      <c r="AB210" s="71"/>
      <c r="AC210" s="72"/>
      <c r="AD210" s="72"/>
      <c r="AE210" s="72"/>
      <c r="AF210" s="72"/>
      <c r="AG210" s="72"/>
      <c r="AH210" s="73"/>
    </row>
    <row r="211" spans="1:34">
      <c r="A211" s="40">
        <v>1848</v>
      </c>
      <c r="B211" s="64">
        <v>8.2000000000000003E-2</v>
      </c>
      <c r="C211" s="65">
        <v>5.3999999999999999E-2</v>
      </c>
      <c r="D211" s="64">
        <v>5.1999999999999998E-2</v>
      </c>
      <c r="E211" s="65">
        <v>5.0999999999999997E-2</v>
      </c>
      <c r="F211" s="64">
        <v>0.05</v>
      </c>
      <c r="G211" s="65">
        <v>4.9000000000000002E-2</v>
      </c>
      <c r="H211" s="64">
        <v>4.8000000000000001E-2</v>
      </c>
      <c r="I211" s="64">
        <v>4.5999999999999999E-2</v>
      </c>
      <c r="J211" s="64">
        <v>4.5999999999999999E-2</v>
      </c>
      <c r="K211" s="64">
        <v>4.4999999999999998E-2</v>
      </c>
      <c r="L211" s="64">
        <v>4.2999999999999997E-2</v>
      </c>
      <c r="M211" s="64">
        <v>4.2000000000000003E-2</v>
      </c>
      <c r="N211" s="66">
        <v>4.1000000000000002E-2</v>
      </c>
      <c r="O211" s="66">
        <v>0.04</v>
      </c>
      <c r="P211" s="67"/>
      <c r="R211" s="73">
        <v>-4.7</v>
      </c>
      <c r="S211" s="40"/>
      <c r="T211" s="40"/>
      <c r="U211" s="69"/>
      <c r="V211" s="70"/>
      <c r="W211" s="64"/>
      <c r="X211" s="70"/>
      <c r="Y211" s="64"/>
      <c r="Z211" s="64"/>
      <c r="AA211" s="64"/>
      <c r="AB211" s="71"/>
      <c r="AC211" s="72"/>
      <c r="AD211" s="72"/>
      <c r="AE211" s="72"/>
      <c r="AF211" s="72"/>
      <c r="AG211" s="72"/>
      <c r="AH211" s="73"/>
    </row>
    <row r="212" spans="1:34">
      <c r="A212" s="40">
        <v>1849</v>
      </c>
      <c r="B212" s="64">
        <v>0.08</v>
      </c>
      <c r="C212" s="65">
        <v>5.1999999999999998E-2</v>
      </c>
      <c r="D212" s="64">
        <v>5.0999999999999997E-2</v>
      </c>
      <c r="E212" s="65">
        <v>0.05</v>
      </c>
      <c r="F212" s="64">
        <v>4.9000000000000002E-2</v>
      </c>
      <c r="G212" s="65">
        <v>4.8000000000000001E-2</v>
      </c>
      <c r="H212" s="64">
        <v>4.5999999999999999E-2</v>
      </c>
      <c r="I212" s="64">
        <v>4.4999999999999998E-2</v>
      </c>
      <c r="J212" s="64">
        <v>4.3999999999999997E-2</v>
      </c>
      <c r="K212" s="64">
        <v>4.2999999999999997E-2</v>
      </c>
      <c r="L212" s="64">
        <v>4.2000000000000003E-2</v>
      </c>
      <c r="M212" s="64">
        <v>4.1000000000000002E-2</v>
      </c>
      <c r="N212" s="66">
        <v>0.04</v>
      </c>
      <c r="O212" s="66">
        <v>3.9E-2</v>
      </c>
      <c r="P212" s="67"/>
      <c r="R212" s="73">
        <v>-2.4</v>
      </c>
      <c r="S212" s="40"/>
      <c r="T212" s="40"/>
      <c r="U212" s="69"/>
      <c r="V212" s="70"/>
      <c r="W212" s="64"/>
      <c r="X212" s="70"/>
      <c r="Y212" s="64"/>
      <c r="Z212" s="64"/>
      <c r="AA212" s="64"/>
      <c r="AB212" s="71"/>
      <c r="AC212" s="72"/>
      <c r="AD212" s="72"/>
      <c r="AE212" s="72"/>
      <c r="AF212" s="72"/>
      <c r="AG212" s="72"/>
      <c r="AH212" s="73"/>
    </row>
    <row r="213" spans="1:34">
      <c r="A213" s="40">
        <v>1850</v>
      </c>
      <c r="B213" s="64">
        <v>8.1000000000000003E-2</v>
      </c>
      <c r="C213" s="65">
        <v>5.2999999999999999E-2</v>
      </c>
      <c r="D213" s="64">
        <v>5.1999999999999998E-2</v>
      </c>
      <c r="E213" s="65">
        <v>0.05</v>
      </c>
      <c r="F213" s="64">
        <v>0.05</v>
      </c>
      <c r="G213" s="65">
        <v>4.9000000000000002E-2</v>
      </c>
      <c r="H213" s="64">
        <v>4.7E-2</v>
      </c>
      <c r="I213" s="64">
        <v>4.5999999999999999E-2</v>
      </c>
      <c r="J213" s="64">
        <v>4.4999999999999998E-2</v>
      </c>
      <c r="K213" s="64">
        <v>4.3999999999999997E-2</v>
      </c>
      <c r="L213" s="64">
        <v>4.2999999999999997E-2</v>
      </c>
      <c r="M213" s="64">
        <v>4.1000000000000002E-2</v>
      </c>
      <c r="N213" s="66">
        <v>0.04</v>
      </c>
      <c r="O213" s="66">
        <v>3.9E-2</v>
      </c>
      <c r="P213" s="67"/>
      <c r="R213" s="73">
        <v>1.3</v>
      </c>
      <c r="S213" s="40"/>
      <c r="T213" s="40"/>
      <c r="U213" s="69"/>
      <c r="V213" s="70"/>
      <c r="W213" s="64"/>
      <c r="X213" s="70"/>
      <c r="Y213" s="64"/>
      <c r="Z213" s="64"/>
      <c r="AA213" s="64"/>
      <c r="AB213" s="71"/>
      <c r="AC213" s="72"/>
      <c r="AD213" s="72"/>
      <c r="AE213" s="72"/>
      <c r="AF213" s="72"/>
      <c r="AG213" s="72"/>
      <c r="AH213" s="73"/>
    </row>
    <row r="214" spans="1:34">
      <c r="A214" s="40">
        <v>1851</v>
      </c>
      <c r="B214" s="64">
        <v>0.08</v>
      </c>
      <c r="C214" s="65">
        <v>5.1999999999999998E-2</v>
      </c>
      <c r="D214" s="64">
        <v>5.0999999999999997E-2</v>
      </c>
      <c r="E214" s="65">
        <v>0.05</v>
      </c>
      <c r="F214" s="64">
        <v>4.9000000000000002E-2</v>
      </c>
      <c r="G214" s="65">
        <v>4.8000000000000001E-2</v>
      </c>
      <c r="H214" s="64">
        <v>4.5999999999999999E-2</v>
      </c>
      <c r="I214" s="64">
        <v>4.4999999999999998E-2</v>
      </c>
      <c r="J214" s="64">
        <v>4.3999999999999997E-2</v>
      </c>
      <c r="K214" s="64">
        <v>4.2999999999999997E-2</v>
      </c>
      <c r="L214" s="64">
        <v>4.2000000000000003E-2</v>
      </c>
      <c r="M214" s="64">
        <v>4.1000000000000002E-2</v>
      </c>
      <c r="N214" s="66">
        <v>0.04</v>
      </c>
      <c r="O214" s="66">
        <v>3.9E-2</v>
      </c>
      <c r="P214" s="67"/>
      <c r="R214" s="73">
        <v>-1.2</v>
      </c>
      <c r="S214" s="40"/>
      <c r="T214" s="40"/>
      <c r="U214" s="69"/>
      <c r="V214" s="70"/>
      <c r="W214" s="64"/>
      <c r="X214" s="70"/>
      <c r="Y214" s="64"/>
      <c r="Z214" s="64"/>
      <c r="AA214" s="64"/>
      <c r="AB214" s="71"/>
      <c r="AC214" s="72"/>
      <c r="AD214" s="72"/>
      <c r="AE214" s="72"/>
      <c r="AF214" s="72"/>
      <c r="AG214" s="72"/>
      <c r="AH214" s="73"/>
    </row>
    <row r="215" spans="1:34">
      <c r="A215" s="40">
        <v>1852</v>
      </c>
      <c r="B215" s="64">
        <v>8.1000000000000003E-2</v>
      </c>
      <c r="C215" s="65">
        <v>5.2999999999999999E-2</v>
      </c>
      <c r="D215" s="64">
        <v>5.1999999999999998E-2</v>
      </c>
      <c r="E215" s="65">
        <v>0.05</v>
      </c>
      <c r="F215" s="64">
        <v>0.05</v>
      </c>
      <c r="G215" s="65">
        <v>4.9000000000000002E-2</v>
      </c>
      <c r="H215" s="64">
        <v>4.7E-2</v>
      </c>
      <c r="I215" s="64">
        <v>4.5999999999999999E-2</v>
      </c>
      <c r="J215" s="64">
        <v>4.4999999999999998E-2</v>
      </c>
      <c r="K215" s="64">
        <v>4.3999999999999997E-2</v>
      </c>
      <c r="L215" s="64">
        <v>4.2999999999999997E-2</v>
      </c>
      <c r="M215" s="64">
        <v>4.1000000000000002E-2</v>
      </c>
      <c r="N215" s="66">
        <v>0.04</v>
      </c>
      <c r="O215" s="66">
        <v>3.9E-2</v>
      </c>
      <c r="P215" s="67"/>
      <c r="R215" s="73">
        <v>1.3</v>
      </c>
      <c r="S215" s="40"/>
      <c r="T215" s="40"/>
      <c r="U215" s="69"/>
      <c r="V215" s="70"/>
      <c r="W215" s="64"/>
      <c r="X215" s="70"/>
      <c r="Y215" s="64"/>
      <c r="Z215" s="64"/>
      <c r="AA215" s="64"/>
      <c r="AB215" s="71"/>
      <c r="AC215" s="72"/>
      <c r="AD215" s="72"/>
      <c r="AE215" s="72"/>
      <c r="AF215" s="72"/>
      <c r="AG215" s="72"/>
      <c r="AH215" s="73"/>
    </row>
    <row r="216" spans="1:34">
      <c r="A216" s="40">
        <v>1853</v>
      </c>
      <c r="B216" s="64">
        <v>8.1000000000000003E-2</v>
      </c>
      <c r="C216" s="65">
        <v>5.2999999999999999E-2</v>
      </c>
      <c r="D216" s="64">
        <v>5.1999999999999998E-2</v>
      </c>
      <c r="E216" s="65">
        <v>0.05</v>
      </c>
      <c r="F216" s="64">
        <v>0.05</v>
      </c>
      <c r="G216" s="65">
        <v>4.9000000000000002E-2</v>
      </c>
      <c r="H216" s="64">
        <v>4.7E-2</v>
      </c>
      <c r="I216" s="64">
        <v>4.5999999999999999E-2</v>
      </c>
      <c r="J216" s="64">
        <v>4.4999999999999998E-2</v>
      </c>
      <c r="K216" s="64">
        <v>4.3999999999999997E-2</v>
      </c>
      <c r="L216" s="64">
        <v>4.2999999999999997E-2</v>
      </c>
      <c r="M216" s="64">
        <v>4.1000000000000002E-2</v>
      </c>
      <c r="N216" s="66">
        <v>0.04</v>
      </c>
      <c r="O216" s="66">
        <v>3.9E-2</v>
      </c>
      <c r="P216" s="67"/>
      <c r="R216" s="73">
        <v>0</v>
      </c>
      <c r="S216" s="40"/>
      <c r="T216" s="40"/>
      <c r="U216" s="69"/>
      <c r="V216" s="70"/>
      <c r="W216" s="64"/>
      <c r="X216" s="70"/>
      <c r="Y216" s="64"/>
      <c r="Z216" s="64"/>
      <c r="AA216" s="64"/>
      <c r="AB216" s="71"/>
      <c r="AC216" s="72"/>
      <c r="AD216" s="72"/>
      <c r="AE216" s="72"/>
      <c r="AF216" s="72"/>
      <c r="AG216" s="72"/>
      <c r="AH216" s="73"/>
    </row>
    <row r="217" spans="1:34">
      <c r="A217" s="40">
        <v>1854</v>
      </c>
      <c r="B217" s="64">
        <v>8.7999999999999995E-2</v>
      </c>
      <c r="C217" s="65">
        <v>5.8000000000000003E-2</v>
      </c>
      <c r="D217" s="64">
        <v>5.6000000000000001E-2</v>
      </c>
      <c r="E217" s="65">
        <v>5.5E-2</v>
      </c>
      <c r="F217" s="64">
        <v>5.3999999999999999E-2</v>
      </c>
      <c r="G217" s="65">
        <v>5.2999999999999999E-2</v>
      </c>
      <c r="H217" s="64">
        <v>5.0999999999999997E-2</v>
      </c>
      <c r="I217" s="64">
        <v>0.05</v>
      </c>
      <c r="J217" s="64">
        <v>4.9000000000000002E-2</v>
      </c>
      <c r="K217" s="64">
        <v>4.8000000000000001E-2</v>
      </c>
      <c r="L217" s="64">
        <v>4.7E-2</v>
      </c>
      <c r="M217" s="64">
        <v>4.4999999999999998E-2</v>
      </c>
      <c r="N217" s="66">
        <v>4.3999999999999997E-2</v>
      </c>
      <c r="O217" s="66">
        <v>4.2999999999999997E-2</v>
      </c>
      <c r="P217" s="67"/>
      <c r="R217" s="73">
        <v>8.6</v>
      </c>
      <c r="S217" s="40"/>
      <c r="T217" s="40"/>
      <c r="U217" s="69"/>
      <c r="V217" s="70"/>
      <c r="W217" s="64"/>
      <c r="X217" s="70"/>
      <c r="Y217" s="64"/>
      <c r="Z217" s="64"/>
      <c r="AA217" s="64"/>
      <c r="AB217" s="71"/>
      <c r="AC217" s="72"/>
      <c r="AD217" s="72"/>
      <c r="AE217" s="72"/>
      <c r="AF217" s="72"/>
      <c r="AG217" s="72"/>
      <c r="AH217" s="73"/>
    </row>
    <row r="218" spans="1:34">
      <c r="A218" s="40">
        <v>1855</v>
      </c>
      <c r="B218" s="64">
        <v>0.09</v>
      </c>
      <c r="C218" s="65">
        <v>5.8999999999999997E-2</v>
      </c>
      <c r="D218" s="64">
        <v>5.7000000000000002E-2</v>
      </c>
      <c r="E218" s="65">
        <v>5.6000000000000001E-2</v>
      </c>
      <c r="F218" s="64">
        <v>5.5E-2</v>
      </c>
      <c r="G218" s="65">
        <v>5.3999999999999999E-2</v>
      </c>
      <c r="H218" s="64">
        <v>5.1999999999999998E-2</v>
      </c>
      <c r="I218" s="64">
        <v>5.0999999999999997E-2</v>
      </c>
      <c r="J218" s="64">
        <v>0.05</v>
      </c>
      <c r="K218" s="64">
        <v>4.9000000000000002E-2</v>
      </c>
      <c r="L218" s="64">
        <v>4.8000000000000001E-2</v>
      </c>
      <c r="M218" s="64">
        <v>4.5999999999999999E-2</v>
      </c>
      <c r="N218" s="66">
        <v>4.4999999999999998E-2</v>
      </c>
      <c r="O218" s="66">
        <v>4.3999999999999997E-2</v>
      </c>
      <c r="P218" s="67"/>
      <c r="R218" s="73">
        <v>2.2999999999999998</v>
      </c>
      <c r="S218" s="40"/>
      <c r="T218" s="40"/>
      <c r="U218" s="69"/>
      <c r="V218" s="70"/>
      <c r="W218" s="64"/>
      <c r="X218" s="70"/>
      <c r="Y218" s="64"/>
      <c r="Z218" s="64"/>
      <c r="AA218" s="64"/>
      <c r="AB218" s="71"/>
      <c r="AC218" s="72"/>
      <c r="AD218" s="72"/>
      <c r="AE218" s="72"/>
      <c r="AF218" s="72"/>
      <c r="AG218" s="72"/>
      <c r="AH218" s="73"/>
    </row>
    <row r="219" spans="1:34">
      <c r="A219" s="40">
        <v>1856</v>
      </c>
      <c r="B219" s="64">
        <v>8.7999999999999995E-2</v>
      </c>
      <c r="C219" s="65">
        <v>5.8000000000000003E-2</v>
      </c>
      <c r="D219" s="64">
        <v>5.6000000000000001E-2</v>
      </c>
      <c r="E219" s="65">
        <v>5.5E-2</v>
      </c>
      <c r="F219" s="64">
        <v>5.3999999999999999E-2</v>
      </c>
      <c r="G219" s="65">
        <v>5.2999999999999999E-2</v>
      </c>
      <c r="H219" s="64">
        <v>5.0999999999999997E-2</v>
      </c>
      <c r="I219" s="64">
        <v>0.05</v>
      </c>
      <c r="J219" s="64">
        <v>4.9000000000000002E-2</v>
      </c>
      <c r="K219" s="64">
        <v>4.8000000000000001E-2</v>
      </c>
      <c r="L219" s="64">
        <v>4.7E-2</v>
      </c>
      <c r="M219" s="64">
        <v>4.4999999999999998E-2</v>
      </c>
      <c r="N219" s="66">
        <v>4.3999999999999997E-2</v>
      </c>
      <c r="O219" s="66">
        <v>4.2999999999999997E-2</v>
      </c>
      <c r="P219" s="67"/>
      <c r="R219" s="73">
        <v>-2.2000000000000002</v>
      </c>
      <c r="S219" s="40"/>
      <c r="T219" s="40"/>
      <c r="U219" s="69"/>
      <c r="V219" s="70"/>
      <c r="W219" s="64"/>
      <c r="X219" s="70"/>
      <c r="Y219" s="64"/>
      <c r="Z219" s="64"/>
      <c r="AA219" s="64"/>
      <c r="AB219" s="71"/>
      <c r="AC219" s="72"/>
      <c r="AD219" s="72"/>
      <c r="AE219" s="72"/>
      <c r="AF219" s="72"/>
      <c r="AG219" s="72"/>
      <c r="AH219" s="73"/>
    </row>
    <row r="220" spans="1:34">
      <c r="A220" s="40">
        <v>1857</v>
      </c>
      <c r="B220" s="64">
        <v>9.0999999999999998E-2</v>
      </c>
      <c r="C220" s="65">
        <v>0.06</v>
      </c>
      <c r="D220" s="64">
        <v>5.8000000000000003E-2</v>
      </c>
      <c r="E220" s="65">
        <v>5.7000000000000002E-2</v>
      </c>
      <c r="F220" s="64">
        <v>5.6000000000000001E-2</v>
      </c>
      <c r="G220" s="65">
        <v>5.5E-2</v>
      </c>
      <c r="H220" s="64">
        <v>5.2999999999999999E-2</v>
      </c>
      <c r="I220" s="64">
        <v>5.0999999999999997E-2</v>
      </c>
      <c r="J220" s="64">
        <v>5.0999999999999997E-2</v>
      </c>
      <c r="K220" s="64">
        <v>4.9000000000000002E-2</v>
      </c>
      <c r="L220" s="64">
        <v>4.8000000000000001E-2</v>
      </c>
      <c r="M220" s="64">
        <v>4.7E-2</v>
      </c>
      <c r="N220" s="66">
        <v>4.4999999999999998E-2</v>
      </c>
      <c r="O220" s="66">
        <v>4.3999999999999997E-2</v>
      </c>
      <c r="P220" s="67"/>
      <c r="R220" s="73">
        <v>3.4</v>
      </c>
      <c r="S220" s="40"/>
      <c r="T220" s="40"/>
      <c r="U220" s="69"/>
      <c r="V220" s="70"/>
      <c r="W220" s="64"/>
      <c r="X220" s="70"/>
      <c r="Y220" s="64"/>
      <c r="Z220" s="64"/>
      <c r="AA220" s="64"/>
      <c r="AB220" s="71"/>
      <c r="AC220" s="72"/>
      <c r="AD220" s="72"/>
      <c r="AE220" s="72"/>
      <c r="AF220" s="72"/>
      <c r="AG220" s="72"/>
      <c r="AH220" s="73"/>
    </row>
    <row r="221" spans="1:34">
      <c r="A221" s="40">
        <v>1858</v>
      </c>
      <c r="B221" s="64">
        <v>8.5999999999999993E-2</v>
      </c>
      <c r="C221" s="65">
        <v>5.6000000000000001E-2</v>
      </c>
      <c r="D221" s="64">
        <v>5.5E-2</v>
      </c>
      <c r="E221" s="65">
        <v>5.3999999999999999E-2</v>
      </c>
      <c r="F221" s="64">
        <v>5.2999999999999999E-2</v>
      </c>
      <c r="G221" s="65">
        <v>5.1999999999999998E-2</v>
      </c>
      <c r="H221" s="64">
        <v>0.05</v>
      </c>
      <c r="I221" s="64">
        <v>4.9000000000000002E-2</v>
      </c>
      <c r="J221" s="64">
        <v>4.8000000000000001E-2</v>
      </c>
      <c r="K221" s="64">
        <v>4.7E-2</v>
      </c>
      <c r="L221" s="64">
        <v>4.5999999999999999E-2</v>
      </c>
      <c r="M221" s="64">
        <v>4.3999999999999997E-2</v>
      </c>
      <c r="N221" s="66">
        <v>4.2999999999999997E-2</v>
      </c>
      <c r="O221" s="66">
        <v>4.2000000000000003E-2</v>
      </c>
      <c r="P221" s="67"/>
      <c r="R221" s="73">
        <v>-5.5</v>
      </c>
      <c r="S221" s="40"/>
      <c r="T221" s="40"/>
      <c r="U221" s="69"/>
      <c r="V221" s="70"/>
      <c r="W221" s="64"/>
      <c r="X221" s="70"/>
      <c r="Y221" s="64"/>
      <c r="Z221" s="64"/>
      <c r="AA221" s="64"/>
      <c r="AB221" s="71"/>
      <c r="AC221" s="72"/>
      <c r="AD221" s="72"/>
      <c r="AE221" s="72"/>
      <c r="AF221" s="72"/>
      <c r="AG221" s="72"/>
      <c r="AH221" s="73"/>
    </row>
    <row r="222" spans="1:34">
      <c r="A222" s="40">
        <v>1859</v>
      </c>
      <c r="B222" s="64">
        <v>8.6999999999999994E-2</v>
      </c>
      <c r="C222" s="65">
        <v>5.7000000000000002E-2</v>
      </c>
      <c r="D222" s="64">
        <v>5.5E-2</v>
      </c>
      <c r="E222" s="65">
        <v>5.3999999999999999E-2</v>
      </c>
      <c r="F222" s="64">
        <v>5.2999999999999999E-2</v>
      </c>
      <c r="G222" s="65">
        <v>5.1999999999999998E-2</v>
      </c>
      <c r="H222" s="64">
        <v>5.0999999999999997E-2</v>
      </c>
      <c r="I222" s="64">
        <v>4.9000000000000002E-2</v>
      </c>
      <c r="J222" s="64">
        <v>4.8000000000000001E-2</v>
      </c>
      <c r="K222" s="64">
        <v>4.7E-2</v>
      </c>
      <c r="L222" s="64">
        <v>4.5999999999999999E-2</v>
      </c>
      <c r="M222" s="64">
        <v>4.4999999999999998E-2</v>
      </c>
      <c r="N222" s="66">
        <v>4.2999999999999997E-2</v>
      </c>
      <c r="O222" s="66">
        <v>4.2000000000000003E-2</v>
      </c>
      <c r="P222" s="67"/>
      <c r="R222" s="73">
        <v>1.2</v>
      </c>
      <c r="S222" s="40"/>
      <c r="T222" s="40"/>
      <c r="U222" s="69"/>
      <c r="V222" s="70"/>
      <c r="W222" s="64"/>
      <c r="X222" s="70"/>
      <c r="Y222" s="64"/>
      <c r="Z222" s="64"/>
      <c r="AA222" s="64"/>
      <c r="AB222" s="71"/>
      <c r="AC222" s="72"/>
      <c r="AD222" s="72"/>
      <c r="AE222" s="72"/>
      <c r="AF222" s="72"/>
      <c r="AG222" s="72"/>
      <c r="AH222" s="73"/>
    </row>
    <row r="223" spans="1:34">
      <c r="A223" s="40">
        <v>1860</v>
      </c>
      <c r="B223" s="64">
        <v>8.6999999999999994E-2</v>
      </c>
      <c r="C223" s="65">
        <v>5.7000000000000002E-2</v>
      </c>
      <c r="D223" s="64">
        <v>5.5E-2</v>
      </c>
      <c r="E223" s="65">
        <v>5.3999999999999999E-2</v>
      </c>
      <c r="F223" s="64">
        <v>5.2999999999999999E-2</v>
      </c>
      <c r="G223" s="65">
        <v>5.1999999999999998E-2</v>
      </c>
      <c r="H223" s="64">
        <v>5.0999999999999997E-2</v>
      </c>
      <c r="I223" s="64">
        <v>4.9000000000000002E-2</v>
      </c>
      <c r="J223" s="64">
        <v>4.8000000000000001E-2</v>
      </c>
      <c r="K223" s="64">
        <v>4.7E-2</v>
      </c>
      <c r="L223" s="64">
        <v>4.5999999999999999E-2</v>
      </c>
      <c r="M223" s="64">
        <v>4.4999999999999998E-2</v>
      </c>
      <c r="N223" s="66">
        <v>4.2999999999999997E-2</v>
      </c>
      <c r="O223" s="66">
        <v>4.2000000000000003E-2</v>
      </c>
      <c r="P223" s="67"/>
      <c r="R223" s="73">
        <v>0</v>
      </c>
      <c r="S223" s="40"/>
      <c r="T223" s="40"/>
      <c r="U223" s="69"/>
      <c r="V223" s="75"/>
      <c r="W223" s="64"/>
      <c r="X223" s="70"/>
      <c r="Y223" s="64"/>
      <c r="Z223" s="64"/>
      <c r="AA223" s="64"/>
      <c r="AB223" s="71"/>
      <c r="AC223" s="72"/>
      <c r="AD223" s="72"/>
      <c r="AE223" s="72"/>
      <c r="AF223" s="72"/>
      <c r="AG223" s="72"/>
      <c r="AH223" s="73"/>
    </row>
    <row r="224" spans="1:34">
      <c r="A224" s="40">
        <v>1861</v>
      </c>
      <c r="B224" s="64">
        <v>9.1999999999999998E-2</v>
      </c>
      <c r="C224" s="65">
        <v>0.06</v>
      </c>
      <c r="D224" s="64">
        <v>5.8999999999999997E-2</v>
      </c>
      <c r="E224" s="65">
        <v>5.7000000000000002E-2</v>
      </c>
      <c r="F224" s="64">
        <v>5.6000000000000001E-2</v>
      </c>
      <c r="G224" s="65">
        <v>5.5E-2</v>
      </c>
      <c r="H224" s="64">
        <v>5.2999999999999999E-2</v>
      </c>
      <c r="I224" s="64">
        <v>5.1999999999999998E-2</v>
      </c>
      <c r="J224" s="64">
        <v>5.0999999999999997E-2</v>
      </c>
      <c r="K224" s="64">
        <v>0.05</v>
      </c>
      <c r="L224" s="64">
        <v>4.9000000000000002E-2</v>
      </c>
      <c r="M224" s="64">
        <v>4.7E-2</v>
      </c>
      <c r="N224" s="66">
        <v>4.5999999999999999E-2</v>
      </c>
      <c r="O224" s="66">
        <v>4.4999999999999998E-2</v>
      </c>
      <c r="P224" s="67"/>
      <c r="R224" s="73">
        <v>5.7</v>
      </c>
      <c r="S224" s="40"/>
      <c r="T224" s="40"/>
      <c r="U224" s="69"/>
      <c r="V224" s="70"/>
      <c r="W224" s="64"/>
      <c r="X224" s="70"/>
      <c r="Y224" s="64"/>
      <c r="Z224" s="64"/>
      <c r="AA224" s="64"/>
      <c r="AB224" s="71"/>
      <c r="AC224" s="72"/>
      <c r="AD224" s="72"/>
      <c r="AE224" s="72"/>
      <c r="AF224" s="72"/>
      <c r="AG224" s="72"/>
      <c r="AH224" s="73"/>
    </row>
    <row r="225" spans="1:34">
      <c r="A225" s="40">
        <v>1862</v>
      </c>
      <c r="B225" s="64">
        <v>0.105</v>
      </c>
      <c r="C225" s="65">
        <v>6.9000000000000006E-2</v>
      </c>
      <c r="D225" s="64">
        <v>6.7000000000000004E-2</v>
      </c>
      <c r="E225" s="65">
        <v>6.5000000000000002E-2</v>
      </c>
      <c r="F225" s="64">
        <v>6.4000000000000001E-2</v>
      </c>
      <c r="G225" s="65">
        <v>6.3E-2</v>
      </c>
      <c r="H225" s="64">
        <v>6.0999999999999999E-2</v>
      </c>
      <c r="I225" s="64">
        <v>5.8999999999999997E-2</v>
      </c>
      <c r="J225" s="64">
        <v>5.8000000000000003E-2</v>
      </c>
      <c r="K225" s="64">
        <v>5.7000000000000002E-2</v>
      </c>
      <c r="L225" s="64">
        <v>5.6000000000000001E-2</v>
      </c>
      <c r="M225" s="64">
        <v>5.3999999999999999E-2</v>
      </c>
      <c r="N225" s="66">
        <v>5.1999999999999998E-2</v>
      </c>
      <c r="O225" s="66">
        <v>5.0999999999999997E-2</v>
      </c>
      <c r="P225" s="67"/>
      <c r="R225" s="73">
        <v>14.1</v>
      </c>
      <c r="S225" s="40"/>
      <c r="T225" s="40"/>
      <c r="U225" s="69"/>
      <c r="V225" s="70"/>
      <c r="W225" s="64"/>
      <c r="X225" s="70"/>
      <c r="Y225" s="64"/>
      <c r="Z225" s="64"/>
      <c r="AA225" s="64"/>
      <c r="AB225" s="71"/>
      <c r="AC225" s="72"/>
      <c r="AD225" s="72"/>
      <c r="AE225" s="72"/>
      <c r="AF225" s="72"/>
      <c r="AG225" s="72"/>
      <c r="AH225" s="73"/>
    </row>
    <row r="226" spans="1:34">
      <c r="A226" s="40">
        <v>1863</v>
      </c>
      <c r="B226" s="64">
        <v>0.13100000000000001</v>
      </c>
      <c r="C226" s="65">
        <v>8.5999999999999993E-2</v>
      </c>
      <c r="D226" s="64">
        <v>8.3000000000000004E-2</v>
      </c>
      <c r="E226" s="65">
        <v>8.2000000000000003E-2</v>
      </c>
      <c r="F226" s="64">
        <v>0.08</v>
      </c>
      <c r="G226" s="65">
        <v>7.9000000000000001E-2</v>
      </c>
      <c r="H226" s="64">
        <v>7.5999999999999998E-2</v>
      </c>
      <c r="I226" s="64">
        <v>7.3999999999999996E-2</v>
      </c>
      <c r="J226" s="64">
        <v>7.2999999999999995E-2</v>
      </c>
      <c r="K226" s="64">
        <v>7.0999999999999994E-2</v>
      </c>
      <c r="L226" s="64">
        <v>6.9000000000000006E-2</v>
      </c>
      <c r="M226" s="64">
        <v>6.7000000000000004E-2</v>
      </c>
      <c r="N226" s="66">
        <v>6.5000000000000002E-2</v>
      </c>
      <c r="O226" s="66">
        <v>6.4000000000000001E-2</v>
      </c>
      <c r="P226" s="67"/>
      <c r="R226" s="73">
        <v>24.8</v>
      </c>
      <c r="S226" s="40"/>
      <c r="T226" s="40"/>
      <c r="U226" s="69"/>
      <c r="V226" s="70"/>
      <c r="W226" s="64"/>
      <c r="X226" s="70"/>
      <c r="Y226" s="64"/>
      <c r="Z226" s="64"/>
      <c r="AA226" s="64"/>
      <c r="AB226" s="71"/>
      <c r="AC226" s="72"/>
      <c r="AD226" s="72"/>
      <c r="AE226" s="72"/>
      <c r="AF226" s="72"/>
      <c r="AG226" s="72"/>
      <c r="AH226" s="73"/>
    </row>
    <row r="227" spans="1:34">
      <c r="A227" s="40">
        <v>1864</v>
      </c>
      <c r="B227" s="64">
        <v>0.16400000000000001</v>
      </c>
      <c r="C227" s="65">
        <v>0.108</v>
      </c>
      <c r="D227" s="64">
        <v>0.105</v>
      </c>
      <c r="E227" s="65">
        <v>0.10199999999999999</v>
      </c>
      <c r="F227" s="64">
        <v>0.10100000000000001</v>
      </c>
      <c r="G227" s="65">
        <v>9.8000000000000004E-2</v>
      </c>
      <c r="H227" s="64">
        <v>9.5000000000000001E-2</v>
      </c>
      <c r="I227" s="64">
        <v>9.2999999999999999E-2</v>
      </c>
      <c r="J227" s="64">
        <v>9.0999999999999998E-2</v>
      </c>
      <c r="K227" s="64">
        <v>8.8999999999999996E-2</v>
      </c>
      <c r="L227" s="64">
        <v>8.6999999999999994E-2</v>
      </c>
      <c r="M227" s="64">
        <v>8.4000000000000005E-2</v>
      </c>
      <c r="N227" s="66">
        <v>8.1000000000000003E-2</v>
      </c>
      <c r="O227" s="66">
        <v>0.08</v>
      </c>
      <c r="P227" s="67"/>
      <c r="R227" s="73">
        <v>25.2</v>
      </c>
      <c r="S227" s="40"/>
      <c r="T227" s="40"/>
      <c r="U227" s="69"/>
      <c r="V227" s="70"/>
      <c r="W227" s="64"/>
      <c r="X227" s="70"/>
      <c r="Y227" s="64"/>
      <c r="Z227" s="64"/>
      <c r="AA227" s="64"/>
      <c r="AB227" s="71"/>
      <c r="AC227" s="72"/>
      <c r="AD227" s="72"/>
      <c r="AE227" s="72"/>
      <c r="AF227" s="72"/>
      <c r="AG227" s="72"/>
      <c r="AH227" s="73"/>
    </row>
    <row r="228" spans="1:34">
      <c r="A228" s="40">
        <v>1865</v>
      </c>
      <c r="B228" s="64">
        <v>0.17</v>
      </c>
      <c r="C228" s="65">
        <v>0.112</v>
      </c>
      <c r="D228" s="64">
        <v>0.108</v>
      </c>
      <c r="E228" s="65">
        <v>0.106</v>
      </c>
      <c r="F228" s="64">
        <v>0.104</v>
      </c>
      <c r="G228" s="65">
        <v>0.10199999999999999</v>
      </c>
      <c r="H228" s="64">
        <v>9.9000000000000005E-2</v>
      </c>
      <c r="I228" s="64">
        <v>9.6000000000000002E-2</v>
      </c>
      <c r="J228" s="64">
        <v>9.4E-2</v>
      </c>
      <c r="K228" s="64">
        <v>9.1999999999999998E-2</v>
      </c>
      <c r="L228" s="64">
        <v>0.09</v>
      </c>
      <c r="M228" s="64">
        <v>8.6999999999999994E-2</v>
      </c>
      <c r="N228" s="66">
        <v>8.4000000000000005E-2</v>
      </c>
      <c r="O228" s="66">
        <v>8.3000000000000004E-2</v>
      </c>
      <c r="P228" s="67"/>
      <c r="R228" s="73">
        <v>3.7</v>
      </c>
      <c r="S228" s="40"/>
      <c r="T228" s="40"/>
      <c r="U228" s="69"/>
      <c r="V228" s="70"/>
      <c r="W228" s="64"/>
      <c r="X228" s="70"/>
      <c r="Y228" s="64"/>
      <c r="Z228" s="64"/>
      <c r="AA228" s="64"/>
      <c r="AB228" s="71"/>
      <c r="AC228" s="72"/>
      <c r="AD228" s="72"/>
      <c r="AE228" s="72"/>
      <c r="AF228" s="72"/>
      <c r="AG228" s="72"/>
      <c r="AH228" s="73"/>
    </row>
    <row r="229" spans="1:34">
      <c r="A229" s="40">
        <v>1866</v>
      </c>
      <c r="B229" s="64">
        <v>0.16600000000000001</v>
      </c>
      <c r="C229" s="65">
        <v>0.109</v>
      </c>
      <c r="D229" s="64">
        <v>0.106</v>
      </c>
      <c r="E229" s="65">
        <v>0.10299999999999999</v>
      </c>
      <c r="F229" s="64">
        <v>0.10199999999999999</v>
      </c>
      <c r="G229" s="65">
        <v>0.1</v>
      </c>
      <c r="H229" s="64">
        <v>9.6000000000000002E-2</v>
      </c>
      <c r="I229" s="64">
        <v>9.4E-2</v>
      </c>
      <c r="J229" s="64">
        <v>9.1999999999999998E-2</v>
      </c>
      <c r="K229" s="64">
        <v>0.09</v>
      </c>
      <c r="L229" s="64">
        <v>8.7999999999999995E-2</v>
      </c>
      <c r="M229" s="64">
        <v>8.5000000000000006E-2</v>
      </c>
      <c r="N229" s="66">
        <v>8.2000000000000003E-2</v>
      </c>
      <c r="O229" s="66">
        <v>8.1000000000000003E-2</v>
      </c>
      <c r="P229" s="67"/>
      <c r="R229" s="73">
        <v>-2.4</v>
      </c>
      <c r="S229" s="40"/>
      <c r="T229" s="40"/>
      <c r="U229" s="69"/>
      <c r="V229" s="70"/>
      <c r="W229" s="64"/>
      <c r="X229" s="70"/>
      <c r="Y229" s="64"/>
      <c r="Z229" s="64"/>
      <c r="AA229" s="64"/>
      <c r="AB229" s="71"/>
      <c r="AC229" s="72"/>
      <c r="AD229" s="72"/>
      <c r="AE229" s="72"/>
      <c r="AF229" s="72"/>
      <c r="AG229" s="72"/>
      <c r="AH229" s="73"/>
    </row>
    <row r="230" spans="1:34">
      <c r="A230" s="40">
        <v>1867</v>
      </c>
      <c r="B230" s="64">
        <v>0.154</v>
      </c>
      <c r="C230" s="65">
        <v>0.10100000000000001</v>
      </c>
      <c r="D230" s="64">
        <v>9.8000000000000004E-2</v>
      </c>
      <c r="E230" s="65">
        <v>9.6000000000000002E-2</v>
      </c>
      <c r="F230" s="64">
        <v>9.4E-2</v>
      </c>
      <c r="G230" s="65">
        <v>9.1999999999999998E-2</v>
      </c>
      <c r="H230" s="64">
        <v>8.8999999999999996E-2</v>
      </c>
      <c r="I230" s="64">
        <v>8.6999999999999994E-2</v>
      </c>
      <c r="J230" s="64">
        <v>8.5999999999999993E-2</v>
      </c>
      <c r="K230" s="64">
        <v>8.4000000000000005E-2</v>
      </c>
      <c r="L230" s="64">
        <v>8.2000000000000003E-2</v>
      </c>
      <c r="M230" s="64">
        <v>7.9000000000000001E-2</v>
      </c>
      <c r="N230" s="66">
        <v>7.5999999999999998E-2</v>
      </c>
      <c r="O230" s="66">
        <v>7.4999999999999997E-2</v>
      </c>
      <c r="P230" s="67"/>
      <c r="R230" s="73">
        <v>-7.2</v>
      </c>
      <c r="S230" s="40"/>
      <c r="T230" s="40"/>
      <c r="U230" s="69"/>
      <c r="V230" s="70"/>
      <c r="W230" s="64"/>
      <c r="X230" s="70"/>
      <c r="Y230" s="64"/>
      <c r="Z230" s="64"/>
      <c r="AA230" s="64"/>
      <c r="AB230" s="71"/>
      <c r="AC230" s="72"/>
      <c r="AD230" s="72"/>
      <c r="AE230" s="72"/>
      <c r="AF230" s="72"/>
      <c r="AG230" s="72"/>
      <c r="AH230" s="73"/>
    </row>
    <row r="231" spans="1:34">
      <c r="A231" s="40">
        <v>1868</v>
      </c>
      <c r="B231" s="64">
        <v>0.14799999999999999</v>
      </c>
      <c r="C231" s="65">
        <v>9.7000000000000003E-2</v>
      </c>
      <c r="D231" s="64">
        <v>9.4E-2</v>
      </c>
      <c r="E231" s="65">
        <v>9.1999999999999998E-2</v>
      </c>
      <c r="F231" s="64">
        <v>9.0999999999999998E-2</v>
      </c>
      <c r="G231" s="65">
        <v>8.8999999999999996E-2</v>
      </c>
      <c r="H231" s="64">
        <v>8.5999999999999993E-2</v>
      </c>
      <c r="I231" s="64">
        <v>8.4000000000000005E-2</v>
      </c>
      <c r="J231" s="64">
        <v>8.2000000000000003E-2</v>
      </c>
      <c r="K231" s="64">
        <v>0.08</v>
      </c>
      <c r="L231" s="64">
        <v>7.8E-2</v>
      </c>
      <c r="M231" s="64">
        <v>7.5999999999999998E-2</v>
      </c>
      <c r="N231" s="66">
        <v>7.2999999999999995E-2</v>
      </c>
      <c r="O231" s="66">
        <v>7.1999999999999995E-2</v>
      </c>
      <c r="P231" s="67"/>
      <c r="R231" s="73">
        <v>-3.9</v>
      </c>
      <c r="S231" s="40"/>
      <c r="T231" s="40"/>
      <c r="U231" s="69"/>
      <c r="V231" s="70"/>
      <c r="W231" s="64"/>
      <c r="X231" s="70"/>
      <c r="Y231" s="64"/>
      <c r="Z231" s="64"/>
      <c r="AA231" s="64"/>
      <c r="AB231" s="71"/>
      <c r="AC231" s="72"/>
      <c r="AD231" s="72"/>
      <c r="AE231" s="72"/>
      <c r="AF231" s="72"/>
      <c r="AG231" s="72"/>
      <c r="AH231" s="73"/>
    </row>
    <row r="232" spans="1:34">
      <c r="A232" s="40">
        <v>1869</v>
      </c>
      <c r="B232" s="64">
        <v>0.14199999999999999</v>
      </c>
      <c r="C232" s="65">
        <v>9.2999999999999999E-2</v>
      </c>
      <c r="D232" s="64">
        <v>9.0999999999999998E-2</v>
      </c>
      <c r="E232" s="65">
        <v>8.7999999999999995E-2</v>
      </c>
      <c r="F232" s="64">
        <v>8.6999999999999994E-2</v>
      </c>
      <c r="G232" s="65">
        <v>8.5000000000000006E-2</v>
      </c>
      <c r="H232" s="64">
        <v>8.2000000000000003E-2</v>
      </c>
      <c r="I232" s="64">
        <v>0.08</v>
      </c>
      <c r="J232" s="64">
        <v>7.9000000000000001E-2</v>
      </c>
      <c r="K232" s="64">
        <v>7.6999999999999999E-2</v>
      </c>
      <c r="L232" s="64">
        <v>7.4999999999999997E-2</v>
      </c>
      <c r="M232" s="64">
        <v>7.2999999999999995E-2</v>
      </c>
      <c r="N232" s="66">
        <v>7.0000000000000007E-2</v>
      </c>
      <c r="O232" s="66">
        <v>6.9000000000000006E-2</v>
      </c>
      <c r="P232" s="67"/>
      <c r="R232" s="73">
        <v>-4.0999999999999996</v>
      </c>
      <c r="S232" s="40"/>
      <c r="T232" s="40"/>
      <c r="U232" s="69"/>
      <c r="V232" s="70"/>
      <c r="W232" s="64"/>
      <c r="X232" s="70"/>
      <c r="Y232" s="64"/>
      <c r="Z232" s="64"/>
      <c r="AA232" s="64"/>
      <c r="AB232" s="71"/>
      <c r="AC232" s="72"/>
      <c r="AD232" s="72"/>
      <c r="AE232" s="72"/>
      <c r="AF232" s="72"/>
      <c r="AG232" s="72"/>
      <c r="AH232" s="73"/>
    </row>
    <row r="233" spans="1:34">
      <c r="A233" s="40">
        <v>1870</v>
      </c>
      <c r="B233" s="64">
        <v>0.13600000000000001</v>
      </c>
      <c r="C233" s="65">
        <v>8.8999999999999996E-2</v>
      </c>
      <c r="D233" s="64">
        <v>8.6999999999999994E-2</v>
      </c>
      <c r="E233" s="65">
        <v>8.5000000000000006E-2</v>
      </c>
      <c r="F233" s="64">
        <v>8.3000000000000004E-2</v>
      </c>
      <c r="G233" s="65">
        <v>8.2000000000000003E-2</v>
      </c>
      <c r="H233" s="64">
        <v>7.9000000000000001E-2</v>
      </c>
      <c r="I233" s="64">
        <v>7.6999999999999999E-2</v>
      </c>
      <c r="J233" s="64">
        <v>7.5999999999999998E-2</v>
      </c>
      <c r="K233" s="64">
        <v>7.3999999999999996E-2</v>
      </c>
      <c r="L233" s="64">
        <v>7.1999999999999995E-2</v>
      </c>
      <c r="M233" s="64">
        <v>7.0000000000000007E-2</v>
      </c>
      <c r="N233" s="66">
        <v>6.7000000000000004E-2</v>
      </c>
      <c r="O233" s="66">
        <v>6.6000000000000003E-2</v>
      </c>
      <c r="P233" s="67"/>
      <c r="R233" s="73">
        <v>-4.2</v>
      </c>
      <c r="S233" s="40"/>
      <c r="T233" s="40"/>
      <c r="U233" s="69"/>
      <c r="V233" s="70"/>
      <c r="W233" s="64"/>
      <c r="X233" s="70"/>
      <c r="Y233" s="64"/>
      <c r="Z233" s="64"/>
      <c r="AA233" s="64"/>
      <c r="AB233" s="71"/>
      <c r="AC233" s="72"/>
      <c r="AD233" s="72"/>
      <c r="AE233" s="72"/>
      <c r="AF233" s="72"/>
      <c r="AG233" s="72"/>
      <c r="AH233" s="73"/>
    </row>
    <row r="234" spans="1:34">
      <c r="A234" s="40">
        <v>1871</v>
      </c>
      <c r="B234" s="64">
        <v>0.127</v>
      </c>
      <c r="C234" s="65">
        <v>8.3000000000000004E-2</v>
      </c>
      <c r="D234" s="64">
        <v>8.1000000000000003E-2</v>
      </c>
      <c r="E234" s="65">
        <v>7.9000000000000001E-2</v>
      </c>
      <c r="F234" s="64">
        <v>7.8E-2</v>
      </c>
      <c r="G234" s="65">
        <v>7.5999999999999998E-2</v>
      </c>
      <c r="H234" s="64">
        <v>7.3999999999999996E-2</v>
      </c>
      <c r="I234" s="64">
        <v>7.1999999999999995E-2</v>
      </c>
      <c r="J234" s="64">
        <v>7.0999999999999994E-2</v>
      </c>
      <c r="K234" s="64">
        <v>6.9000000000000006E-2</v>
      </c>
      <c r="L234" s="64">
        <v>6.7000000000000004E-2</v>
      </c>
      <c r="M234" s="64">
        <v>6.5000000000000002E-2</v>
      </c>
      <c r="N234" s="66">
        <v>6.3E-2</v>
      </c>
      <c r="O234" s="66">
        <v>6.2E-2</v>
      </c>
      <c r="P234" s="67"/>
      <c r="R234" s="73">
        <v>-6.6</v>
      </c>
      <c r="S234" s="40"/>
      <c r="T234" s="40"/>
      <c r="U234" s="69"/>
      <c r="V234" s="70"/>
      <c r="W234" s="64"/>
      <c r="X234" s="70"/>
      <c r="Y234" s="64"/>
      <c r="Z234" s="64"/>
      <c r="AA234" s="64"/>
      <c r="AB234" s="71"/>
      <c r="AC234" s="72"/>
      <c r="AD234" s="72"/>
      <c r="AE234" s="72"/>
      <c r="AF234" s="72"/>
      <c r="AG234" s="72"/>
      <c r="AH234" s="73"/>
    </row>
    <row r="235" spans="1:34">
      <c r="A235" s="40">
        <v>1872</v>
      </c>
      <c r="B235" s="64">
        <v>0.127</v>
      </c>
      <c r="C235" s="65">
        <v>8.3000000000000004E-2</v>
      </c>
      <c r="D235" s="64">
        <v>8.1000000000000003E-2</v>
      </c>
      <c r="E235" s="65">
        <v>7.9000000000000001E-2</v>
      </c>
      <c r="F235" s="64">
        <v>7.8E-2</v>
      </c>
      <c r="G235" s="65">
        <v>7.5999999999999998E-2</v>
      </c>
      <c r="H235" s="64">
        <v>7.3999999999999996E-2</v>
      </c>
      <c r="I235" s="64">
        <v>7.1999999999999995E-2</v>
      </c>
      <c r="J235" s="64">
        <v>7.0999999999999994E-2</v>
      </c>
      <c r="K235" s="64">
        <v>6.9000000000000006E-2</v>
      </c>
      <c r="L235" s="64">
        <v>6.7000000000000004E-2</v>
      </c>
      <c r="M235" s="64">
        <v>6.5000000000000002E-2</v>
      </c>
      <c r="N235" s="66">
        <v>6.3E-2</v>
      </c>
      <c r="O235" s="66">
        <v>6.2E-2</v>
      </c>
      <c r="P235" s="67"/>
      <c r="R235" s="73">
        <v>0</v>
      </c>
      <c r="S235" s="40"/>
      <c r="T235" s="40"/>
      <c r="U235" s="69"/>
      <c r="V235" s="70"/>
      <c r="W235" s="64"/>
      <c r="X235" s="70"/>
      <c r="Y235" s="64"/>
      <c r="Z235" s="64"/>
      <c r="AA235" s="64"/>
      <c r="AB235" s="71"/>
      <c r="AC235" s="72"/>
      <c r="AD235" s="72"/>
      <c r="AE235" s="72"/>
      <c r="AF235" s="72"/>
      <c r="AG235" s="72"/>
      <c r="AH235" s="73"/>
    </row>
    <row r="236" spans="1:34">
      <c r="A236" s="40">
        <v>1873</v>
      </c>
      <c r="B236" s="64">
        <v>0.125</v>
      </c>
      <c r="C236" s="65">
        <v>8.2000000000000003E-2</v>
      </c>
      <c r="D236" s="64">
        <v>0.08</v>
      </c>
      <c r="E236" s="65">
        <v>7.8E-2</v>
      </c>
      <c r="F236" s="64">
        <v>7.6999999999999999E-2</v>
      </c>
      <c r="G236" s="65">
        <v>7.4999999999999997E-2</v>
      </c>
      <c r="H236" s="64">
        <v>7.2999999999999995E-2</v>
      </c>
      <c r="I236" s="64">
        <v>7.0999999999999994E-2</v>
      </c>
      <c r="J236" s="64">
        <v>6.9000000000000006E-2</v>
      </c>
      <c r="K236" s="64">
        <v>6.8000000000000005E-2</v>
      </c>
      <c r="L236" s="64">
        <v>6.6000000000000003E-2</v>
      </c>
      <c r="M236" s="64">
        <v>6.4000000000000001E-2</v>
      </c>
      <c r="N236" s="66">
        <v>6.2E-2</v>
      </c>
      <c r="O236" s="66">
        <v>6.0999999999999999E-2</v>
      </c>
      <c r="P236" s="67"/>
      <c r="R236" s="73">
        <v>-1.6</v>
      </c>
      <c r="S236" s="40"/>
      <c r="T236" s="40"/>
      <c r="U236" s="69"/>
      <c r="V236" s="70"/>
      <c r="W236" s="64"/>
      <c r="X236" s="70"/>
      <c r="Y236" s="64"/>
      <c r="Z236" s="64"/>
      <c r="AA236" s="64"/>
      <c r="AB236" s="71"/>
      <c r="AC236" s="72"/>
      <c r="AD236" s="72"/>
      <c r="AE236" s="72"/>
      <c r="AF236" s="72"/>
      <c r="AG236" s="72"/>
      <c r="AH236" s="73"/>
    </row>
    <row r="237" spans="1:34">
      <c r="A237" s="40">
        <v>1874</v>
      </c>
      <c r="B237" s="64">
        <v>0.11899999999999999</v>
      </c>
      <c r="C237" s="65">
        <v>7.8E-2</v>
      </c>
      <c r="D237" s="64">
        <v>7.5999999999999998E-2</v>
      </c>
      <c r="E237" s="65">
        <v>7.3999999999999996E-2</v>
      </c>
      <c r="F237" s="64">
        <v>7.2999999999999995E-2</v>
      </c>
      <c r="G237" s="65">
        <v>7.0999999999999994E-2</v>
      </c>
      <c r="H237" s="64">
        <v>6.9000000000000006E-2</v>
      </c>
      <c r="I237" s="64">
        <v>6.7000000000000004E-2</v>
      </c>
      <c r="J237" s="64">
        <v>6.6000000000000003E-2</v>
      </c>
      <c r="K237" s="64">
        <v>6.5000000000000002E-2</v>
      </c>
      <c r="L237" s="64">
        <v>6.3E-2</v>
      </c>
      <c r="M237" s="64">
        <v>6.0999999999999999E-2</v>
      </c>
      <c r="N237" s="66">
        <v>5.8999999999999997E-2</v>
      </c>
      <c r="O237" s="66">
        <v>5.8000000000000003E-2</v>
      </c>
      <c r="P237" s="67"/>
      <c r="R237" s="73">
        <v>-4.8</v>
      </c>
      <c r="S237" s="40"/>
      <c r="T237" s="40"/>
      <c r="U237" s="69"/>
      <c r="V237" s="70"/>
      <c r="W237" s="64"/>
      <c r="X237" s="70"/>
      <c r="Y237" s="64"/>
      <c r="Z237" s="64"/>
      <c r="AA237" s="64"/>
      <c r="AB237" s="71"/>
      <c r="AC237" s="72"/>
      <c r="AD237" s="72"/>
      <c r="AE237" s="72"/>
      <c r="AF237" s="72"/>
      <c r="AG237" s="72"/>
      <c r="AH237" s="73"/>
    </row>
    <row r="238" spans="1:34">
      <c r="A238" s="40">
        <v>1875</v>
      </c>
      <c r="B238" s="64">
        <v>0.114</v>
      </c>
      <c r="C238" s="65">
        <v>7.4999999999999997E-2</v>
      </c>
      <c r="D238" s="64">
        <v>7.2999999999999995E-2</v>
      </c>
      <c r="E238" s="65">
        <v>7.0999999999999994E-2</v>
      </c>
      <c r="F238" s="64">
        <v>7.0000000000000007E-2</v>
      </c>
      <c r="G238" s="65">
        <v>6.8000000000000005E-2</v>
      </c>
      <c r="H238" s="64">
        <v>6.6000000000000003E-2</v>
      </c>
      <c r="I238" s="64">
        <v>6.4000000000000001E-2</v>
      </c>
      <c r="J238" s="64">
        <v>6.3E-2</v>
      </c>
      <c r="K238" s="64">
        <v>6.2E-2</v>
      </c>
      <c r="L238" s="64">
        <v>0.06</v>
      </c>
      <c r="M238" s="64">
        <v>5.8000000000000003E-2</v>
      </c>
      <c r="N238" s="66">
        <v>5.7000000000000002E-2</v>
      </c>
      <c r="O238" s="66">
        <v>5.5E-2</v>
      </c>
      <c r="P238" s="67"/>
      <c r="R238" s="73">
        <v>-4.2</v>
      </c>
      <c r="S238" s="40"/>
      <c r="T238" s="40"/>
      <c r="U238" s="69"/>
      <c r="V238" s="70"/>
      <c r="W238" s="64"/>
      <c r="X238" s="70"/>
      <c r="Y238" s="64"/>
      <c r="Z238" s="64"/>
      <c r="AA238" s="64"/>
      <c r="AB238" s="71"/>
      <c r="AC238" s="72"/>
      <c r="AD238" s="72"/>
      <c r="AE238" s="72"/>
      <c r="AF238" s="72"/>
      <c r="AG238" s="72"/>
      <c r="AH238" s="73"/>
    </row>
    <row r="239" spans="1:34">
      <c r="A239" s="40">
        <v>1876</v>
      </c>
      <c r="B239" s="64">
        <v>0.112</v>
      </c>
      <c r="C239" s="65">
        <v>7.2999999999999995E-2</v>
      </c>
      <c r="D239" s="64">
        <v>7.0999999999999994E-2</v>
      </c>
      <c r="E239" s="65">
        <v>7.0000000000000007E-2</v>
      </c>
      <c r="F239" s="64">
        <v>6.9000000000000006E-2</v>
      </c>
      <c r="G239" s="65">
        <v>6.7000000000000004E-2</v>
      </c>
      <c r="H239" s="64">
        <v>6.5000000000000002E-2</v>
      </c>
      <c r="I239" s="64">
        <v>6.3E-2</v>
      </c>
      <c r="J239" s="64">
        <v>6.2E-2</v>
      </c>
      <c r="K239" s="64">
        <v>6.0999999999999999E-2</v>
      </c>
      <c r="L239" s="64">
        <v>5.8999999999999997E-2</v>
      </c>
      <c r="M239" s="64">
        <v>5.7000000000000002E-2</v>
      </c>
      <c r="N239" s="66">
        <v>5.6000000000000001E-2</v>
      </c>
      <c r="O239" s="66">
        <v>5.3999999999999999E-2</v>
      </c>
      <c r="P239" s="67"/>
      <c r="R239" s="73">
        <v>-1.8</v>
      </c>
      <c r="S239" s="40"/>
      <c r="T239" s="40"/>
      <c r="U239" s="69"/>
      <c r="V239" s="70"/>
      <c r="W239" s="64"/>
      <c r="X239" s="70"/>
      <c r="Y239" s="64"/>
      <c r="Z239" s="64"/>
      <c r="AA239" s="64"/>
      <c r="AB239" s="71"/>
      <c r="AC239" s="72"/>
      <c r="AD239" s="72"/>
      <c r="AE239" s="72"/>
      <c r="AF239" s="72"/>
      <c r="AG239" s="72"/>
      <c r="AH239" s="73"/>
    </row>
    <row r="240" spans="1:34">
      <c r="A240" s="40">
        <v>1877</v>
      </c>
      <c r="B240" s="64">
        <v>0.109</v>
      </c>
      <c r="C240" s="65">
        <v>7.1999999999999995E-2</v>
      </c>
      <c r="D240" s="64">
        <v>6.9000000000000006E-2</v>
      </c>
      <c r="E240" s="65">
        <v>6.8000000000000005E-2</v>
      </c>
      <c r="F240" s="64">
        <v>6.7000000000000004E-2</v>
      </c>
      <c r="G240" s="65">
        <v>6.5000000000000002E-2</v>
      </c>
      <c r="H240" s="64">
        <v>6.3E-2</v>
      </c>
      <c r="I240" s="64">
        <v>6.2E-2</v>
      </c>
      <c r="J240" s="64">
        <v>6.0999999999999999E-2</v>
      </c>
      <c r="K240" s="64">
        <v>5.8999999999999997E-2</v>
      </c>
      <c r="L240" s="64">
        <v>5.8000000000000003E-2</v>
      </c>
      <c r="M240" s="64">
        <v>5.6000000000000001E-2</v>
      </c>
      <c r="N240" s="66">
        <v>5.3999999999999999E-2</v>
      </c>
      <c r="O240" s="66">
        <v>5.2999999999999999E-2</v>
      </c>
      <c r="P240" s="67"/>
      <c r="R240" s="73">
        <v>-2.7</v>
      </c>
      <c r="S240" s="40"/>
      <c r="T240" s="40"/>
      <c r="U240" s="69"/>
      <c r="V240" s="70"/>
      <c r="W240" s="64"/>
      <c r="X240" s="70"/>
      <c r="Y240" s="64"/>
      <c r="Z240" s="64"/>
      <c r="AA240" s="64"/>
      <c r="AB240" s="71"/>
      <c r="AC240" s="72"/>
      <c r="AD240" s="72"/>
      <c r="AE240" s="72"/>
      <c r="AF240" s="72"/>
      <c r="AG240" s="72"/>
      <c r="AH240" s="73"/>
    </row>
    <row r="241" spans="1:34">
      <c r="A241" s="40">
        <v>1878</v>
      </c>
      <c r="B241" s="64">
        <v>0.104</v>
      </c>
      <c r="C241" s="65">
        <v>6.8000000000000005E-2</v>
      </c>
      <c r="D241" s="64">
        <v>6.6000000000000003E-2</v>
      </c>
      <c r="E241" s="65">
        <v>6.5000000000000002E-2</v>
      </c>
      <c r="F241" s="64">
        <v>6.4000000000000001E-2</v>
      </c>
      <c r="G241" s="65">
        <v>6.2E-2</v>
      </c>
      <c r="H241" s="64">
        <v>0.06</v>
      </c>
      <c r="I241" s="64">
        <v>5.8999999999999997E-2</v>
      </c>
      <c r="J241" s="64">
        <v>5.8000000000000003E-2</v>
      </c>
      <c r="K241" s="64">
        <v>5.7000000000000002E-2</v>
      </c>
      <c r="L241" s="64">
        <v>5.5E-2</v>
      </c>
      <c r="M241" s="64">
        <v>5.2999999999999999E-2</v>
      </c>
      <c r="N241" s="66">
        <v>5.1999999999999998E-2</v>
      </c>
      <c r="O241" s="66">
        <v>5.0999999999999997E-2</v>
      </c>
      <c r="P241" s="67"/>
      <c r="R241" s="73">
        <v>-4.5999999999999996</v>
      </c>
      <c r="S241" s="40"/>
      <c r="T241" s="40"/>
      <c r="U241" s="69"/>
      <c r="V241" s="70"/>
      <c r="W241" s="64"/>
      <c r="X241" s="70"/>
      <c r="Y241" s="64"/>
      <c r="Z241" s="64"/>
      <c r="AA241" s="64"/>
      <c r="AB241" s="71"/>
      <c r="AC241" s="72"/>
      <c r="AD241" s="72"/>
      <c r="AE241" s="72"/>
      <c r="AF241" s="72"/>
      <c r="AG241" s="72"/>
      <c r="AH241" s="73"/>
    </row>
    <row r="242" spans="1:34">
      <c r="A242" s="40">
        <v>1879</v>
      </c>
      <c r="B242" s="64">
        <v>0.104</v>
      </c>
      <c r="C242" s="65">
        <v>6.8000000000000005E-2</v>
      </c>
      <c r="D242" s="64">
        <v>6.6000000000000003E-2</v>
      </c>
      <c r="E242" s="65">
        <v>6.5000000000000002E-2</v>
      </c>
      <c r="F242" s="64">
        <v>6.4000000000000001E-2</v>
      </c>
      <c r="G242" s="65">
        <v>6.2E-2</v>
      </c>
      <c r="H242" s="64">
        <v>0.06</v>
      </c>
      <c r="I242" s="64">
        <v>5.8999999999999997E-2</v>
      </c>
      <c r="J242" s="64">
        <v>5.8000000000000003E-2</v>
      </c>
      <c r="K242" s="64">
        <v>5.7000000000000002E-2</v>
      </c>
      <c r="L242" s="64">
        <v>5.5E-2</v>
      </c>
      <c r="M242" s="64">
        <v>5.2999999999999999E-2</v>
      </c>
      <c r="N242" s="66">
        <v>5.1999999999999998E-2</v>
      </c>
      <c r="O242" s="66">
        <v>5.0999999999999997E-2</v>
      </c>
      <c r="P242" s="67"/>
      <c r="R242" s="73">
        <v>0</v>
      </c>
      <c r="S242" s="40"/>
      <c r="T242" s="40"/>
      <c r="U242" s="69"/>
      <c r="V242" s="70"/>
      <c r="W242" s="64"/>
      <c r="X242" s="70"/>
      <c r="Y242" s="64"/>
      <c r="Z242" s="64"/>
      <c r="AA242" s="64"/>
      <c r="AB242" s="71"/>
      <c r="AC242" s="72"/>
      <c r="AD242" s="72"/>
      <c r="AE242" s="72"/>
      <c r="AF242" s="72"/>
      <c r="AG242" s="72"/>
      <c r="AH242" s="73"/>
    </row>
    <row r="243" spans="1:34">
      <c r="A243" s="40">
        <v>1880</v>
      </c>
      <c r="B243" s="64">
        <v>0.107</v>
      </c>
      <c r="C243" s="65">
        <v>7.0000000000000007E-2</v>
      </c>
      <c r="D243" s="64">
        <v>6.8000000000000005E-2</v>
      </c>
      <c r="E243" s="65">
        <v>6.7000000000000004E-2</v>
      </c>
      <c r="F243" s="64">
        <v>6.6000000000000003E-2</v>
      </c>
      <c r="G243" s="65">
        <v>6.4000000000000001E-2</v>
      </c>
      <c r="H243" s="64">
        <v>6.2E-2</v>
      </c>
      <c r="I243" s="64">
        <v>0.06</v>
      </c>
      <c r="J243" s="64">
        <v>5.8999999999999997E-2</v>
      </c>
      <c r="K243" s="64">
        <v>5.8000000000000003E-2</v>
      </c>
      <c r="L243" s="64">
        <v>5.7000000000000002E-2</v>
      </c>
      <c r="M243" s="64">
        <v>5.5E-2</v>
      </c>
      <c r="N243" s="66">
        <v>5.2999999999999999E-2</v>
      </c>
      <c r="O243" s="66">
        <v>5.1999999999999998E-2</v>
      </c>
      <c r="P243" s="67"/>
      <c r="R243" s="73">
        <v>2.9</v>
      </c>
      <c r="S243" s="40"/>
      <c r="T243" s="40"/>
      <c r="U243" s="69"/>
      <c r="V243" s="70"/>
      <c r="W243" s="64"/>
      <c r="X243" s="70"/>
      <c r="Y243" s="64"/>
      <c r="Z243" s="64"/>
      <c r="AA243" s="64"/>
      <c r="AB243" s="71"/>
      <c r="AC243" s="72"/>
      <c r="AD243" s="72"/>
      <c r="AE243" s="72"/>
      <c r="AF243" s="72"/>
      <c r="AG243" s="72"/>
      <c r="AH243" s="73"/>
    </row>
    <row r="244" spans="1:34">
      <c r="A244" s="40">
        <v>1881</v>
      </c>
      <c r="B244" s="64">
        <v>0.107</v>
      </c>
      <c r="C244" s="65">
        <v>7.0000000000000007E-2</v>
      </c>
      <c r="D244" s="64">
        <v>6.8000000000000005E-2</v>
      </c>
      <c r="E244" s="65">
        <v>6.7000000000000004E-2</v>
      </c>
      <c r="F244" s="64">
        <v>6.6000000000000003E-2</v>
      </c>
      <c r="G244" s="65">
        <v>6.4000000000000001E-2</v>
      </c>
      <c r="H244" s="64">
        <v>6.2E-2</v>
      </c>
      <c r="I244" s="64">
        <v>0.06</v>
      </c>
      <c r="J244" s="64">
        <v>5.8999999999999997E-2</v>
      </c>
      <c r="K244" s="64">
        <v>5.8000000000000003E-2</v>
      </c>
      <c r="L244" s="64">
        <v>5.7000000000000002E-2</v>
      </c>
      <c r="M244" s="64">
        <v>5.5E-2</v>
      </c>
      <c r="N244" s="66">
        <v>5.2999999999999999E-2</v>
      </c>
      <c r="O244" s="66">
        <v>5.1999999999999998E-2</v>
      </c>
      <c r="P244" s="67"/>
      <c r="R244" s="73">
        <v>0</v>
      </c>
      <c r="S244" s="40"/>
      <c r="T244" s="40"/>
      <c r="U244" s="69"/>
      <c r="V244" s="70"/>
      <c r="W244" s="64"/>
      <c r="X244" s="70"/>
      <c r="Y244" s="64"/>
      <c r="Z244" s="64"/>
      <c r="AA244" s="64"/>
      <c r="AB244" s="71"/>
      <c r="AC244" s="72"/>
      <c r="AD244" s="72"/>
      <c r="AE244" s="72"/>
      <c r="AF244" s="72"/>
      <c r="AG244" s="72"/>
      <c r="AH244" s="73"/>
    </row>
    <row r="245" spans="1:34">
      <c r="A245" s="40">
        <v>1882</v>
      </c>
      <c r="B245" s="64">
        <v>0.107</v>
      </c>
      <c r="C245" s="65">
        <v>7.0000000000000007E-2</v>
      </c>
      <c r="D245" s="64">
        <v>6.8000000000000005E-2</v>
      </c>
      <c r="E245" s="65">
        <v>6.7000000000000004E-2</v>
      </c>
      <c r="F245" s="64">
        <v>6.6000000000000003E-2</v>
      </c>
      <c r="G245" s="65">
        <v>6.4000000000000001E-2</v>
      </c>
      <c r="H245" s="64">
        <v>6.2E-2</v>
      </c>
      <c r="I245" s="64">
        <v>0.06</v>
      </c>
      <c r="J245" s="64">
        <v>5.8999999999999997E-2</v>
      </c>
      <c r="K245" s="64">
        <v>5.8000000000000003E-2</v>
      </c>
      <c r="L245" s="64">
        <v>5.7000000000000002E-2</v>
      </c>
      <c r="M245" s="64">
        <v>5.5E-2</v>
      </c>
      <c r="N245" s="66">
        <v>5.2999999999999999E-2</v>
      </c>
      <c r="O245" s="66">
        <v>5.1999999999999998E-2</v>
      </c>
      <c r="P245" s="67"/>
      <c r="R245" s="73">
        <v>0</v>
      </c>
      <c r="S245" s="40"/>
      <c r="T245" s="40"/>
      <c r="U245" s="69"/>
      <c r="V245" s="70"/>
      <c r="W245" s="64"/>
      <c r="X245" s="70"/>
      <c r="Y245" s="64"/>
      <c r="Z245" s="64"/>
      <c r="AA245" s="64"/>
      <c r="AB245" s="71"/>
      <c r="AC245" s="72"/>
      <c r="AD245" s="72"/>
      <c r="AE245" s="72"/>
      <c r="AF245" s="72"/>
      <c r="AG245" s="72"/>
      <c r="AH245" s="73"/>
    </row>
    <row r="246" spans="1:34">
      <c r="A246" s="40">
        <v>1883</v>
      </c>
      <c r="B246" s="64">
        <v>0.105</v>
      </c>
      <c r="C246" s="65">
        <v>6.9000000000000006E-2</v>
      </c>
      <c r="D246" s="64">
        <v>6.7000000000000004E-2</v>
      </c>
      <c r="E246" s="65">
        <v>6.5000000000000002E-2</v>
      </c>
      <c r="F246" s="64">
        <v>6.4000000000000001E-2</v>
      </c>
      <c r="G246" s="65">
        <v>6.3E-2</v>
      </c>
      <c r="H246" s="64">
        <v>6.0999999999999999E-2</v>
      </c>
      <c r="I246" s="64">
        <v>5.8999999999999997E-2</v>
      </c>
      <c r="J246" s="64">
        <v>5.8000000000000003E-2</v>
      </c>
      <c r="K246" s="64">
        <v>5.7000000000000002E-2</v>
      </c>
      <c r="L246" s="64">
        <v>5.6000000000000001E-2</v>
      </c>
      <c r="M246" s="64">
        <v>5.3999999999999999E-2</v>
      </c>
      <c r="N246" s="66">
        <v>5.1999999999999998E-2</v>
      </c>
      <c r="O246" s="66">
        <v>5.0999999999999997E-2</v>
      </c>
      <c r="P246" s="67"/>
      <c r="R246" s="73">
        <v>-1.9</v>
      </c>
      <c r="S246" s="40"/>
      <c r="T246" s="40"/>
      <c r="U246" s="69"/>
      <c r="V246" s="70"/>
      <c r="W246" s="64"/>
      <c r="X246" s="70"/>
      <c r="Y246" s="64"/>
      <c r="Z246" s="64"/>
      <c r="AA246" s="64"/>
      <c r="AB246" s="71"/>
      <c r="AC246" s="72"/>
      <c r="AD246" s="72"/>
      <c r="AE246" s="72"/>
      <c r="AF246" s="72"/>
      <c r="AG246" s="72"/>
      <c r="AH246" s="73"/>
    </row>
    <row r="247" spans="1:34">
      <c r="A247" s="40">
        <v>1884</v>
      </c>
      <c r="B247" s="64">
        <v>0.10199999999999999</v>
      </c>
      <c r="C247" s="65">
        <v>6.7000000000000004E-2</v>
      </c>
      <c r="D247" s="64">
        <v>6.5000000000000002E-2</v>
      </c>
      <c r="E247" s="65">
        <v>6.4000000000000001E-2</v>
      </c>
      <c r="F247" s="64">
        <v>6.3E-2</v>
      </c>
      <c r="G247" s="65">
        <v>6.0999999999999999E-2</v>
      </c>
      <c r="H247" s="64">
        <v>5.8999999999999997E-2</v>
      </c>
      <c r="I247" s="64">
        <v>5.8000000000000003E-2</v>
      </c>
      <c r="J247" s="64">
        <v>5.7000000000000002E-2</v>
      </c>
      <c r="K247" s="64">
        <v>5.5E-2</v>
      </c>
      <c r="L247" s="64">
        <v>5.3999999999999999E-2</v>
      </c>
      <c r="M247" s="64">
        <v>5.1999999999999998E-2</v>
      </c>
      <c r="N247" s="66">
        <v>5.0999999999999997E-2</v>
      </c>
      <c r="O247" s="66">
        <v>0.05</v>
      </c>
      <c r="P247" s="67"/>
      <c r="R247" s="73">
        <v>-2.9</v>
      </c>
      <c r="S247" s="40"/>
      <c r="T247" s="40"/>
      <c r="U247" s="69"/>
      <c r="V247" s="70"/>
      <c r="W247" s="64"/>
      <c r="X247" s="70"/>
      <c r="Y247" s="64"/>
      <c r="Z247" s="64"/>
      <c r="AA247" s="64"/>
      <c r="AB247" s="71"/>
      <c r="AC247" s="72"/>
      <c r="AD247" s="72"/>
      <c r="AE247" s="72"/>
      <c r="AF247" s="72"/>
      <c r="AG247" s="72"/>
      <c r="AH247" s="73"/>
    </row>
    <row r="248" spans="1:34">
      <c r="A248" s="40">
        <v>1885</v>
      </c>
      <c r="B248" s="64">
        <v>0.10100000000000001</v>
      </c>
      <c r="C248" s="65">
        <v>6.6000000000000003E-2</v>
      </c>
      <c r="D248" s="64">
        <v>6.4000000000000001E-2</v>
      </c>
      <c r="E248" s="65">
        <v>6.3E-2</v>
      </c>
      <c r="F248" s="64">
        <v>6.2E-2</v>
      </c>
      <c r="G248" s="65">
        <v>6.0999999999999999E-2</v>
      </c>
      <c r="H248" s="64">
        <v>5.8999999999999997E-2</v>
      </c>
      <c r="I248" s="64">
        <v>5.7000000000000002E-2</v>
      </c>
      <c r="J248" s="64">
        <v>5.6000000000000001E-2</v>
      </c>
      <c r="K248" s="64">
        <v>5.5E-2</v>
      </c>
      <c r="L248" s="64">
        <v>5.2999999999999999E-2</v>
      </c>
      <c r="M248" s="64">
        <v>5.1999999999999998E-2</v>
      </c>
      <c r="N248" s="66">
        <v>0.05</v>
      </c>
      <c r="O248" s="66">
        <v>4.9000000000000002E-2</v>
      </c>
      <c r="P248" s="67"/>
      <c r="R248" s="73">
        <v>-1</v>
      </c>
      <c r="S248" s="40"/>
      <c r="T248" s="40"/>
      <c r="U248" s="69"/>
      <c r="V248" s="70"/>
      <c r="W248" s="64"/>
      <c r="X248" s="70"/>
      <c r="Y248" s="64"/>
      <c r="Z248" s="64"/>
      <c r="AA248" s="64"/>
      <c r="AB248" s="71"/>
      <c r="AC248" s="72"/>
      <c r="AD248" s="72"/>
      <c r="AE248" s="72"/>
      <c r="AF248" s="72"/>
      <c r="AG248" s="72"/>
      <c r="AH248" s="73"/>
    </row>
    <row r="249" spans="1:34">
      <c r="A249" s="40">
        <v>1886</v>
      </c>
      <c r="B249" s="64">
        <v>9.8000000000000004E-2</v>
      </c>
      <c r="C249" s="65">
        <v>6.4000000000000001E-2</v>
      </c>
      <c r="D249" s="64">
        <v>6.2E-2</v>
      </c>
      <c r="E249" s="65">
        <v>6.0999999999999999E-2</v>
      </c>
      <c r="F249" s="64">
        <v>0.06</v>
      </c>
      <c r="G249" s="65">
        <v>5.8999999999999997E-2</v>
      </c>
      <c r="H249" s="64">
        <v>5.7000000000000002E-2</v>
      </c>
      <c r="I249" s="64">
        <v>5.5E-2</v>
      </c>
      <c r="J249" s="64">
        <v>5.3999999999999999E-2</v>
      </c>
      <c r="K249" s="64">
        <v>5.2999999999999999E-2</v>
      </c>
      <c r="L249" s="64">
        <v>5.1999999999999998E-2</v>
      </c>
      <c r="M249" s="64">
        <v>0.05</v>
      </c>
      <c r="N249" s="66">
        <v>4.9000000000000002E-2</v>
      </c>
      <c r="O249" s="66">
        <v>4.8000000000000001E-2</v>
      </c>
      <c r="P249" s="67"/>
      <c r="R249" s="73">
        <v>-3</v>
      </c>
      <c r="S249" s="40"/>
      <c r="T249" s="40"/>
      <c r="U249" s="69"/>
      <c r="V249" s="70"/>
      <c r="W249" s="64"/>
      <c r="X249" s="70"/>
      <c r="Y249" s="64"/>
      <c r="Z249" s="64"/>
      <c r="AA249" s="64"/>
      <c r="AB249" s="71"/>
      <c r="AC249" s="72"/>
      <c r="AD249" s="72"/>
      <c r="AE249" s="72"/>
      <c r="AF249" s="72"/>
      <c r="AG249" s="72"/>
      <c r="AH249" s="73"/>
    </row>
    <row r="250" spans="1:34">
      <c r="A250" s="40">
        <v>1887</v>
      </c>
      <c r="B250" s="64">
        <v>9.9000000000000005E-2</v>
      </c>
      <c r="C250" s="65">
        <v>6.5000000000000002E-2</v>
      </c>
      <c r="D250" s="64">
        <v>6.3E-2</v>
      </c>
      <c r="E250" s="65">
        <v>6.2E-2</v>
      </c>
      <c r="F250" s="64">
        <v>6.0999999999999999E-2</v>
      </c>
      <c r="G250" s="65">
        <v>5.8999999999999997E-2</v>
      </c>
      <c r="H250" s="64">
        <v>5.7000000000000002E-2</v>
      </c>
      <c r="I250" s="64">
        <v>5.6000000000000001E-2</v>
      </c>
      <c r="J250" s="64">
        <v>5.5E-2</v>
      </c>
      <c r="K250" s="64">
        <v>5.3999999999999999E-2</v>
      </c>
      <c r="L250" s="64">
        <v>5.1999999999999998E-2</v>
      </c>
      <c r="M250" s="64">
        <v>5.0999999999999997E-2</v>
      </c>
      <c r="N250" s="66">
        <v>4.9000000000000002E-2</v>
      </c>
      <c r="O250" s="66">
        <v>4.8000000000000001E-2</v>
      </c>
      <c r="P250" s="67"/>
      <c r="R250" s="73">
        <v>1</v>
      </c>
      <c r="S250" s="40"/>
      <c r="T250" s="40"/>
      <c r="U250" s="69"/>
      <c r="V250" s="70"/>
      <c r="W250" s="64"/>
      <c r="X250" s="70"/>
      <c r="Y250" s="64"/>
      <c r="Z250" s="64"/>
      <c r="AA250" s="64"/>
      <c r="AB250" s="71"/>
      <c r="AC250" s="72"/>
      <c r="AD250" s="72"/>
      <c r="AE250" s="72"/>
      <c r="AF250" s="72"/>
      <c r="AG250" s="72"/>
      <c r="AH250" s="73"/>
    </row>
    <row r="251" spans="1:34">
      <c r="A251" s="40">
        <v>1888</v>
      </c>
      <c r="B251" s="64">
        <v>9.9000000000000005E-2</v>
      </c>
      <c r="C251" s="65">
        <v>6.5000000000000002E-2</v>
      </c>
      <c r="D251" s="64">
        <v>6.3E-2</v>
      </c>
      <c r="E251" s="65">
        <v>6.2E-2</v>
      </c>
      <c r="F251" s="64">
        <v>6.0999999999999999E-2</v>
      </c>
      <c r="G251" s="65">
        <v>5.8999999999999997E-2</v>
      </c>
      <c r="H251" s="64">
        <v>5.7000000000000002E-2</v>
      </c>
      <c r="I251" s="64">
        <v>5.6000000000000001E-2</v>
      </c>
      <c r="J251" s="64">
        <v>5.5E-2</v>
      </c>
      <c r="K251" s="64">
        <v>5.3999999999999999E-2</v>
      </c>
      <c r="L251" s="64">
        <v>5.1999999999999998E-2</v>
      </c>
      <c r="M251" s="64">
        <v>5.0999999999999997E-2</v>
      </c>
      <c r="N251" s="66">
        <v>4.9000000000000002E-2</v>
      </c>
      <c r="O251" s="66">
        <v>4.8000000000000001E-2</v>
      </c>
      <c r="P251" s="67"/>
      <c r="R251" s="73">
        <v>0</v>
      </c>
      <c r="S251" s="40"/>
      <c r="T251" s="40"/>
      <c r="U251" s="69"/>
      <c r="V251" s="70"/>
      <c r="W251" s="64"/>
      <c r="X251" s="70"/>
      <c r="Y251" s="64"/>
      <c r="Z251" s="64"/>
      <c r="AA251" s="64"/>
      <c r="AB251" s="71"/>
      <c r="AC251" s="72"/>
      <c r="AD251" s="72"/>
      <c r="AE251" s="72"/>
      <c r="AF251" s="72"/>
      <c r="AG251" s="72"/>
      <c r="AH251" s="73"/>
    </row>
    <row r="252" spans="1:34">
      <c r="A252" s="40">
        <v>1889</v>
      </c>
      <c r="B252" s="64">
        <v>9.6000000000000002E-2</v>
      </c>
      <c r="C252" s="65">
        <v>6.3E-2</v>
      </c>
      <c r="D252" s="64">
        <v>6.0999999999999999E-2</v>
      </c>
      <c r="E252" s="65">
        <v>0.06</v>
      </c>
      <c r="F252" s="64">
        <v>5.8999999999999997E-2</v>
      </c>
      <c r="G252" s="65">
        <v>5.8000000000000003E-2</v>
      </c>
      <c r="H252" s="64">
        <v>5.6000000000000001E-2</v>
      </c>
      <c r="I252" s="64">
        <v>5.3999999999999999E-2</v>
      </c>
      <c r="J252" s="64">
        <v>5.2999999999999999E-2</v>
      </c>
      <c r="K252" s="64">
        <v>5.1999999999999998E-2</v>
      </c>
      <c r="L252" s="64">
        <v>5.0999999999999997E-2</v>
      </c>
      <c r="M252" s="64">
        <v>4.9000000000000002E-2</v>
      </c>
      <c r="N252" s="66">
        <v>4.8000000000000001E-2</v>
      </c>
      <c r="O252" s="66">
        <v>4.7E-2</v>
      </c>
      <c r="P252" s="67"/>
      <c r="R252" s="73">
        <v>-3</v>
      </c>
      <c r="S252" s="40"/>
      <c r="T252" s="40"/>
      <c r="U252" s="69"/>
      <c r="V252" s="70"/>
      <c r="W252" s="64"/>
      <c r="X252" s="70"/>
      <c r="Y252" s="64"/>
      <c r="Z252" s="64"/>
      <c r="AA252" s="64"/>
      <c r="AB252" s="71"/>
      <c r="AC252" s="72"/>
      <c r="AD252" s="72"/>
      <c r="AE252" s="72"/>
      <c r="AF252" s="72"/>
      <c r="AG252" s="72"/>
      <c r="AH252" s="73"/>
    </row>
    <row r="253" spans="1:34">
      <c r="A253" s="40">
        <v>1890</v>
      </c>
      <c r="B253" s="64">
        <v>9.4E-2</v>
      </c>
      <c r="C253" s="65">
        <v>6.2E-2</v>
      </c>
      <c r="D253" s="64">
        <v>0.06</v>
      </c>
      <c r="E253" s="65">
        <v>5.8999999999999997E-2</v>
      </c>
      <c r="F253" s="64">
        <v>5.8000000000000003E-2</v>
      </c>
      <c r="G253" s="65">
        <v>5.6000000000000001E-2</v>
      </c>
      <c r="H253" s="64">
        <v>5.5E-2</v>
      </c>
      <c r="I253" s="64">
        <v>5.2999999999999999E-2</v>
      </c>
      <c r="J253" s="64">
        <v>5.1999999999999998E-2</v>
      </c>
      <c r="K253" s="64">
        <v>5.0999999999999997E-2</v>
      </c>
      <c r="L253" s="64">
        <v>0.05</v>
      </c>
      <c r="M253" s="64">
        <v>4.8000000000000001E-2</v>
      </c>
      <c r="N253" s="66">
        <v>4.7E-2</v>
      </c>
      <c r="O253" s="66">
        <v>4.5999999999999999E-2</v>
      </c>
      <c r="P253" s="67"/>
      <c r="R253" s="73">
        <v>-2.1</v>
      </c>
      <c r="S253" s="40"/>
      <c r="T253" s="40"/>
      <c r="U253" s="69"/>
      <c r="V253" s="70"/>
      <c r="W253" s="64"/>
      <c r="X253" s="70"/>
      <c r="Y253" s="64"/>
      <c r="Z253" s="64"/>
      <c r="AA253" s="64"/>
      <c r="AB253" s="71"/>
      <c r="AC253" s="72"/>
      <c r="AD253" s="72"/>
      <c r="AE253" s="72"/>
      <c r="AF253" s="72"/>
      <c r="AG253" s="72"/>
      <c r="AH253" s="73"/>
    </row>
    <row r="254" spans="1:34">
      <c r="A254" s="40">
        <v>1891</v>
      </c>
      <c r="B254" s="64">
        <v>9.4E-2</v>
      </c>
      <c r="C254" s="65">
        <v>6.2E-2</v>
      </c>
      <c r="D254" s="64">
        <v>0.06</v>
      </c>
      <c r="E254" s="65">
        <v>5.8999999999999997E-2</v>
      </c>
      <c r="F254" s="64">
        <v>5.8000000000000003E-2</v>
      </c>
      <c r="G254" s="65">
        <v>5.6000000000000001E-2</v>
      </c>
      <c r="H254" s="64">
        <v>5.5E-2</v>
      </c>
      <c r="I254" s="64">
        <v>5.2999999999999999E-2</v>
      </c>
      <c r="J254" s="64">
        <v>5.1999999999999998E-2</v>
      </c>
      <c r="K254" s="64">
        <v>5.0999999999999997E-2</v>
      </c>
      <c r="L254" s="64">
        <v>0.05</v>
      </c>
      <c r="M254" s="64">
        <v>4.8000000000000001E-2</v>
      </c>
      <c r="N254" s="66">
        <v>4.7E-2</v>
      </c>
      <c r="O254" s="66">
        <v>4.5999999999999999E-2</v>
      </c>
      <c r="P254" s="67"/>
      <c r="R254" s="73">
        <v>0</v>
      </c>
      <c r="S254" s="40"/>
      <c r="T254" s="40"/>
      <c r="U254" s="69"/>
      <c r="V254" s="70"/>
      <c r="W254" s="64"/>
      <c r="X254" s="70"/>
      <c r="Y254" s="64"/>
      <c r="Z254" s="64"/>
      <c r="AA254" s="64"/>
      <c r="AB254" s="71"/>
      <c r="AC254" s="72"/>
      <c r="AD254" s="72"/>
      <c r="AE254" s="72"/>
      <c r="AF254" s="72"/>
      <c r="AG254" s="72"/>
      <c r="AH254" s="73"/>
    </row>
    <row r="255" spans="1:34">
      <c r="A255" s="40">
        <v>1892</v>
      </c>
      <c r="B255" s="64">
        <v>9.4E-2</v>
      </c>
      <c r="C255" s="65">
        <v>6.2E-2</v>
      </c>
      <c r="D255" s="64">
        <v>0.06</v>
      </c>
      <c r="E255" s="65">
        <v>5.8999999999999997E-2</v>
      </c>
      <c r="F255" s="64">
        <v>5.8000000000000003E-2</v>
      </c>
      <c r="G255" s="65">
        <v>5.6000000000000001E-2</v>
      </c>
      <c r="H255" s="64">
        <v>5.5E-2</v>
      </c>
      <c r="I255" s="64">
        <v>5.2999999999999999E-2</v>
      </c>
      <c r="J255" s="64">
        <v>5.1999999999999998E-2</v>
      </c>
      <c r="K255" s="64">
        <v>5.0999999999999997E-2</v>
      </c>
      <c r="L255" s="64">
        <v>0.05</v>
      </c>
      <c r="M255" s="64">
        <v>4.8000000000000001E-2</v>
      </c>
      <c r="N255" s="66">
        <v>4.7E-2</v>
      </c>
      <c r="O255" s="66">
        <v>4.5999999999999999E-2</v>
      </c>
      <c r="P255" s="67"/>
      <c r="R255" s="73">
        <v>0</v>
      </c>
      <c r="S255" s="40"/>
      <c r="T255" s="40"/>
      <c r="U255" s="69"/>
      <c r="V255" s="70"/>
      <c r="W255" s="64"/>
      <c r="X255" s="70"/>
      <c r="Y255" s="64"/>
      <c r="Z255" s="64"/>
      <c r="AA255" s="64"/>
      <c r="AB255" s="71"/>
      <c r="AC255" s="72"/>
      <c r="AD255" s="72"/>
      <c r="AE255" s="72"/>
      <c r="AF255" s="72"/>
      <c r="AG255" s="72"/>
      <c r="AH255" s="73"/>
    </row>
    <row r="256" spans="1:34">
      <c r="A256" s="40">
        <v>1893</v>
      </c>
      <c r="B256" s="64">
        <v>9.4E-2</v>
      </c>
      <c r="C256" s="65">
        <v>6.2E-2</v>
      </c>
      <c r="D256" s="64">
        <v>0.06</v>
      </c>
      <c r="E256" s="65">
        <v>5.8999999999999997E-2</v>
      </c>
      <c r="F256" s="64">
        <v>5.8000000000000003E-2</v>
      </c>
      <c r="G256" s="65">
        <v>5.6000000000000001E-2</v>
      </c>
      <c r="H256" s="64">
        <v>5.5E-2</v>
      </c>
      <c r="I256" s="64">
        <v>5.2999999999999999E-2</v>
      </c>
      <c r="J256" s="64">
        <v>5.1999999999999998E-2</v>
      </c>
      <c r="K256" s="64">
        <v>5.0999999999999997E-2</v>
      </c>
      <c r="L256" s="64">
        <v>0.05</v>
      </c>
      <c r="M256" s="64">
        <v>4.8000000000000001E-2</v>
      </c>
      <c r="N256" s="66">
        <v>4.7E-2</v>
      </c>
      <c r="O256" s="66">
        <v>4.5999999999999999E-2</v>
      </c>
      <c r="P256" s="67"/>
      <c r="R256" s="73">
        <v>0</v>
      </c>
      <c r="S256" s="40"/>
      <c r="T256" s="40"/>
      <c r="U256" s="69"/>
      <c r="V256" s="70"/>
      <c r="W256" s="64"/>
      <c r="X256" s="70"/>
      <c r="Y256" s="64"/>
      <c r="Z256" s="64"/>
      <c r="AA256" s="64"/>
      <c r="AB256" s="71"/>
      <c r="AC256" s="72"/>
      <c r="AD256" s="72"/>
      <c r="AE256" s="72"/>
      <c r="AF256" s="72"/>
      <c r="AG256" s="72"/>
      <c r="AH256" s="73"/>
    </row>
    <row r="257" spans="1:34">
      <c r="A257" s="40">
        <v>1894</v>
      </c>
      <c r="B257" s="64">
        <v>8.8999999999999996E-2</v>
      </c>
      <c r="C257" s="65">
        <v>5.8000000000000003E-2</v>
      </c>
      <c r="D257" s="64">
        <v>5.7000000000000002E-2</v>
      </c>
      <c r="E257" s="65">
        <v>5.5E-2</v>
      </c>
      <c r="F257" s="64">
        <v>5.5E-2</v>
      </c>
      <c r="G257" s="65">
        <v>5.2999999999999999E-2</v>
      </c>
      <c r="H257" s="64">
        <v>5.1999999999999998E-2</v>
      </c>
      <c r="I257" s="64">
        <v>0.05</v>
      </c>
      <c r="J257" s="64">
        <v>4.9000000000000002E-2</v>
      </c>
      <c r="K257" s="64">
        <v>4.8000000000000001E-2</v>
      </c>
      <c r="L257" s="64">
        <v>4.7E-2</v>
      </c>
      <c r="M257" s="64">
        <v>4.5999999999999999E-2</v>
      </c>
      <c r="N257" s="66">
        <v>4.3999999999999997E-2</v>
      </c>
      <c r="O257" s="66">
        <v>4.2999999999999997E-2</v>
      </c>
      <c r="P257" s="67"/>
      <c r="R257" s="73">
        <v>-5.3</v>
      </c>
      <c r="S257" s="40"/>
      <c r="T257" s="40"/>
      <c r="U257" s="69"/>
      <c r="V257" s="70"/>
      <c r="W257" s="64"/>
      <c r="X257" s="70"/>
      <c r="Y257" s="64"/>
      <c r="Z257" s="64"/>
      <c r="AA257" s="64"/>
      <c r="AB257" s="71"/>
      <c r="AC257" s="72"/>
      <c r="AD257" s="72"/>
      <c r="AE257" s="72"/>
      <c r="AF257" s="72"/>
      <c r="AG257" s="72"/>
      <c r="AH257" s="73"/>
    </row>
    <row r="258" spans="1:34">
      <c r="A258" s="40">
        <v>1895</v>
      </c>
      <c r="B258" s="64">
        <v>8.7999999999999995E-2</v>
      </c>
      <c r="C258" s="65">
        <v>5.8000000000000003E-2</v>
      </c>
      <c r="D258" s="64">
        <v>5.6000000000000001E-2</v>
      </c>
      <c r="E258" s="65">
        <v>5.5E-2</v>
      </c>
      <c r="F258" s="64">
        <v>5.3999999999999999E-2</v>
      </c>
      <c r="G258" s="65">
        <v>5.2999999999999999E-2</v>
      </c>
      <c r="H258" s="64">
        <v>5.0999999999999997E-2</v>
      </c>
      <c r="I258" s="64">
        <v>0.05</v>
      </c>
      <c r="J258" s="64">
        <v>4.9000000000000002E-2</v>
      </c>
      <c r="K258" s="64">
        <v>4.8000000000000001E-2</v>
      </c>
      <c r="L258" s="64">
        <v>4.7E-2</v>
      </c>
      <c r="M258" s="64">
        <v>4.4999999999999998E-2</v>
      </c>
      <c r="N258" s="66">
        <v>4.3999999999999997E-2</v>
      </c>
      <c r="O258" s="66">
        <v>4.2999999999999997E-2</v>
      </c>
      <c r="P258" s="67"/>
      <c r="R258" s="73">
        <v>-1.1000000000000001</v>
      </c>
      <c r="S258" s="40"/>
      <c r="T258" s="40"/>
      <c r="U258" s="69"/>
      <c r="V258" s="70"/>
      <c r="W258" s="64"/>
      <c r="X258" s="70"/>
      <c r="Y258" s="64"/>
      <c r="Z258" s="64"/>
      <c r="AA258" s="64"/>
      <c r="AB258" s="71"/>
      <c r="AC258" s="72"/>
      <c r="AD258" s="72"/>
      <c r="AE258" s="72"/>
      <c r="AF258" s="72"/>
      <c r="AG258" s="72"/>
      <c r="AH258" s="73"/>
    </row>
    <row r="259" spans="1:34">
      <c r="A259" s="40">
        <v>1896</v>
      </c>
      <c r="B259" s="64">
        <v>8.7999999999999995E-2</v>
      </c>
      <c r="C259" s="65">
        <v>5.8000000000000003E-2</v>
      </c>
      <c r="D259" s="64">
        <v>5.6000000000000001E-2</v>
      </c>
      <c r="E259" s="65">
        <v>5.5E-2</v>
      </c>
      <c r="F259" s="64">
        <v>5.3999999999999999E-2</v>
      </c>
      <c r="G259" s="65">
        <v>5.2999999999999999E-2</v>
      </c>
      <c r="H259" s="64">
        <v>5.0999999999999997E-2</v>
      </c>
      <c r="I259" s="64">
        <v>0.05</v>
      </c>
      <c r="J259" s="64">
        <v>4.9000000000000002E-2</v>
      </c>
      <c r="K259" s="64">
        <v>4.8000000000000001E-2</v>
      </c>
      <c r="L259" s="64">
        <v>4.7E-2</v>
      </c>
      <c r="M259" s="64">
        <v>4.4999999999999998E-2</v>
      </c>
      <c r="N259" s="66">
        <v>4.3999999999999997E-2</v>
      </c>
      <c r="O259" s="66">
        <v>4.2999999999999997E-2</v>
      </c>
      <c r="P259" s="67"/>
      <c r="R259" s="73">
        <v>0</v>
      </c>
      <c r="S259" s="40"/>
      <c r="T259" s="40"/>
      <c r="U259" s="69"/>
      <c r="V259" s="70"/>
      <c r="W259" s="64"/>
      <c r="X259" s="70"/>
      <c r="Y259" s="64"/>
      <c r="Z259" s="64"/>
      <c r="AA259" s="64"/>
      <c r="AB259" s="71"/>
      <c r="AC259" s="72"/>
      <c r="AD259" s="72"/>
      <c r="AE259" s="72"/>
      <c r="AF259" s="72"/>
      <c r="AG259" s="72"/>
      <c r="AH259" s="73"/>
    </row>
    <row r="260" spans="1:34">
      <c r="A260" s="40">
        <v>1897</v>
      </c>
      <c r="B260" s="64">
        <v>8.6999999999999994E-2</v>
      </c>
      <c r="C260" s="65">
        <v>5.7000000000000002E-2</v>
      </c>
      <c r="D260" s="64">
        <v>5.5E-2</v>
      </c>
      <c r="E260" s="65">
        <v>5.3999999999999999E-2</v>
      </c>
      <c r="F260" s="64">
        <v>5.2999999999999999E-2</v>
      </c>
      <c r="G260" s="65">
        <v>5.1999999999999998E-2</v>
      </c>
      <c r="H260" s="64">
        <v>5.0999999999999997E-2</v>
      </c>
      <c r="I260" s="64">
        <v>4.9000000000000002E-2</v>
      </c>
      <c r="J260" s="64">
        <v>4.8000000000000001E-2</v>
      </c>
      <c r="K260" s="64">
        <v>4.7E-2</v>
      </c>
      <c r="L260" s="64">
        <v>4.5999999999999999E-2</v>
      </c>
      <c r="M260" s="64">
        <v>4.4999999999999998E-2</v>
      </c>
      <c r="N260" s="66">
        <v>4.2999999999999997E-2</v>
      </c>
      <c r="O260" s="66">
        <v>4.2000000000000003E-2</v>
      </c>
      <c r="P260" s="67"/>
      <c r="R260" s="73">
        <v>-1.1000000000000001</v>
      </c>
      <c r="S260" s="40"/>
      <c r="T260" s="40"/>
      <c r="U260" s="69"/>
      <c r="V260" s="70"/>
      <c r="W260" s="64"/>
      <c r="X260" s="70"/>
      <c r="Y260" s="64"/>
      <c r="Z260" s="64"/>
      <c r="AA260" s="64"/>
      <c r="AB260" s="71"/>
      <c r="AC260" s="72"/>
      <c r="AD260" s="72"/>
      <c r="AE260" s="72"/>
      <c r="AF260" s="72"/>
      <c r="AG260" s="72"/>
      <c r="AH260" s="73"/>
    </row>
    <row r="261" spans="1:34">
      <c r="A261" s="40">
        <v>1898</v>
      </c>
      <c r="B261" s="64">
        <v>8.6999999999999994E-2</v>
      </c>
      <c r="C261" s="65">
        <v>5.7000000000000002E-2</v>
      </c>
      <c r="D261" s="64">
        <v>5.5E-2</v>
      </c>
      <c r="E261" s="65">
        <v>5.3999999999999999E-2</v>
      </c>
      <c r="F261" s="64">
        <v>5.2999999999999999E-2</v>
      </c>
      <c r="G261" s="65">
        <v>5.1999999999999998E-2</v>
      </c>
      <c r="H261" s="64">
        <v>5.0999999999999997E-2</v>
      </c>
      <c r="I261" s="64">
        <v>4.9000000000000002E-2</v>
      </c>
      <c r="J261" s="64">
        <v>4.8000000000000001E-2</v>
      </c>
      <c r="K261" s="64">
        <v>4.7E-2</v>
      </c>
      <c r="L261" s="64">
        <v>4.5999999999999999E-2</v>
      </c>
      <c r="M261" s="64">
        <v>4.4999999999999998E-2</v>
      </c>
      <c r="N261" s="66">
        <v>4.2999999999999997E-2</v>
      </c>
      <c r="O261" s="66">
        <v>4.2000000000000003E-2</v>
      </c>
      <c r="P261" s="67"/>
      <c r="R261" s="73">
        <v>0</v>
      </c>
      <c r="S261" s="40"/>
      <c r="T261" s="40"/>
      <c r="U261" s="69"/>
      <c r="V261" s="70"/>
      <c r="W261" s="64"/>
      <c r="X261" s="70"/>
      <c r="Y261" s="64"/>
      <c r="Z261" s="64"/>
      <c r="AA261" s="64"/>
      <c r="AB261" s="71"/>
      <c r="AC261" s="72"/>
      <c r="AD261" s="72"/>
      <c r="AE261" s="72"/>
      <c r="AF261" s="72"/>
      <c r="AG261" s="72"/>
      <c r="AH261" s="73"/>
    </row>
    <row r="262" spans="1:34">
      <c r="A262" s="40">
        <v>1899</v>
      </c>
      <c r="B262" s="64">
        <v>8.6999999999999994E-2</v>
      </c>
      <c r="C262" s="65">
        <v>5.7000000000000002E-2</v>
      </c>
      <c r="D262" s="64">
        <v>5.5E-2</v>
      </c>
      <c r="E262" s="65">
        <v>5.3999999999999999E-2</v>
      </c>
      <c r="F262" s="64">
        <v>5.2999999999999999E-2</v>
      </c>
      <c r="G262" s="65">
        <v>5.1999999999999998E-2</v>
      </c>
      <c r="H262" s="64">
        <v>5.0999999999999997E-2</v>
      </c>
      <c r="I262" s="64">
        <v>4.9000000000000002E-2</v>
      </c>
      <c r="J262" s="64">
        <v>4.8000000000000001E-2</v>
      </c>
      <c r="K262" s="64">
        <v>4.7E-2</v>
      </c>
      <c r="L262" s="64">
        <v>4.5999999999999999E-2</v>
      </c>
      <c r="M262" s="64">
        <v>4.4999999999999998E-2</v>
      </c>
      <c r="N262" s="66">
        <v>4.2999999999999997E-2</v>
      </c>
      <c r="O262" s="66">
        <v>4.2000000000000003E-2</v>
      </c>
      <c r="P262" s="67"/>
      <c r="R262" s="73">
        <v>0</v>
      </c>
      <c r="S262" s="40"/>
      <c r="T262" s="40"/>
      <c r="U262" s="69"/>
      <c r="V262" s="70"/>
      <c r="W262" s="64"/>
      <c r="X262" s="70"/>
      <c r="Y262" s="64"/>
      <c r="Z262" s="64"/>
      <c r="AA262" s="64"/>
      <c r="AB262" s="71"/>
      <c r="AC262" s="72"/>
      <c r="AD262" s="72"/>
      <c r="AE262" s="72"/>
      <c r="AF262" s="72"/>
      <c r="AG262" s="72"/>
      <c r="AH262" s="73"/>
    </row>
    <row r="263" spans="1:34">
      <c r="A263" s="40">
        <v>1900</v>
      </c>
      <c r="B263" s="64">
        <v>8.7999999999999995E-2</v>
      </c>
      <c r="C263" s="65">
        <v>5.8000000000000003E-2</v>
      </c>
      <c r="D263" s="64">
        <v>5.6000000000000001E-2</v>
      </c>
      <c r="E263" s="65">
        <v>5.5E-2</v>
      </c>
      <c r="F263" s="64">
        <v>5.3999999999999999E-2</v>
      </c>
      <c r="G263" s="65">
        <v>5.2999999999999999E-2</v>
      </c>
      <c r="H263" s="64">
        <v>5.0999999999999997E-2</v>
      </c>
      <c r="I263" s="64">
        <v>0.05</v>
      </c>
      <c r="J263" s="64">
        <v>4.9000000000000002E-2</v>
      </c>
      <c r="K263" s="64">
        <v>4.8000000000000001E-2</v>
      </c>
      <c r="L263" s="64">
        <v>4.7E-2</v>
      </c>
      <c r="M263" s="64">
        <v>4.4999999999999998E-2</v>
      </c>
      <c r="N263" s="66">
        <v>4.3999999999999997E-2</v>
      </c>
      <c r="O263" s="66">
        <v>4.2999999999999997E-2</v>
      </c>
      <c r="P263" s="67"/>
      <c r="R263" s="73">
        <v>1.1000000000000001</v>
      </c>
      <c r="S263" s="40"/>
      <c r="T263" s="40"/>
      <c r="U263" s="69"/>
      <c r="V263" s="70"/>
      <c r="W263" s="64"/>
      <c r="X263" s="70"/>
      <c r="Y263" s="64"/>
      <c r="Z263" s="64"/>
      <c r="AA263" s="64"/>
      <c r="AB263" s="71"/>
      <c r="AC263" s="72"/>
      <c r="AD263" s="72"/>
      <c r="AE263" s="72"/>
      <c r="AF263" s="72"/>
      <c r="AG263" s="72"/>
      <c r="AH263" s="73"/>
    </row>
    <row r="264" spans="1:34">
      <c r="A264" s="40">
        <v>1901</v>
      </c>
      <c r="B264" s="64">
        <v>8.7999999999999995E-2</v>
      </c>
      <c r="C264" s="65">
        <v>5.8000000000000003E-2</v>
      </c>
      <c r="D264" s="64">
        <v>5.6000000000000001E-2</v>
      </c>
      <c r="E264" s="65">
        <v>5.5E-2</v>
      </c>
      <c r="F264" s="64">
        <v>5.3999999999999999E-2</v>
      </c>
      <c r="G264" s="65">
        <v>5.2999999999999999E-2</v>
      </c>
      <c r="H264" s="64">
        <v>5.0999999999999997E-2</v>
      </c>
      <c r="I264" s="64">
        <v>0.05</v>
      </c>
      <c r="J264" s="64">
        <v>4.9000000000000002E-2</v>
      </c>
      <c r="K264" s="64">
        <v>4.8000000000000001E-2</v>
      </c>
      <c r="L264" s="64">
        <v>4.7E-2</v>
      </c>
      <c r="M264" s="64">
        <v>4.4999999999999998E-2</v>
      </c>
      <c r="N264" s="66">
        <v>4.3999999999999997E-2</v>
      </c>
      <c r="O264" s="66">
        <v>4.2999999999999997E-2</v>
      </c>
      <c r="P264" s="67"/>
      <c r="R264" s="73">
        <v>0</v>
      </c>
      <c r="S264" s="40"/>
      <c r="T264" s="40"/>
      <c r="U264" s="69"/>
      <c r="V264" s="70"/>
      <c r="W264" s="64"/>
      <c r="X264" s="72"/>
      <c r="Y264" s="64"/>
      <c r="Z264" s="64"/>
      <c r="AA264" s="64"/>
      <c r="AB264" s="71"/>
      <c r="AC264" s="72"/>
      <c r="AD264" s="72"/>
      <c r="AE264" s="72"/>
      <c r="AF264" s="72"/>
      <c r="AG264" s="72"/>
      <c r="AH264" s="73"/>
    </row>
    <row r="265" spans="1:34">
      <c r="A265" s="40">
        <v>1902</v>
      </c>
      <c r="B265" s="64">
        <v>8.8999999999999996E-2</v>
      </c>
      <c r="C265" s="65">
        <v>5.8000000000000003E-2</v>
      </c>
      <c r="D265" s="64">
        <v>5.7000000000000002E-2</v>
      </c>
      <c r="E265" s="65">
        <v>5.5E-2</v>
      </c>
      <c r="F265" s="64">
        <v>5.5E-2</v>
      </c>
      <c r="G265" s="65">
        <v>5.2999999999999999E-2</v>
      </c>
      <c r="H265" s="64">
        <v>5.1999999999999998E-2</v>
      </c>
      <c r="I265" s="64">
        <v>0.05</v>
      </c>
      <c r="J265" s="64">
        <v>4.9000000000000002E-2</v>
      </c>
      <c r="K265" s="64">
        <v>4.8000000000000001E-2</v>
      </c>
      <c r="L265" s="64">
        <v>4.7E-2</v>
      </c>
      <c r="M265" s="64">
        <v>4.5999999999999999E-2</v>
      </c>
      <c r="N265" s="66">
        <v>4.3999999999999997E-2</v>
      </c>
      <c r="O265" s="66">
        <v>4.2999999999999997E-2</v>
      </c>
      <c r="P265" s="67"/>
      <c r="R265" s="73">
        <v>1.1000000000000001</v>
      </c>
      <c r="S265" s="40"/>
      <c r="T265" s="40"/>
      <c r="U265" s="69"/>
      <c r="V265" s="70"/>
      <c r="W265" s="64"/>
      <c r="X265" s="72"/>
      <c r="Y265" s="64"/>
      <c r="Z265" s="64"/>
      <c r="AA265" s="64"/>
      <c r="AB265" s="71"/>
      <c r="AC265" s="72"/>
      <c r="AD265" s="72"/>
      <c r="AE265" s="72"/>
      <c r="AF265" s="72"/>
      <c r="AG265" s="72"/>
      <c r="AH265" s="73"/>
    </row>
    <row r="266" spans="1:34">
      <c r="A266" s="40">
        <v>1903</v>
      </c>
      <c r="B266" s="64">
        <v>9.1999999999999998E-2</v>
      </c>
      <c r="C266" s="65">
        <v>0.06</v>
      </c>
      <c r="D266" s="64">
        <v>5.8999999999999997E-2</v>
      </c>
      <c r="E266" s="65">
        <v>5.7000000000000002E-2</v>
      </c>
      <c r="F266" s="64">
        <v>5.6000000000000001E-2</v>
      </c>
      <c r="G266" s="65">
        <v>5.5E-2</v>
      </c>
      <c r="H266" s="64">
        <v>5.2999999999999999E-2</v>
      </c>
      <c r="I266" s="64">
        <v>5.1999999999999998E-2</v>
      </c>
      <c r="J266" s="64">
        <v>5.0999999999999997E-2</v>
      </c>
      <c r="K266" s="64">
        <v>0.05</v>
      </c>
      <c r="L266" s="64">
        <v>4.9000000000000002E-2</v>
      </c>
      <c r="M266" s="64">
        <v>4.7E-2</v>
      </c>
      <c r="N266" s="66">
        <v>4.5999999999999999E-2</v>
      </c>
      <c r="O266" s="66">
        <v>4.4999999999999998E-2</v>
      </c>
      <c r="P266" s="67"/>
      <c r="R266" s="73">
        <v>3.4</v>
      </c>
      <c r="S266" s="40"/>
      <c r="T266" s="40"/>
      <c r="U266" s="69"/>
      <c r="V266" s="70"/>
      <c r="W266" s="64"/>
      <c r="X266" s="72"/>
      <c r="Y266" s="64"/>
      <c r="Z266" s="64"/>
      <c r="AA266" s="64"/>
      <c r="AB266" s="71"/>
      <c r="AC266" s="72"/>
      <c r="AD266" s="72"/>
      <c r="AE266" s="72"/>
      <c r="AF266" s="72"/>
      <c r="AG266" s="72"/>
      <c r="AH266" s="73"/>
    </row>
    <row r="267" spans="1:34">
      <c r="A267" s="40">
        <v>1904</v>
      </c>
      <c r="B267" s="64">
        <v>9.2999999999999999E-2</v>
      </c>
      <c r="C267" s="65">
        <v>6.0999999999999999E-2</v>
      </c>
      <c r="D267" s="64">
        <v>5.8999999999999997E-2</v>
      </c>
      <c r="E267" s="65">
        <v>5.8000000000000003E-2</v>
      </c>
      <c r="F267" s="64">
        <v>5.7000000000000002E-2</v>
      </c>
      <c r="G267" s="65">
        <v>5.6000000000000001E-2</v>
      </c>
      <c r="H267" s="64">
        <v>5.3999999999999999E-2</v>
      </c>
      <c r="I267" s="64">
        <v>5.2999999999999999E-2</v>
      </c>
      <c r="J267" s="64">
        <v>5.1999999999999998E-2</v>
      </c>
      <c r="K267" s="64">
        <v>5.0999999999999997E-2</v>
      </c>
      <c r="L267" s="64">
        <v>4.9000000000000002E-2</v>
      </c>
      <c r="M267" s="64">
        <v>4.8000000000000001E-2</v>
      </c>
      <c r="N267" s="66">
        <v>4.5999999999999999E-2</v>
      </c>
      <c r="O267" s="66">
        <v>4.4999999999999998E-2</v>
      </c>
      <c r="P267" s="67"/>
      <c r="R267" s="73">
        <v>1.1000000000000001</v>
      </c>
      <c r="S267" s="40"/>
      <c r="T267" s="40"/>
      <c r="U267" s="69"/>
      <c r="V267" s="70"/>
      <c r="W267" s="64"/>
      <c r="X267" s="72"/>
      <c r="Y267" s="64"/>
      <c r="Z267" s="64"/>
      <c r="AA267" s="64"/>
      <c r="AB267" s="71"/>
      <c r="AC267" s="72"/>
      <c r="AD267" s="72"/>
      <c r="AE267" s="72"/>
      <c r="AF267" s="72"/>
      <c r="AG267" s="72"/>
      <c r="AH267" s="73"/>
    </row>
    <row r="268" spans="1:34">
      <c r="A268" s="40">
        <v>1905</v>
      </c>
      <c r="B268" s="64">
        <v>9.1999999999999998E-2</v>
      </c>
      <c r="C268" s="65">
        <v>0.06</v>
      </c>
      <c r="D268" s="64">
        <v>5.8999999999999997E-2</v>
      </c>
      <c r="E268" s="65">
        <v>5.7000000000000002E-2</v>
      </c>
      <c r="F268" s="64">
        <v>5.6000000000000001E-2</v>
      </c>
      <c r="G268" s="65">
        <v>5.5E-2</v>
      </c>
      <c r="H268" s="64">
        <v>5.2999999999999999E-2</v>
      </c>
      <c r="I268" s="64">
        <v>5.1999999999999998E-2</v>
      </c>
      <c r="J268" s="64">
        <v>5.0999999999999997E-2</v>
      </c>
      <c r="K268" s="64">
        <v>0.05</v>
      </c>
      <c r="L268" s="64">
        <v>4.9000000000000002E-2</v>
      </c>
      <c r="M268" s="64">
        <v>4.7E-2</v>
      </c>
      <c r="N268" s="66">
        <v>4.5999999999999999E-2</v>
      </c>
      <c r="O268" s="66">
        <v>4.4999999999999998E-2</v>
      </c>
      <c r="P268" s="67"/>
      <c r="R268" s="73">
        <v>-1.1000000000000001</v>
      </c>
      <c r="S268" s="40"/>
      <c r="T268" s="40"/>
      <c r="U268" s="69"/>
      <c r="V268" s="70"/>
      <c r="W268" s="64"/>
      <c r="X268" s="72"/>
      <c r="Y268" s="64"/>
      <c r="Z268" s="64"/>
      <c r="AA268" s="64"/>
      <c r="AB268" s="71"/>
      <c r="AC268" s="72"/>
      <c r="AD268" s="72"/>
      <c r="AE268" s="72"/>
      <c r="AF268" s="72"/>
      <c r="AG268" s="72"/>
      <c r="AH268" s="73"/>
    </row>
    <row r="269" spans="1:34">
      <c r="A269" s="40">
        <v>1906</v>
      </c>
      <c r="B269" s="64">
        <v>9.4E-2</v>
      </c>
      <c r="C269" s="65">
        <v>6.2E-2</v>
      </c>
      <c r="D269" s="64">
        <v>0.06</v>
      </c>
      <c r="E269" s="65">
        <v>5.8999999999999997E-2</v>
      </c>
      <c r="F269" s="64">
        <v>5.8000000000000003E-2</v>
      </c>
      <c r="G269" s="65">
        <v>5.6000000000000001E-2</v>
      </c>
      <c r="H269" s="64">
        <v>5.5E-2</v>
      </c>
      <c r="I269" s="64">
        <v>5.2999999999999999E-2</v>
      </c>
      <c r="J269" s="64">
        <v>5.1999999999999998E-2</v>
      </c>
      <c r="K269" s="64">
        <v>5.0999999999999997E-2</v>
      </c>
      <c r="L269" s="64">
        <v>0.05</v>
      </c>
      <c r="M269" s="64">
        <v>4.8000000000000001E-2</v>
      </c>
      <c r="N269" s="66">
        <v>4.7E-2</v>
      </c>
      <c r="O269" s="66">
        <v>4.5999999999999999E-2</v>
      </c>
      <c r="P269" s="67"/>
      <c r="R269" s="73">
        <v>2.2000000000000002</v>
      </c>
      <c r="S269" s="40"/>
      <c r="T269" s="40"/>
      <c r="U269" s="69"/>
      <c r="V269" s="70"/>
      <c r="W269" s="64"/>
      <c r="X269" s="72"/>
      <c r="Y269" s="64"/>
      <c r="Z269" s="64"/>
      <c r="AA269" s="64"/>
      <c r="AB269" s="71"/>
      <c r="AC269" s="72"/>
      <c r="AD269" s="72"/>
      <c r="AE269" s="72"/>
      <c r="AF269" s="72"/>
      <c r="AG269" s="72"/>
      <c r="AH269" s="73"/>
    </row>
    <row r="270" spans="1:34">
      <c r="A270" s="40">
        <v>1907</v>
      </c>
      <c r="B270" s="64">
        <v>9.8000000000000004E-2</v>
      </c>
      <c r="C270" s="65">
        <v>6.4000000000000001E-2</v>
      </c>
      <c r="D270" s="64">
        <v>6.2E-2</v>
      </c>
      <c r="E270" s="65">
        <v>6.0999999999999999E-2</v>
      </c>
      <c r="F270" s="64">
        <v>0.06</v>
      </c>
      <c r="G270" s="65">
        <v>5.8999999999999997E-2</v>
      </c>
      <c r="H270" s="64">
        <v>5.7000000000000002E-2</v>
      </c>
      <c r="I270" s="64">
        <v>5.5E-2</v>
      </c>
      <c r="J270" s="64">
        <v>5.3999999999999999E-2</v>
      </c>
      <c r="K270" s="64">
        <v>5.2999999999999999E-2</v>
      </c>
      <c r="L270" s="64">
        <v>5.1999999999999998E-2</v>
      </c>
      <c r="M270" s="64">
        <v>0.05</v>
      </c>
      <c r="N270" s="66">
        <v>4.9000000000000002E-2</v>
      </c>
      <c r="O270" s="66">
        <v>4.8000000000000001E-2</v>
      </c>
      <c r="P270" s="67"/>
      <c r="R270" s="73">
        <v>4.3</v>
      </c>
      <c r="S270" s="40"/>
      <c r="T270" s="40"/>
      <c r="U270" s="69"/>
      <c r="V270" s="70"/>
      <c r="W270" s="64"/>
      <c r="X270" s="72"/>
      <c r="Y270" s="64"/>
      <c r="Z270" s="64"/>
      <c r="AA270" s="64"/>
      <c r="AB270" s="71"/>
      <c r="AC270" s="72"/>
      <c r="AD270" s="72"/>
      <c r="AE270" s="72"/>
      <c r="AF270" s="72"/>
      <c r="AG270" s="72"/>
      <c r="AH270" s="73"/>
    </row>
    <row r="271" spans="1:34">
      <c r="A271" s="40">
        <v>1908</v>
      </c>
      <c r="B271" s="64">
        <v>9.6000000000000002E-2</v>
      </c>
      <c r="C271" s="65">
        <v>6.3E-2</v>
      </c>
      <c r="D271" s="64">
        <v>6.0999999999999999E-2</v>
      </c>
      <c r="E271" s="65">
        <v>0.06</v>
      </c>
      <c r="F271" s="64">
        <v>5.8999999999999997E-2</v>
      </c>
      <c r="G271" s="65">
        <v>5.8000000000000003E-2</v>
      </c>
      <c r="H271" s="64">
        <v>5.6000000000000001E-2</v>
      </c>
      <c r="I271" s="64">
        <v>5.3999999999999999E-2</v>
      </c>
      <c r="J271" s="64">
        <v>5.2999999999999999E-2</v>
      </c>
      <c r="K271" s="64">
        <v>5.1999999999999998E-2</v>
      </c>
      <c r="L271" s="64">
        <v>5.0999999999999997E-2</v>
      </c>
      <c r="M271" s="64">
        <v>4.9000000000000002E-2</v>
      </c>
      <c r="N271" s="66">
        <v>4.8000000000000001E-2</v>
      </c>
      <c r="O271" s="66">
        <v>4.7E-2</v>
      </c>
      <c r="P271" s="67"/>
      <c r="R271" s="73">
        <v>-2</v>
      </c>
      <c r="S271" s="40"/>
      <c r="T271" s="40"/>
      <c r="U271" s="69"/>
      <c r="V271" s="70"/>
      <c r="W271" s="64"/>
      <c r="X271" s="72"/>
      <c r="Y271" s="64"/>
      <c r="Z271" s="64"/>
      <c r="AA271" s="64"/>
      <c r="AB271" s="71"/>
      <c r="AC271" s="72"/>
      <c r="AD271" s="72"/>
      <c r="AE271" s="72"/>
      <c r="AF271" s="72"/>
      <c r="AG271" s="72"/>
      <c r="AH271" s="73"/>
    </row>
    <row r="272" spans="1:34">
      <c r="A272" s="40">
        <v>1909</v>
      </c>
      <c r="B272" s="64">
        <v>9.4E-2</v>
      </c>
      <c r="C272" s="65">
        <v>6.2E-2</v>
      </c>
      <c r="D272" s="64">
        <v>0.06</v>
      </c>
      <c r="E272" s="65">
        <v>5.8999999999999997E-2</v>
      </c>
      <c r="F272" s="64">
        <v>5.8000000000000003E-2</v>
      </c>
      <c r="G272" s="65">
        <v>5.6000000000000001E-2</v>
      </c>
      <c r="H272" s="64">
        <v>5.5E-2</v>
      </c>
      <c r="I272" s="64">
        <v>5.2999999999999999E-2</v>
      </c>
      <c r="J272" s="64">
        <v>5.1999999999999998E-2</v>
      </c>
      <c r="K272" s="64">
        <v>5.0999999999999997E-2</v>
      </c>
      <c r="L272" s="64">
        <v>0.05</v>
      </c>
      <c r="M272" s="64">
        <v>4.8000000000000001E-2</v>
      </c>
      <c r="N272" s="66">
        <v>4.7E-2</v>
      </c>
      <c r="O272" s="66">
        <v>4.5999999999999999E-2</v>
      </c>
      <c r="P272" s="67"/>
      <c r="R272" s="73">
        <v>-2.1</v>
      </c>
      <c r="S272" s="40"/>
      <c r="T272" s="40"/>
      <c r="U272" s="69"/>
      <c r="V272" s="70"/>
      <c r="W272" s="64"/>
      <c r="X272" s="72"/>
      <c r="Y272" s="64"/>
      <c r="Z272" s="64"/>
      <c r="AA272" s="64"/>
      <c r="AB272" s="71"/>
      <c r="AC272" s="72"/>
      <c r="AD272" s="72"/>
      <c r="AE272" s="72"/>
      <c r="AF272" s="72"/>
      <c r="AG272" s="72"/>
      <c r="AH272" s="73"/>
    </row>
    <row r="273" spans="1:34">
      <c r="A273" s="40">
        <v>1910</v>
      </c>
      <c r="B273" s="64">
        <v>9.9000000000000005E-2</v>
      </c>
      <c r="C273" s="65">
        <v>6.5000000000000002E-2</v>
      </c>
      <c r="D273" s="64">
        <v>6.3E-2</v>
      </c>
      <c r="E273" s="65">
        <v>6.2E-2</v>
      </c>
      <c r="F273" s="64">
        <v>6.0999999999999999E-2</v>
      </c>
      <c r="G273" s="65">
        <v>5.8999999999999997E-2</v>
      </c>
      <c r="H273" s="64">
        <v>5.7000000000000002E-2</v>
      </c>
      <c r="I273" s="64">
        <v>5.6000000000000001E-2</v>
      </c>
      <c r="J273" s="64">
        <v>5.5E-2</v>
      </c>
      <c r="K273" s="64">
        <v>5.3999999999999999E-2</v>
      </c>
      <c r="L273" s="64">
        <v>5.1999999999999998E-2</v>
      </c>
      <c r="M273" s="64">
        <v>5.0999999999999997E-2</v>
      </c>
      <c r="N273" s="66">
        <v>4.9000000000000002E-2</v>
      </c>
      <c r="O273" s="66">
        <v>4.8000000000000001E-2</v>
      </c>
      <c r="P273" s="67"/>
      <c r="R273" s="73">
        <v>5.3</v>
      </c>
      <c r="S273" s="40"/>
      <c r="T273" s="40"/>
      <c r="U273" s="69"/>
      <c r="V273" s="70"/>
      <c r="W273" s="64"/>
      <c r="X273" s="72"/>
      <c r="Y273" s="64"/>
      <c r="Z273" s="64"/>
      <c r="AA273" s="64"/>
      <c r="AB273" s="71"/>
      <c r="AC273" s="72"/>
      <c r="AD273" s="72"/>
      <c r="AE273" s="72"/>
      <c r="AF273" s="72"/>
      <c r="AG273" s="72"/>
      <c r="AH273" s="73"/>
    </row>
    <row r="274" spans="1:34">
      <c r="A274" s="40">
        <v>1911</v>
      </c>
      <c r="B274" s="64">
        <v>9.9000000000000005E-2</v>
      </c>
      <c r="C274" s="65">
        <v>6.5000000000000002E-2</v>
      </c>
      <c r="D274" s="64">
        <v>6.3E-2</v>
      </c>
      <c r="E274" s="65">
        <v>6.2E-2</v>
      </c>
      <c r="F274" s="64">
        <v>6.0999999999999999E-2</v>
      </c>
      <c r="G274" s="65">
        <v>5.8999999999999997E-2</v>
      </c>
      <c r="H274" s="64">
        <v>5.7000000000000002E-2</v>
      </c>
      <c r="I274" s="64">
        <v>5.6000000000000001E-2</v>
      </c>
      <c r="J274" s="64">
        <v>5.5E-2</v>
      </c>
      <c r="K274" s="64">
        <v>5.3999999999999999E-2</v>
      </c>
      <c r="L274" s="64">
        <v>5.1999999999999998E-2</v>
      </c>
      <c r="M274" s="64">
        <v>5.0999999999999997E-2</v>
      </c>
      <c r="N274" s="66">
        <v>4.9000000000000002E-2</v>
      </c>
      <c r="O274" s="66">
        <v>4.8000000000000001E-2</v>
      </c>
      <c r="P274" s="67"/>
      <c r="R274" s="73">
        <v>0</v>
      </c>
      <c r="S274" s="40"/>
      <c r="T274" s="40"/>
      <c r="U274" s="69"/>
      <c r="V274" s="70"/>
      <c r="W274" s="64"/>
      <c r="X274" s="72"/>
      <c r="Y274" s="64"/>
      <c r="Z274" s="64"/>
      <c r="AA274" s="64"/>
      <c r="AB274" s="71"/>
      <c r="AC274" s="72"/>
      <c r="AD274" s="72"/>
      <c r="AE274" s="72"/>
      <c r="AF274" s="72"/>
      <c r="AG274" s="72"/>
      <c r="AH274" s="73"/>
    </row>
    <row r="275" spans="1:34">
      <c r="A275" s="40">
        <v>1912</v>
      </c>
      <c r="B275" s="64">
        <v>0.10100000000000001</v>
      </c>
      <c r="C275" s="65">
        <v>6.6000000000000003E-2</v>
      </c>
      <c r="D275" s="64">
        <v>6.4000000000000001E-2</v>
      </c>
      <c r="E275" s="65">
        <v>6.3E-2</v>
      </c>
      <c r="F275" s="64">
        <v>6.2E-2</v>
      </c>
      <c r="G275" s="65">
        <v>6.0999999999999999E-2</v>
      </c>
      <c r="H275" s="64">
        <v>5.8999999999999997E-2</v>
      </c>
      <c r="I275" s="64">
        <v>5.7000000000000002E-2</v>
      </c>
      <c r="J275" s="64">
        <v>5.6000000000000001E-2</v>
      </c>
      <c r="K275" s="64">
        <v>5.5E-2</v>
      </c>
      <c r="L275" s="64">
        <v>5.2999999999999999E-2</v>
      </c>
      <c r="M275" s="64">
        <v>5.1999999999999998E-2</v>
      </c>
      <c r="N275" s="66">
        <v>0.05</v>
      </c>
      <c r="O275" s="66">
        <v>4.9000000000000002E-2</v>
      </c>
      <c r="P275" s="67"/>
      <c r="R275" s="73">
        <v>2</v>
      </c>
      <c r="S275" s="40"/>
      <c r="T275" s="40"/>
      <c r="U275" s="69"/>
      <c r="V275" s="70"/>
      <c r="W275" s="64"/>
      <c r="X275" s="72"/>
      <c r="Y275" s="72"/>
      <c r="Z275" s="72"/>
      <c r="AA275" s="72"/>
      <c r="AB275" s="71"/>
      <c r="AC275" s="72"/>
      <c r="AD275" s="72"/>
      <c r="AE275" s="72"/>
      <c r="AF275" s="72"/>
      <c r="AG275" s="72"/>
      <c r="AH275" s="73"/>
    </row>
    <row r="276" spans="1:34">
      <c r="A276" s="40">
        <v>1913</v>
      </c>
      <c r="B276" s="65">
        <v>9.9000000000000005E-2</v>
      </c>
      <c r="C276" s="65">
        <v>6.5000000000000002E-2</v>
      </c>
      <c r="D276" s="64">
        <v>6.3E-2</v>
      </c>
      <c r="E276" s="65">
        <v>6.2E-2</v>
      </c>
      <c r="F276" s="64">
        <v>6.0999999999999999E-2</v>
      </c>
      <c r="G276" s="65">
        <v>5.8999999999999997E-2</v>
      </c>
      <c r="H276" s="64">
        <v>5.7000000000000002E-2</v>
      </c>
      <c r="I276" s="64">
        <v>5.6000000000000001E-2</v>
      </c>
      <c r="J276" s="64">
        <v>5.5E-2</v>
      </c>
      <c r="K276" s="64">
        <v>5.3999999999999999E-2</v>
      </c>
      <c r="L276" s="64">
        <v>5.1999999999999998E-2</v>
      </c>
      <c r="M276" s="64">
        <v>5.0999999999999997E-2</v>
      </c>
      <c r="N276" s="66">
        <v>4.9000000000000002E-2</v>
      </c>
      <c r="O276" s="66">
        <v>4.8000000000000001E-2</v>
      </c>
      <c r="P276" s="67"/>
      <c r="R276" s="73">
        <v>-2</v>
      </c>
      <c r="S276" s="43"/>
      <c r="T276" s="43"/>
      <c r="U276" s="69"/>
      <c r="V276" s="70"/>
      <c r="W276" s="64"/>
      <c r="X276" s="64"/>
      <c r="Y276" s="64"/>
      <c r="Z276" s="64"/>
      <c r="AA276" s="64"/>
      <c r="AB276" s="71"/>
      <c r="AC276" s="72"/>
      <c r="AD276" s="72"/>
      <c r="AE276" s="72"/>
      <c r="AF276" s="72"/>
      <c r="AG276" s="72"/>
      <c r="AH276" s="76"/>
    </row>
    <row r="277" spans="1:34">
      <c r="A277" s="40">
        <v>1914</v>
      </c>
      <c r="B277" s="65">
        <v>0.1</v>
      </c>
      <c r="C277" s="65">
        <v>6.6000000000000003E-2</v>
      </c>
      <c r="D277" s="64">
        <v>6.4000000000000001E-2</v>
      </c>
      <c r="E277" s="65">
        <v>6.2E-2</v>
      </c>
      <c r="F277" s="64">
        <v>6.0999999999999999E-2</v>
      </c>
      <c r="G277" s="65">
        <v>0.06</v>
      </c>
      <c r="H277" s="64">
        <v>5.8000000000000003E-2</v>
      </c>
      <c r="I277" s="64">
        <v>5.6000000000000001E-2</v>
      </c>
      <c r="J277" s="64">
        <v>5.6000000000000001E-2</v>
      </c>
      <c r="K277" s="64">
        <v>5.3999999999999999E-2</v>
      </c>
      <c r="L277" s="64">
        <v>5.2999999999999999E-2</v>
      </c>
      <c r="M277" s="64">
        <v>5.0999999999999997E-2</v>
      </c>
      <c r="N277" s="66">
        <v>0.05</v>
      </c>
      <c r="O277" s="66">
        <v>4.9000000000000002E-2</v>
      </c>
      <c r="P277" s="67"/>
      <c r="R277" s="73">
        <v>1</v>
      </c>
      <c r="S277" s="43"/>
      <c r="T277" s="43"/>
      <c r="U277" s="69"/>
      <c r="V277" s="70"/>
      <c r="W277" s="64"/>
      <c r="X277" s="64"/>
      <c r="Y277" s="64"/>
      <c r="Z277" s="64"/>
      <c r="AA277" s="64"/>
      <c r="AB277" s="71"/>
      <c r="AC277" s="72"/>
      <c r="AD277" s="72"/>
      <c r="AE277" s="72"/>
      <c r="AF277" s="72"/>
      <c r="AG277" s="72"/>
      <c r="AH277" s="76"/>
    </row>
    <row r="278" spans="1:34">
      <c r="A278" s="40">
        <v>1915</v>
      </c>
      <c r="B278" s="65">
        <v>0.10100000000000001</v>
      </c>
      <c r="C278" s="65">
        <v>6.6000000000000003E-2</v>
      </c>
      <c r="D278" s="64">
        <v>6.4000000000000001E-2</v>
      </c>
      <c r="E278" s="65">
        <v>6.3E-2</v>
      </c>
      <c r="F278" s="64">
        <v>6.2E-2</v>
      </c>
      <c r="G278" s="65">
        <v>6.0999999999999999E-2</v>
      </c>
      <c r="H278" s="64">
        <v>5.8999999999999997E-2</v>
      </c>
      <c r="I278" s="64">
        <v>5.7000000000000002E-2</v>
      </c>
      <c r="J278" s="64">
        <v>5.6000000000000001E-2</v>
      </c>
      <c r="K278" s="64">
        <v>5.5E-2</v>
      </c>
      <c r="L278" s="64">
        <v>5.2999999999999999E-2</v>
      </c>
      <c r="M278" s="64">
        <v>5.1999999999999998E-2</v>
      </c>
      <c r="N278" s="66">
        <v>0.05</v>
      </c>
      <c r="O278" s="66">
        <v>4.9000000000000002E-2</v>
      </c>
      <c r="P278" s="67"/>
      <c r="R278" s="73">
        <v>1</v>
      </c>
      <c r="S278" s="77"/>
      <c r="T278" s="77"/>
      <c r="U278" s="69"/>
      <c r="V278" s="70"/>
      <c r="W278" s="64"/>
      <c r="X278" s="64"/>
      <c r="Y278" s="64"/>
      <c r="Z278" s="64"/>
      <c r="AA278" s="64"/>
      <c r="AB278" s="71"/>
      <c r="AC278" s="72"/>
      <c r="AD278" s="72"/>
      <c r="AE278" s="72"/>
      <c r="AF278" s="72"/>
      <c r="AG278" s="72"/>
      <c r="AH278" s="76"/>
    </row>
    <row r="279" spans="1:34">
      <c r="A279" s="40">
        <v>1916</v>
      </c>
      <c r="B279" s="65">
        <v>0.109</v>
      </c>
      <c r="C279" s="65">
        <v>7.1999999999999995E-2</v>
      </c>
      <c r="D279" s="64">
        <v>6.9000000000000006E-2</v>
      </c>
      <c r="E279" s="65">
        <v>6.8000000000000005E-2</v>
      </c>
      <c r="F279" s="64">
        <v>6.7000000000000004E-2</v>
      </c>
      <c r="G279" s="65">
        <v>6.5000000000000002E-2</v>
      </c>
      <c r="H279" s="64">
        <v>6.3E-2</v>
      </c>
      <c r="I279" s="64">
        <v>6.2E-2</v>
      </c>
      <c r="J279" s="64">
        <v>6.0999999999999999E-2</v>
      </c>
      <c r="K279" s="64">
        <v>5.8999999999999997E-2</v>
      </c>
      <c r="L279" s="64">
        <v>5.8000000000000003E-2</v>
      </c>
      <c r="M279" s="64">
        <v>5.6000000000000001E-2</v>
      </c>
      <c r="N279" s="66">
        <v>5.3999999999999999E-2</v>
      </c>
      <c r="O279" s="66">
        <v>5.2999999999999999E-2</v>
      </c>
      <c r="P279" s="67"/>
      <c r="R279" s="73">
        <v>7.9</v>
      </c>
      <c r="S279" s="77"/>
      <c r="T279" s="77"/>
      <c r="U279" s="69"/>
      <c r="V279" s="70"/>
      <c r="W279" s="64"/>
      <c r="X279" s="64"/>
      <c r="Y279" s="64"/>
      <c r="Z279" s="64"/>
      <c r="AA279" s="64"/>
      <c r="AB279" s="71"/>
      <c r="AC279" s="72"/>
      <c r="AD279" s="72"/>
      <c r="AE279" s="72"/>
      <c r="AF279" s="72"/>
      <c r="AG279" s="72"/>
      <c r="AH279" s="76"/>
    </row>
    <row r="280" spans="1:34">
      <c r="A280" s="40">
        <v>1917</v>
      </c>
      <c r="B280" s="65">
        <v>0.128</v>
      </c>
      <c r="C280" s="65">
        <v>8.4000000000000005E-2</v>
      </c>
      <c r="D280" s="64">
        <v>8.2000000000000003E-2</v>
      </c>
      <c r="E280" s="65">
        <v>0.08</v>
      </c>
      <c r="F280" s="64">
        <v>7.9000000000000001E-2</v>
      </c>
      <c r="G280" s="65">
        <v>7.6999999999999999E-2</v>
      </c>
      <c r="H280" s="64">
        <v>7.3999999999999996E-2</v>
      </c>
      <c r="I280" s="64">
        <v>7.1999999999999995E-2</v>
      </c>
      <c r="J280" s="64">
        <v>7.0999999999999994E-2</v>
      </c>
      <c r="K280" s="64">
        <v>7.0000000000000007E-2</v>
      </c>
      <c r="L280" s="64">
        <v>6.8000000000000005E-2</v>
      </c>
      <c r="M280" s="64">
        <v>6.6000000000000003E-2</v>
      </c>
      <c r="N280" s="66">
        <v>6.3E-2</v>
      </c>
      <c r="O280" s="66">
        <v>6.2E-2</v>
      </c>
      <c r="P280" s="67"/>
      <c r="R280" s="73">
        <v>17.399999999999999</v>
      </c>
      <c r="S280" s="77"/>
      <c r="T280" s="77"/>
      <c r="U280" s="69"/>
      <c r="V280" s="70"/>
      <c r="W280" s="64"/>
      <c r="X280" s="64"/>
      <c r="Y280" s="64"/>
      <c r="Z280" s="64"/>
      <c r="AA280" s="64"/>
      <c r="AB280" s="71"/>
      <c r="AC280" s="72"/>
      <c r="AD280" s="72"/>
      <c r="AE280" s="72"/>
      <c r="AF280" s="72"/>
      <c r="AG280" s="72"/>
      <c r="AH280" s="76"/>
    </row>
    <row r="281" spans="1:34">
      <c r="A281" s="40">
        <v>1918</v>
      </c>
      <c r="B281" s="65">
        <v>0.151</v>
      </c>
      <c r="C281" s="65">
        <v>9.9000000000000005E-2</v>
      </c>
      <c r="D281" s="64">
        <v>9.6000000000000002E-2</v>
      </c>
      <c r="E281" s="65">
        <v>9.4E-2</v>
      </c>
      <c r="F281" s="64">
        <v>9.2999999999999999E-2</v>
      </c>
      <c r="G281" s="65">
        <v>9.0999999999999998E-2</v>
      </c>
      <c r="H281" s="64">
        <v>8.7999999999999995E-2</v>
      </c>
      <c r="I281" s="64">
        <v>8.5000000000000006E-2</v>
      </c>
      <c r="J281" s="64">
        <v>8.4000000000000005E-2</v>
      </c>
      <c r="K281" s="64">
        <v>8.2000000000000003E-2</v>
      </c>
      <c r="L281" s="64">
        <v>0.08</v>
      </c>
      <c r="M281" s="64">
        <v>7.6999999999999999E-2</v>
      </c>
      <c r="N281" s="66">
        <v>7.4999999999999997E-2</v>
      </c>
      <c r="O281" s="66">
        <v>7.2999999999999995E-2</v>
      </c>
      <c r="P281" s="67"/>
      <c r="R281" s="73">
        <v>18</v>
      </c>
      <c r="S281" s="77"/>
      <c r="T281" s="77"/>
      <c r="U281" s="69"/>
      <c r="V281" s="70"/>
      <c r="W281" s="64"/>
      <c r="X281" s="64"/>
      <c r="Y281" s="64"/>
      <c r="Z281" s="64"/>
      <c r="AA281" s="64"/>
      <c r="AB281" s="71"/>
      <c r="AC281" s="72"/>
      <c r="AD281" s="72"/>
      <c r="AE281" s="72"/>
      <c r="AF281" s="72"/>
      <c r="AG281" s="72"/>
      <c r="AH281" s="76"/>
    </row>
    <row r="282" spans="1:34">
      <c r="A282" s="40">
        <v>1919</v>
      </c>
      <c r="B282" s="65">
        <v>0.17299999999999999</v>
      </c>
      <c r="C282" s="65">
        <v>0.114</v>
      </c>
      <c r="D282" s="64">
        <v>0.11</v>
      </c>
      <c r="E282" s="65">
        <v>0.108</v>
      </c>
      <c r="F282" s="64">
        <v>0.106</v>
      </c>
      <c r="G282" s="65">
        <v>0.104</v>
      </c>
      <c r="H282" s="64">
        <v>0.1</v>
      </c>
      <c r="I282" s="64">
        <v>9.8000000000000004E-2</v>
      </c>
      <c r="J282" s="64">
        <v>9.6000000000000002E-2</v>
      </c>
      <c r="K282" s="64">
        <v>9.4E-2</v>
      </c>
      <c r="L282" s="64">
        <v>9.1999999999999998E-2</v>
      </c>
      <c r="M282" s="64">
        <v>8.8999999999999996E-2</v>
      </c>
      <c r="N282" s="66">
        <v>8.5999999999999993E-2</v>
      </c>
      <c r="O282" s="66">
        <v>8.4000000000000005E-2</v>
      </c>
      <c r="P282" s="67"/>
      <c r="R282" s="73">
        <v>14.6</v>
      </c>
      <c r="S282" s="77"/>
      <c r="T282" s="77"/>
      <c r="U282" s="69"/>
      <c r="V282" s="70"/>
      <c r="W282" s="64"/>
      <c r="X282" s="64"/>
      <c r="Y282" s="64"/>
      <c r="Z282" s="64"/>
      <c r="AA282" s="64"/>
      <c r="AB282" s="71"/>
      <c r="AC282" s="72"/>
      <c r="AD282" s="72"/>
      <c r="AE282" s="72"/>
      <c r="AF282" s="72"/>
      <c r="AG282" s="72"/>
      <c r="AH282" s="76"/>
    </row>
    <row r="283" spans="1:34">
      <c r="A283" s="40">
        <v>1920</v>
      </c>
      <c r="B283" s="65">
        <v>0.2</v>
      </c>
      <c r="C283" s="65">
        <v>0.13100000000000001</v>
      </c>
      <c r="D283" s="64">
        <v>0.127</v>
      </c>
      <c r="E283" s="65">
        <v>0.125</v>
      </c>
      <c r="F283" s="64">
        <v>0.123</v>
      </c>
      <c r="G283" s="65">
        <v>0.12</v>
      </c>
      <c r="H283" s="64">
        <v>0.11600000000000001</v>
      </c>
      <c r="I283" s="64">
        <v>0.113</v>
      </c>
      <c r="J283" s="64">
        <v>0.111</v>
      </c>
      <c r="K283" s="64">
        <v>0.109</v>
      </c>
      <c r="L283" s="64">
        <v>0.106</v>
      </c>
      <c r="M283" s="64">
        <v>0.10199999999999999</v>
      </c>
      <c r="N283" s="66">
        <v>9.9000000000000005E-2</v>
      </c>
      <c r="O283" s="66">
        <v>9.7000000000000003E-2</v>
      </c>
      <c r="P283" s="67"/>
      <c r="R283" s="73">
        <v>15.6</v>
      </c>
      <c r="S283" s="77"/>
      <c r="T283" s="77"/>
      <c r="U283" s="69"/>
      <c r="V283" s="70"/>
      <c r="W283" s="64"/>
      <c r="X283" s="64"/>
      <c r="Y283" s="64"/>
      <c r="Z283" s="64"/>
      <c r="AA283" s="64"/>
      <c r="AB283" s="71"/>
      <c r="AC283" s="72"/>
      <c r="AD283" s="72"/>
      <c r="AE283" s="72"/>
      <c r="AF283" s="72"/>
      <c r="AG283" s="72"/>
      <c r="AH283" s="76"/>
    </row>
    <row r="284" spans="1:34">
      <c r="A284" s="40">
        <v>1921</v>
      </c>
      <c r="B284" s="65">
        <v>0.17899999999999999</v>
      </c>
      <c r="C284" s="65">
        <v>0.11700000000000001</v>
      </c>
      <c r="D284" s="64">
        <v>0.114</v>
      </c>
      <c r="E284" s="65">
        <v>0.112</v>
      </c>
      <c r="F284" s="64">
        <v>0.11</v>
      </c>
      <c r="G284" s="65">
        <v>0.107</v>
      </c>
      <c r="H284" s="64">
        <v>0.104</v>
      </c>
      <c r="I284" s="64">
        <v>0.10100000000000001</v>
      </c>
      <c r="J284" s="64">
        <v>9.9000000000000005E-2</v>
      </c>
      <c r="K284" s="64">
        <v>9.7000000000000003E-2</v>
      </c>
      <c r="L284" s="64">
        <v>9.5000000000000001E-2</v>
      </c>
      <c r="M284" s="64">
        <v>9.1999999999999998E-2</v>
      </c>
      <c r="N284" s="66">
        <v>8.8999999999999996E-2</v>
      </c>
      <c r="O284" s="66">
        <v>8.6999999999999994E-2</v>
      </c>
      <c r="P284" s="67"/>
      <c r="R284" s="73">
        <v>-10.5</v>
      </c>
      <c r="S284" s="77"/>
      <c r="T284" s="77"/>
      <c r="U284" s="69"/>
      <c r="V284" s="70"/>
      <c r="W284" s="64"/>
      <c r="X284" s="64"/>
      <c r="Y284" s="64"/>
      <c r="Z284" s="64"/>
      <c r="AA284" s="64"/>
      <c r="AB284" s="71"/>
      <c r="AC284" s="72"/>
      <c r="AD284" s="72"/>
      <c r="AE284" s="72"/>
      <c r="AF284" s="72"/>
      <c r="AG284" s="72"/>
      <c r="AH284" s="76"/>
    </row>
    <row r="285" spans="1:34">
      <c r="A285" s="40">
        <v>1922</v>
      </c>
      <c r="B285" s="65">
        <v>0.16800000000000001</v>
      </c>
      <c r="C285" s="65">
        <v>0.11</v>
      </c>
      <c r="D285" s="64">
        <v>0.107</v>
      </c>
      <c r="E285" s="65">
        <v>0.105</v>
      </c>
      <c r="F285" s="64">
        <v>0.10299999999999999</v>
      </c>
      <c r="G285" s="65">
        <v>0.10100000000000001</v>
      </c>
      <c r="H285" s="64">
        <v>9.8000000000000004E-2</v>
      </c>
      <c r="I285" s="64">
        <v>9.5000000000000001E-2</v>
      </c>
      <c r="J285" s="64">
        <v>9.2999999999999999E-2</v>
      </c>
      <c r="K285" s="64">
        <v>9.0999999999999998E-2</v>
      </c>
      <c r="L285" s="64">
        <v>8.8999999999999996E-2</v>
      </c>
      <c r="M285" s="64">
        <v>8.5999999999999993E-2</v>
      </c>
      <c r="N285" s="66">
        <v>8.3000000000000004E-2</v>
      </c>
      <c r="O285" s="66">
        <v>8.2000000000000003E-2</v>
      </c>
      <c r="P285" s="67"/>
      <c r="R285" s="73">
        <v>-6.1</v>
      </c>
      <c r="S285" s="77"/>
      <c r="T285" s="77"/>
      <c r="U285" s="69"/>
      <c r="V285" s="70"/>
      <c r="W285" s="64"/>
      <c r="X285" s="64"/>
      <c r="Y285" s="64"/>
      <c r="Z285" s="64"/>
      <c r="AA285" s="64"/>
      <c r="AB285" s="71"/>
      <c r="AC285" s="72"/>
      <c r="AD285" s="72"/>
      <c r="AE285" s="72"/>
      <c r="AF285" s="72"/>
      <c r="AG285" s="72"/>
      <c r="AH285" s="76"/>
    </row>
    <row r="286" spans="1:34">
      <c r="A286" s="40">
        <v>1923</v>
      </c>
      <c r="B286" s="65">
        <v>0.17100000000000001</v>
      </c>
      <c r="C286" s="65">
        <v>0.112</v>
      </c>
      <c r="D286" s="64">
        <v>0.109</v>
      </c>
      <c r="E286" s="65">
        <v>0.107</v>
      </c>
      <c r="F286" s="64">
        <v>0.105</v>
      </c>
      <c r="G286" s="65">
        <v>0.10299999999999999</v>
      </c>
      <c r="H286" s="64">
        <v>9.9000000000000005E-2</v>
      </c>
      <c r="I286" s="64">
        <v>9.7000000000000003E-2</v>
      </c>
      <c r="J286" s="64">
        <v>9.5000000000000001E-2</v>
      </c>
      <c r="K286" s="64">
        <v>9.2999999999999999E-2</v>
      </c>
      <c r="L286" s="64">
        <v>9.0999999999999998E-2</v>
      </c>
      <c r="M286" s="64">
        <v>8.7999999999999995E-2</v>
      </c>
      <c r="N286" s="66">
        <v>8.5000000000000006E-2</v>
      </c>
      <c r="O286" s="66">
        <v>8.3000000000000004E-2</v>
      </c>
      <c r="P286" s="67"/>
      <c r="R286" s="73">
        <v>1.8</v>
      </c>
      <c r="S286" s="77"/>
      <c r="T286" s="77"/>
      <c r="U286" s="69"/>
      <c r="V286" s="70"/>
      <c r="W286" s="64"/>
      <c r="X286" s="64"/>
      <c r="Y286" s="64"/>
      <c r="Z286" s="64"/>
      <c r="AA286" s="64"/>
      <c r="AB286" s="71"/>
      <c r="AC286" s="72"/>
      <c r="AD286" s="72"/>
      <c r="AE286" s="72"/>
      <c r="AF286" s="72"/>
      <c r="AG286" s="72"/>
      <c r="AH286" s="76"/>
    </row>
    <row r="287" spans="1:34">
      <c r="A287" s="40">
        <v>1924</v>
      </c>
      <c r="B287" s="65">
        <v>0.17100000000000001</v>
      </c>
      <c r="C287" s="65">
        <v>0.112</v>
      </c>
      <c r="D287" s="64">
        <v>0.109</v>
      </c>
      <c r="E287" s="65">
        <v>0.107</v>
      </c>
      <c r="F287" s="64">
        <v>0.105</v>
      </c>
      <c r="G287" s="65">
        <v>0.10299999999999999</v>
      </c>
      <c r="H287" s="64">
        <v>9.9000000000000005E-2</v>
      </c>
      <c r="I287" s="64">
        <v>9.7000000000000003E-2</v>
      </c>
      <c r="J287" s="64">
        <v>9.5000000000000001E-2</v>
      </c>
      <c r="K287" s="64">
        <v>9.2999999999999999E-2</v>
      </c>
      <c r="L287" s="64">
        <v>9.0999999999999998E-2</v>
      </c>
      <c r="M287" s="64">
        <v>8.7999999999999995E-2</v>
      </c>
      <c r="N287" s="66">
        <v>8.5000000000000006E-2</v>
      </c>
      <c r="O287" s="66">
        <v>8.3000000000000004E-2</v>
      </c>
      <c r="P287" s="67"/>
      <c r="R287" s="73">
        <v>0</v>
      </c>
      <c r="S287" s="77"/>
      <c r="T287" s="77"/>
      <c r="U287" s="69"/>
      <c r="V287" s="70"/>
      <c r="W287" s="64"/>
      <c r="X287" s="64"/>
      <c r="Y287" s="64"/>
      <c r="Z287" s="64"/>
      <c r="AA287" s="64"/>
      <c r="AB287" s="71"/>
      <c r="AC287" s="72"/>
      <c r="AD287" s="72"/>
      <c r="AE287" s="72"/>
      <c r="AF287" s="72"/>
      <c r="AG287" s="72"/>
      <c r="AH287" s="76"/>
    </row>
    <row r="288" spans="1:34">
      <c r="A288" s="40">
        <v>1925</v>
      </c>
      <c r="B288" s="65">
        <v>0.17499999999999999</v>
      </c>
      <c r="C288" s="65">
        <v>0.115</v>
      </c>
      <c r="D288" s="64">
        <v>0.112</v>
      </c>
      <c r="E288" s="65">
        <v>0.109</v>
      </c>
      <c r="F288" s="64">
        <v>0.107</v>
      </c>
      <c r="G288" s="65">
        <v>0.105</v>
      </c>
      <c r="H288" s="64">
        <v>0.10199999999999999</v>
      </c>
      <c r="I288" s="64">
        <v>9.9000000000000005E-2</v>
      </c>
      <c r="J288" s="64">
        <v>9.7000000000000003E-2</v>
      </c>
      <c r="K288" s="64">
        <v>9.5000000000000001E-2</v>
      </c>
      <c r="L288" s="64">
        <v>9.2999999999999999E-2</v>
      </c>
      <c r="M288" s="64">
        <v>0.09</v>
      </c>
      <c r="N288" s="66">
        <v>8.6999999999999994E-2</v>
      </c>
      <c r="O288" s="66">
        <v>8.5000000000000006E-2</v>
      </c>
      <c r="P288" s="67"/>
      <c r="R288" s="73">
        <v>2.2999999999999998</v>
      </c>
      <c r="S288" s="77"/>
      <c r="T288" s="77"/>
      <c r="U288" s="69"/>
      <c r="V288" s="70"/>
      <c r="W288" s="64"/>
      <c r="X288" s="64"/>
      <c r="Y288" s="64"/>
      <c r="Z288" s="64"/>
      <c r="AA288" s="64"/>
      <c r="AB288" s="71"/>
      <c r="AC288" s="72"/>
      <c r="AD288" s="72"/>
      <c r="AE288" s="72"/>
      <c r="AF288" s="72"/>
      <c r="AG288" s="72"/>
      <c r="AH288" s="76"/>
    </row>
    <row r="289" spans="1:34">
      <c r="A289" s="40">
        <v>1926</v>
      </c>
      <c r="B289" s="65">
        <v>0.17699999999999999</v>
      </c>
      <c r="C289" s="65">
        <v>0.11600000000000001</v>
      </c>
      <c r="D289" s="64">
        <v>0.113</v>
      </c>
      <c r="E289" s="65">
        <v>0.11</v>
      </c>
      <c r="F289" s="64">
        <v>0.109</v>
      </c>
      <c r="G289" s="65">
        <v>0.106</v>
      </c>
      <c r="H289" s="64">
        <v>0.10299999999999999</v>
      </c>
      <c r="I289" s="64">
        <v>0.1</v>
      </c>
      <c r="J289" s="64">
        <v>9.8000000000000004E-2</v>
      </c>
      <c r="K289" s="64">
        <v>9.6000000000000002E-2</v>
      </c>
      <c r="L289" s="64">
        <v>9.4E-2</v>
      </c>
      <c r="M289" s="64">
        <v>9.0999999999999998E-2</v>
      </c>
      <c r="N289" s="66">
        <v>8.7999999999999995E-2</v>
      </c>
      <c r="O289" s="66">
        <v>8.5999999999999993E-2</v>
      </c>
      <c r="P289" s="67"/>
      <c r="R289" s="73">
        <v>1.1000000000000001</v>
      </c>
      <c r="S289" s="77"/>
      <c r="T289" s="77"/>
      <c r="U289" s="69"/>
      <c r="V289" s="70"/>
      <c r="W289" s="64"/>
      <c r="X289" s="64"/>
      <c r="Y289" s="64"/>
      <c r="Z289" s="64"/>
      <c r="AA289" s="64"/>
      <c r="AB289" s="71"/>
      <c r="AC289" s="72"/>
      <c r="AD289" s="72"/>
      <c r="AE289" s="72"/>
      <c r="AF289" s="72"/>
      <c r="AG289" s="72"/>
      <c r="AH289" s="76"/>
    </row>
    <row r="290" spans="1:34">
      <c r="A290" s="40">
        <v>1927</v>
      </c>
      <c r="B290" s="65">
        <v>0.17399999999999999</v>
      </c>
      <c r="C290" s="65">
        <v>0.114</v>
      </c>
      <c r="D290" s="64">
        <v>0.111</v>
      </c>
      <c r="E290" s="65">
        <v>0.108</v>
      </c>
      <c r="F290" s="64">
        <v>0.107</v>
      </c>
      <c r="G290" s="65">
        <v>0.104</v>
      </c>
      <c r="H290" s="64">
        <v>0.10100000000000001</v>
      </c>
      <c r="I290" s="64">
        <v>9.8000000000000004E-2</v>
      </c>
      <c r="J290" s="64">
        <v>9.7000000000000003E-2</v>
      </c>
      <c r="K290" s="64">
        <v>9.5000000000000001E-2</v>
      </c>
      <c r="L290" s="64">
        <v>9.1999999999999998E-2</v>
      </c>
      <c r="M290" s="64">
        <v>8.8999999999999996E-2</v>
      </c>
      <c r="N290" s="66">
        <v>8.5999999999999993E-2</v>
      </c>
      <c r="O290" s="66">
        <v>8.5000000000000006E-2</v>
      </c>
      <c r="P290" s="67"/>
      <c r="R290" s="73">
        <v>-1.7</v>
      </c>
      <c r="S290" s="77"/>
      <c r="T290" s="77"/>
      <c r="U290" s="69"/>
      <c r="V290" s="70"/>
      <c r="W290" s="64"/>
      <c r="X290" s="64"/>
      <c r="Y290" s="64"/>
      <c r="Z290" s="64"/>
      <c r="AA290" s="64"/>
      <c r="AB290" s="71"/>
      <c r="AC290" s="72"/>
      <c r="AD290" s="72"/>
      <c r="AE290" s="72"/>
      <c r="AF290" s="72"/>
      <c r="AG290" s="72"/>
      <c r="AH290" s="76"/>
    </row>
    <row r="291" spans="1:34">
      <c r="A291" s="40">
        <v>1928</v>
      </c>
      <c r="B291" s="65">
        <v>0.17100000000000001</v>
      </c>
      <c r="C291" s="65">
        <v>0.112</v>
      </c>
      <c r="D291" s="64">
        <v>0.109</v>
      </c>
      <c r="E291" s="65">
        <v>0.107</v>
      </c>
      <c r="F291" s="64">
        <v>0.105</v>
      </c>
      <c r="G291" s="65">
        <v>0.10299999999999999</v>
      </c>
      <c r="H291" s="64">
        <v>9.9000000000000005E-2</v>
      </c>
      <c r="I291" s="64">
        <v>9.7000000000000003E-2</v>
      </c>
      <c r="J291" s="64">
        <v>9.5000000000000001E-2</v>
      </c>
      <c r="K291" s="64">
        <v>9.2999999999999999E-2</v>
      </c>
      <c r="L291" s="64">
        <v>9.0999999999999998E-2</v>
      </c>
      <c r="M291" s="64">
        <v>8.7999999999999995E-2</v>
      </c>
      <c r="N291" s="66">
        <v>8.5000000000000006E-2</v>
      </c>
      <c r="O291" s="66">
        <v>8.3000000000000004E-2</v>
      </c>
      <c r="P291" s="67"/>
      <c r="R291" s="73">
        <v>-1.7</v>
      </c>
      <c r="S291" s="77"/>
      <c r="T291" s="77"/>
      <c r="U291" s="69"/>
      <c r="V291" s="70"/>
      <c r="W291" s="64"/>
      <c r="X291" s="64"/>
      <c r="Y291" s="64"/>
      <c r="Z291" s="64"/>
      <c r="AA291" s="64"/>
      <c r="AB291" s="71"/>
      <c r="AC291" s="72"/>
      <c r="AD291" s="72"/>
      <c r="AE291" s="72"/>
      <c r="AF291" s="72"/>
      <c r="AG291" s="72"/>
      <c r="AH291" s="76"/>
    </row>
    <row r="292" spans="1:34">
      <c r="A292" s="40">
        <v>1929</v>
      </c>
      <c r="B292" s="65">
        <v>0.17100000000000001</v>
      </c>
      <c r="C292" s="65">
        <v>0.112</v>
      </c>
      <c r="D292" s="64">
        <v>0.109</v>
      </c>
      <c r="E292" s="65">
        <v>0.107</v>
      </c>
      <c r="F292" s="64">
        <v>0.105</v>
      </c>
      <c r="G292" s="65">
        <v>0.10299999999999999</v>
      </c>
      <c r="H292" s="64">
        <v>9.9000000000000005E-2</v>
      </c>
      <c r="I292" s="64">
        <v>9.7000000000000003E-2</v>
      </c>
      <c r="J292" s="64">
        <v>9.5000000000000001E-2</v>
      </c>
      <c r="K292" s="64">
        <v>9.2999999999999999E-2</v>
      </c>
      <c r="L292" s="64">
        <v>9.0999999999999998E-2</v>
      </c>
      <c r="M292" s="64">
        <v>8.7999999999999995E-2</v>
      </c>
      <c r="N292" s="66">
        <v>8.5000000000000006E-2</v>
      </c>
      <c r="O292" s="66">
        <v>8.3000000000000004E-2</v>
      </c>
      <c r="P292" s="67"/>
      <c r="R292" s="73">
        <v>0</v>
      </c>
      <c r="S292" s="77"/>
      <c r="T292" s="77"/>
      <c r="U292" s="69"/>
      <c r="V292" s="70"/>
      <c r="W292" s="64"/>
      <c r="X292" s="64"/>
      <c r="Y292" s="64"/>
      <c r="Z292" s="64"/>
      <c r="AA292" s="64"/>
      <c r="AB292" s="71"/>
      <c r="AC292" s="72"/>
      <c r="AD292" s="72"/>
      <c r="AE292" s="72"/>
      <c r="AF292" s="72"/>
      <c r="AG292" s="72"/>
      <c r="AH292" s="76"/>
    </row>
    <row r="293" spans="1:34">
      <c r="A293" s="40">
        <v>1930</v>
      </c>
      <c r="B293" s="65">
        <v>0.16700000000000001</v>
      </c>
      <c r="C293" s="65">
        <v>0.11</v>
      </c>
      <c r="D293" s="64">
        <v>0.106</v>
      </c>
      <c r="E293" s="65">
        <v>0.104</v>
      </c>
      <c r="F293" s="64">
        <v>0.10199999999999999</v>
      </c>
      <c r="G293" s="65">
        <v>0.1</v>
      </c>
      <c r="H293" s="64">
        <v>9.7000000000000003E-2</v>
      </c>
      <c r="I293" s="64">
        <v>9.4E-2</v>
      </c>
      <c r="J293" s="64">
        <v>9.2999999999999999E-2</v>
      </c>
      <c r="K293" s="64">
        <v>9.0999999999999998E-2</v>
      </c>
      <c r="L293" s="64">
        <v>8.7999999999999995E-2</v>
      </c>
      <c r="M293" s="64">
        <v>8.5999999999999993E-2</v>
      </c>
      <c r="N293" s="66">
        <v>8.3000000000000004E-2</v>
      </c>
      <c r="O293" s="66">
        <v>8.1000000000000003E-2</v>
      </c>
      <c r="P293" s="67"/>
      <c r="R293" s="73">
        <v>-2.2999999999999998</v>
      </c>
      <c r="S293" s="77"/>
      <c r="T293" s="77"/>
      <c r="U293" s="69"/>
      <c r="V293" s="70"/>
      <c r="W293" s="64"/>
      <c r="X293" s="64"/>
      <c r="Y293" s="64"/>
      <c r="Z293" s="64"/>
      <c r="AA293" s="64"/>
      <c r="AB293" s="71"/>
      <c r="AC293" s="72"/>
      <c r="AD293" s="72"/>
      <c r="AE293" s="72"/>
      <c r="AF293" s="72"/>
      <c r="AG293" s="72"/>
      <c r="AH293" s="76"/>
    </row>
    <row r="294" spans="1:34">
      <c r="A294" s="40">
        <v>1931</v>
      </c>
      <c r="B294" s="65">
        <v>0.152</v>
      </c>
      <c r="C294" s="65">
        <v>0.1</v>
      </c>
      <c r="D294" s="64">
        <v>9.7000000000000003E-2</v>
      </c>
      <c r="E294" s="65">
        <v>9.5000000000000001E-2</v>
      </c>
      <c r="F294" s="64">
        <v>9.2999999999999999E-2</v>
      </c>
      <c r="G294" s="65">
        <v>9.0999999999999998E-2</v>
      </c>
      <c r="H294" s="64">
        <v>8.7999999999999995E-2</v>
      </c>
      <c r="I294" s="64">
        <v>8.5999999999999993E-2</v>
      </c>
      <c r="J294" s="64">
        <v>8.4000000000000005E-2</v>
      </c>
      <c r="K294" s="64">
        <v>8.3000000000000004E-2</v>
      </c>
      <c r="L294" s="64">
        <v>0.08</v>
      </c>
      <c r="M294" s="64">
        <v>7.8E-2</v>
      </c>
      <c r="N294" s="66">
        <v>7.4999999999999997E-2</v>
      </c>
      <c r="O294" s="66">
        <v>7.3999999999999996E-2</v>
      </c>
      <c r="P294" s="67"/>
      <c r="R294" s="73">
        <v>-9</v>
      </c>
      <c r="S294" s="77"/>
      <c r="T294" s="77"/>
      <c r="U294" s="69"/>
      <c r="V294" s="70"/>
      <c r="W294" s="64"/>
      <c r="X294" s="64"/>
      <c r="Y294" s="64"/>
      <c r="Z294" s="64"/>
      <c r="AA294" s="64"/>
      <c r="AB294" s="71"/>
      <c r="AC294" s="72"/>
      <c r="AD294" s="72"/>
      <c r="AE294" s="72"/>
      <c r="AF294" s="72"/>
      <c r="AG294" s="72"/>
      <c r="AH294" s="76"/>
    </row>
    <row r="295" spans="1:34">
      <c r="A295" s="40">
        <v>1932</v>
      </c>
      <c r="B295" s="65">
        <v>0.13700000000000001</v>
      </c>
      <c r="C295" s="65">
        <v>0.09</v>
      </c>
      <c r="D295" s="64">
        <v>8.6999999999999994E-2</v>
      </c>
      <c r="E295" s="65">
        <v>8.5000000000000006E-2</v>
      </c>
      <c r="F295" s="64">
        <v>8.4000000000000005E-2</v>
      </c>
      <c r="G295" s="65">
        <v>8.2000000000000003E-2</v>
      </c>
      <c r="H295" s="64">
        <v>0.08</v>
      </c>
      <c r="I295" s="64">
        <v>7.6999999999999999E-2</v>
      </c>
      <c r="J295" s="64">
        <v>7.5999999999999998E-2</v>
      </c>
      <c r="K295" s="64">
        <v>7.3999999999999996E-2</v>
      </c>
      <c r="L295" s="64">
        <v>7.2999999999999995E-2</v>
      </c>
      <c r="M295" s="64">
        <v>7.0000000000000007E-2</v>
      </c>
      <c r="N295" s="66">
        <v>6.8000000000000005E-2</v>
      </c>
      <c r="O295" s="66">
        <v>6.7000000000000004E-2</v>
      </c>
      <c r="P295" s="67"/>
      <c r="R295" s="73">
        <v>-9.9</v>
      </c>
      <c r="S295" s="77"/>
      <c r="T295" s="77"/>
      <c r="U295" s="69"/>
      <c r="V295" s="70"/>
      <c r="W295" s="64"/>
      <c r="X295" s="64"/>
      <c r="Y295" s="64"/>
      <c r="Z295" s="64"/>
      <c r="AA295" s="64"/>
      <c r="AB295" s="71"/>
      <c r="AC295" s="72"/>
      <c r="AD295" s="72"/>
      <c r="AE295" s="72"/>
      <c r="AF295" s="72"/>
      <c r="AG295" s="72"/>
      <c r="AH295" s="76"/>
    </row>
    <row r="296" spans="1:34">
      <c r="A296" s="40">
        <v>1933</v>
      </c>
      <c r="B296" s="65">
        <v>0.13</v>
      </c>
      <c r="C296" s="65">
        <v>8.5000000000000006E-2</v>
      </c>
      <c r="D296" s="64">
        <v>8.3000000000000004E-2</v>
      </c>
      <c r="E296" s="65">
        <v>8.1000000000000003E-2</v>
      </c>
      <c r="F296" s="64">
        <v>0.08</v>
      </c>
      <c r="G296" s="65">
        <v>7.8E-2</v>
      </c>
      <c r="H296" s="64">
        <v>7.4999999999999997E-2</v>
      </c>
      <c r="I296" s="64">
        <v>7.2999999999999995E-2</v>
      </c>
      <c r="J296" s="64">
        <v>7.1999999999999995E-2</v>
      </c>
      <c r="K296" s="64">
        <v>7.0999999999999994E-2</v>
      </c>
      <c r="L296" s="64">
        <v>6.9000000000000006E-2</v>
      </c>
      <c r="M296" s="64">
        <v>6.7000000000000004E-2</v>
      </c>
      <c r="N296" s="66">
        <v>6.4000000000000001E-2</v>
      </c>
      <c r="O296" s="66">
        <v>6.3E-2</v>
      </c>
      <c r="P296" s="67"/>
      <c r="R296" s="73">
        <v>-5.0999999999999996</v>
      </c>
      <c r="S296" s="77"/>
      <c r="T296" s="77"/>
      <c r="U296" s="69"/>
      <c r="V296" s="70"/>
      <c r="W296" s="64"/>
      <c r="X296" s="64"/>
      <c r="Y296" s="64"/>
      <c r="Z296" s="64"/>
      <c r="AA296" s="64"/>
      <c r="AB296" s="71"/>
      <c r="AC296" s="72"/>
      <c r="AD296" s="72"/>
      <c r="AE296" s="72"/>
      <c r="AF296" s="72"/>
      <c r="AG296" s="72"/>
      <c r="AH296" s="76"/>
    </row>
    <row r="297" spans="1:34">
      <c r="A297" s="40">
        <v>1934</v>
      </c>
      <c r="B297" s="65">
        <v>0.13400000000000001</v>
      </c>
      <c r="C297" s="65">
        <v>8.7999999999999995E-2</v>
      </c>
      <c r="D297" s="64">
        <v>8.5000000000000006E-2</v>
      </c>
      <c r="E297" s="65">
        <v>8.3000000000000004E-2</v>
      </c>
      <c r="F297" s="64">
        <v>8.2000000000000003E-2</v>
      </c>
      <c r="G297" s="65">
        <v>0.08</v>
      </c>
      <c r="H297" s="64">
        <v>7.8E-2</v>
      </c>
      <c r="I297" s="64">
        <v>7.5999999999999998E-2</v>
      </c>
      <c r="J297" s="64">
        <v>7.3999999999999996E-2</v>
      </c>
      <c r="K297" s="64">
        <v>7.2999999999999995E-2</v>
      </c>
      <c r="L297" s="64">
        <v>7.0999999999999994E-2</v>
      </c>
      <c r="M297" s="64">
        <v>6.9000000000000006E-2</v>
      </c>
      <c r="N297" s="66">
        <v>6.6000000000000003E-2</v>
      </c>
      <c r="O297" s="66">
        <v>6.5000000000000002E-2</v>
      </c>
      <c r="P297" s="67"/>
      <c r="R297" s="73">
        <v>3.1</v>
      </c>
      <c r="S297" s="77"/>
      <c r="T297" s="77"/>
      <c r="U297" s="69"/>
      <c r="V297" s="70"/>
      <c r="W297" s="64"/>
      <c r="X297" s="64"/>
      <c r="Y297" s="64"/>
      <c r="Z297" s="64"/>
      <c r="AA297" s="64"/>
      <c r="AB297" s="71"/>
      <c r="AC297" s="72"/>
      <c r="AD297" s="72"/>
      <c r="AE297" s="72"/>
      <c r="AF297" s="72"/>
      <c r="AG297" s="72"/>
      <c r="AH297" s="76"/>
    </row>
    <row r="298" spans="1:34">
      <c r="A298" s="40">
        <v>1935</v>
      </c>
      <c r="B298" s="65">
        <v>0.13700000000000001</v>
      </c>
      <c r="C298" s="65">
        <v>0.09</v>
      </c>
      <c r="D298" s="64">
        <v>8.6999999999999994E-2</v>
      </c>
      <c r="E298" s="65">
        <v>8.5000000000000006E-2</v>
      </c>
      <c r="F298" s="64">
        <v>8.4000000000000005E-2</v>
      </c>
      <c r="G298" s="65">
        <v>8.2000000000000003E-2</v>
      </c>
      <c r="H298" s="64">
        <v>0.08</v>
      </c>
      <c r="I298" s="64">
        <v>7.6999999999999999E-2</v>
      </c>
      <c r="J298" s="64">
        <v>7.5999999999999998E-2</v>
      </c>
      <c r="K298" s="64">
        <v>7.3999999999999996E-2</v>
      </c>
      <c r="L298" s="64">
        <v>7.2999999999999995E-2</v>
      </c>
      <c r="M298" s="64">
        <v>7.0000000000000007E-2</v>
      </c>
      <c r="N298" s="66">
        <v>6.8000000000000005E-2</v>
      </c>
      <c r="O298" s="66">
        <v>6.7000000000000004E-2</v>
      </c>
      <c r="P298" s="67"/>
      <c r="R298" s="73">
        <v>2.2000000000000002</v>
      </c>
      <c r="S298" s="77"/>
      <c r="T298" s="77"/>
      <c r="U298" s="69"/>
      <c r="V298" s="70"/>
      <c r="W298" s="64"/>
      <c r="X298" s="64"/>
      <c r="Y298" s="64"/>
      <c r="Z298" s="64"/>
      <c r="AA298" s="64"/>
      <c r="AB298" s="71"/>
      <c r="AC298" s="72"/>
      <c r="AD298" s="72"/>
      <c r="AE298" s="72"/>
      <c r="AF298" s="72"/>
      <c r="AG298" s="72"/>
      <c r="AH298" s="76"/>
    </row>
    <row r="299" spans="1:34">
      <c r="A299" s="40">
        <v>1936</v>
      </c>
      <c r="B299" s="65">
        <v>0.13900000000000001</v>
      </c>
      <c r="C299" s="65">
        <v>9.0999999999999998E-2</v>
      </c>
      <c r="D299" s="64">
        <v>8.8999999999999996E-2</v>
      </c>
      <c r="E299" s="65">
        <v>8.6999999999999994E-2</v>
      </c>
      <c r="F299" s="64">
        <v>8.5000000000000006E-2</v>
      </c>
      <c r="G299" s="65">
        <v>8.3000000000000004E-2</v>
      </c>
      <c r="H299" s="64">
        <v>8.1000000000000003E-2</v>
      </c>
      <c r="I299" s="64">
        <v>7.8E-2</v>
      </c>
      <c r="J299" s="64">
        <v>7.6999999999999999E-2</v>
      </c>
      <c r="K299" s="64">
        <v>7.5999999999999998E-2</v>
      </c>
      <c r="L299" s="64">
        <v>7.3999999999999996E-2</v>
      </c>
      <c r="M299" s="64">
        <v>7.0999999999999994E-2</v>
      </c>
      <c r="N299" s="66">
        <v>6.9000000000000006E-2</v>
      </c>
      <c r="O299" s="66">
        <v>6.8000000000000005E-2</v>
      </c>
      <c r="P299" s="67"/>
      <c r="R299" s="73">
        <v>1.5</v>
      </c>
      <c r="S299" s="77"/>
      <c r="T299" s="77"/>
      <c r="U299" s="69"/>
      <c r="V299" s="70"/>
      <c r="W299" s="64"/>
      <c r="X299" s="64"/>
      <c r="Y299" s="64"/>
      <c r="Z299" s="64"/>
      <c r="AA299" s="64"/>
      <c r="AB299" s="71"/>
      <c r="AC299" s="72"/>
      <c r="AD299" s="72"/>
      <c r="AE299" s="72"/>
      <c r="AF299" s="72"/>
      <c r="AG299" s="72"/>
      <c r="AH299" s="76"/>
    </row>
    <row r="300" spans="1:34">
      <c r="A300" s="40">
        <v>1937</v>
      </c>
      <c r="B300" s="65">
        <v>0.14399999999999999</v>
      </c>
      <c r="C300" s="65">
        <v>9.4E-2</v>
      </c>
      <c r="D300" s="64">
        <v>9.1999999999999998E-2</v>
      </c>
      <c r="E300" s="65">
        <v>0.09</v>
      </c>
      <c r="F300" s="64">
        <v>8.7999999999999995E-2</v>
      </c>
      <c r="G300" s="65">
        <v>8.5999999999999993E-2</v>
      </c>
      <c r="H300" s="64">
        <v>8.4000000000000005E-2</v>
      </c>
      <c r="I300" s="64">
        <v>8.1000000000000003E-2</v>
      </c>
      <c r="J300" s="64">
        <v>0.08</v>
      </c>
      <c r="K300" s="64">
        <v>7.8E-2</v>
      </c>
      <c r="L300" s="64">
        <v>7.5999999999999998E-2</v>
      </c>
      <c r="M300" s="64">
        <v>7.3999999999999996E-2</v>
      </c>
      <c r="N300" s="66">
        <v>7.0999999999999994E-2</v>
      </c>
      <c r="O300" s="66">
        <v>7.0000000000000007E-2</v>
      </c>
      <c r="P300" s="67"/>
      <c r="R300" s="73">
        <v>3.6</v>
      </c>
      <c r="S300" s="77"/>
      <c r="T300" s="77"/>
      <c r="U300" s="69"/>
      <c r="V300" s="70"/>
      <c r="W300" s="64"/>
      <c r="X300" s="64"/>
      <c r="Y300" s="64"/>
      <c r="Z300" s="64"/>
      <c r="AA300" s="64"/>
      <c r="AB300" s="71"/>
      <c r="AC300" s="72"/>
      <c r="AD300" s="72"/>
      <c r="AE300" s="72"/>
      <c r="AF300" s="72"/>
      <c r="AG300" s="72"/>
      <c r="AH300" s="76"/>
    </row>
    <row r="301" spans="1:34">
      <c r="A301" s="40">
        <v>1938</v>
      </c>
      <c r="B301" s="65">
        <v>0.14099999999999999</v>
      </c>
      <c r="C301" s="65">
        <v>9.2999999999999999E-2</v>
      </c>
      <c r="D301" s="64">
        <v>0.09</v>
      </c>
      <c r="E301" s="65">
        <v>8.7999999999999995E-2</v>
      </c>
      <c r="F301" s="64">
        <v>8.6999999999999994E-2</v>
      </c>
      <c r="G301" s="65">
        <v>8.5000000000000006E-2</v>
      </c>
      <c r="H301" s="64">
        <v>8.2000000000000003E-2</v>
      </c>
      <c r="I301" s="64">
        <v>0.08</v>
      </c>
      <c r="J301" s="64">
        <v>7.8E-2</v>
      </c>
      <c r="K301" s="64">
        <v>7.6999999999999999E-2</v>
      </c>
      <c r="L301" s="64">
        <v>7.4999999999999997E-2</v>
      </c>
      <c r="M301" s="64">
        <v>7.1999999999999995E-2</v>
      </c>
      <c r="N301" s="66">
        <v>7.0000000000000007E-2</v>
      </c>
      <c r="O301" s="66">
        <v>6.9000000000000006E-2</v>
      </c>
      <c r="P301" s="67"/>
      <c r="R301" s="73">
        <v>-2.1</v>
      </c>
      <c r="S301" s="77"/>
      <c r="T301" s="77"/>
      <c r="U301" s="69"/>
      <c r="V301" s="70"/>
      <c r="W301" s="64"/>
      <c r="X301" s="64"/>
      <c r="Y301" s="64"/>
      <c r="Z301" s="64"/>
      <c r="AA301" s="64"/>
      <c r="AB301" s="71"/>
      <c r="AC301" s="72"/>
      <c r="AD301" s="72"/>
      <c r="AE301" s="72"/>
      <c r="AF301" s="72"/>
      <c r="AG301" s="72"/>
      <c r="AH301" s="76"/>
    </row>
    <row r="302" spans="1:34">
      <c r="A302" s="40">
        <v>1939</v>
      </c>
      <c r="B302" s="65">
        <v>0.13900000000000001</v>
      </c>
      <c r="C302" s="65">
        <v>9.0999999999999998E-2</v>
      </c>
      <c r="D302" s="64">
        <v>8.8999999999999996E-2</v>
      </c>
      <c r="E302" s="65">
        <v>8.6999999999999994E-2</v>
      </c>
      <c r="F302" s="64">
        <v>8.5000000000000006E-2</v>
      </c>
      <c r="G302" s="65">
        <v>8.3000000000000004E-2</v>
      </c>
      <c r="H302" s="64">
        <v>8.1000000000000003E-2</v>
      </c>
      <c r="I302" s="64">
        <v>7.8E-2</v>
      </c>
      <c r="J302" s="64">
        <v>7.6999999999999999E-2</v>
      </c>
      <c r="K302" s="64">
        <v>7.5999999999999998E-2</v>
      </c>
      <c r="L302" s="64">
        <v>7.3999999999999996E-2</v>
      </c>
      <c r="M302" s="64">
        <v>7.0999999999999994E-2</v>
      </c>
      <c r="N302" s="66">
        <v>6.9000000000000006E-2</v>
      </c>
      <c r="O302" s="66">
        <v>6.8000000000000005E-2</v>
      </c>
      <c r="P302" s="67"/>
      <c r="R302" s="73">
        <v>-1.4</v>
      </c>
      <c r="S302" s="77"/>
      <c r="T302" s="77"/>
      <c r="U302" s="69"/>
      <c r="V302" s="70"/>
      <c r="W302" s="64"/>
      <c r="X302" s="64"/>
      <c r="Y302" s="64"/>
      <c r="Z302" s="64"/>
      <c r="AA302" s="64"/>
      <c r="AB302" s="71"/>
      <c r="AC302" s="72"/>
      <c r="AD302" s="72"/>
      <c r="AE302" s="72"/>
      <c r="AF302" s="72"/>
      <c r="AG302" s="72"/>
      <c r="AH302" s="76"/>
    </row>
    <row r="303" spans="1:34">
      <c r="A303" s="40">
        <v>1940</v>
      </c>
      <c r="B303" s="65">
        <v>0.14000000000000001</v>
      </c>
      <c r="C303" s="65">
        <v>9.1999999999999998E-2</v>
      </c>
      <c r="D303" s="64">
        <v>8.8999999999999996E-2</v>
      </c>
      <c r="E303" s="65">
        <v>8.6999999999999994E-2</v>
      </c>
      <c r="F303" s="64">
        <v>8.5999999999999993E-2</v>
      </c>
      <c r="G303" s="65">
        <v>8.4000000000000005E-2</v>
      </c>
      <c r="H303" s="64">
        <v>8.1000000000000003E-2</v>
      </c>
      <c r="I303" s="64">
        <v>7.9000000000000001E-2</v>
      </c>
      <c r="J303" s="64">
        <v>7.8E-2</v>
      </c>
      <c r="K303" s="64">
        <v>7.5999999999999998E-2</v>
      </c>
      <c r="L303" s="64">
        <v>7.3999999999999996E-2</v>
      </c>
      <c r="M303" s="64">
        <v>7.1999999999999995E-2</v>
      </c>
      <c r="N303" s="66">
        <v>6.9000000000000006E-2</v>
      </c>
      <c r="O303" s="66">
        <v>6.8000000000000005E-2</v>
      </c>
      <c r="P303" s="67"/>
      <c r="R303" s="73">
        <v>0.7</v>
      </c>
      <c r="S303" s="77"/>
      <c r="T303" s="77"/>
      <c r="U303" s="69"/>
      <c r="V303" s="70"/>
      <c r="W303" s="64"/>
      <c r="X303" s="64"/>
      <c r="Y303" s="64"/>
      <c r="Z303" s="64"/>
      <c r="AA303" s="64"/>
      <c r="AB303" s="71"/>
      <c r="AC303" s="72"/>
      <c r="AD303" s="72"/>
      <c r="AE303" s="72"/>
      <c r="AF303" s="72"/>
      <c r="AG303" s="72"/>
      <c r="AH303" s="76"/>
    </row>
    <row r="304" spans="1:34">
      <c r="A304" s="40">
        <v>1941</v>
      </c>
      <c r="B304" s="65">
        <v>0.14699999999999999</v>
      </c>
      <c r="C304" s="65">
        <v>9.6000000000000002E-2</v>
      </c>
      <c r="D304" s="64">
        <v>9.4E-2</v>
      </c>
      <c r="E304" s="65">
        <v>9.1999999999999998E-2</v>
      </c>
      <c r="F304" s="64">
        <v>0.09</v>
      </c>
      <c r="G304" s="65">
        <v>8.7999999999999995E-2</v>
      </c>
      <c r="H304" s="64">
        <v>8.5000000000000006E-2</v>
      </c>
      <c r="I304" s="64">
        <v>8.3000000000000004E-2</v>
      </c>
      <c r="J304" s="64">
        <v>8.2000000000000003E-2</v>
      </c>
      <c r="K304" s="64">
        <v>0.08</v>
      </c>
      <c r="L304" s="64">
        <v>7.8E-2</v>
      </c>
      <c r="M304" s="64">
        <v>7.4999999999999997E-2</v>
      </c>
      <c r="N304" s="66">
        <v>7.2999999999999995E-2</v>
      </c>
      <c r="O304" s="66">
        <v>7.0999999999999994E-2</v>
      </c>
      <c r="P304" s="67"/>
      <c r="R304" s="73">
        <v>5</v>
      </c>
      <c r="S304" s="77"/>
      <c r="T304" s="77"/>
      <c r="U304" s="69"/>
      <c r="V304" s="70"/>
      <c r="W304" s="64"/>
      <c r="X304" s="64"/>
      <c r="Y304" s="64"/>
      <c r="Z304" s="64"/>
      <c r="AA304" s="64"/>
      <c r="AB304" s="71"/>
      <c r="AC304" s="72"/>
      <c r="AD304" s="72"/>
      <c r="AE304" s="72"/>
      <c r="AF304" s="72"/>
      <c r="AG304" s="72"/>
      <c r="AH304" s="76"/>
    </row>
    <row r="305" spans="1:34">
      <c r="A305" s="40">
        <v>1942</v>
      </c>
      <c r="B305" s="65">
        <v>0.16300000000000001</v>
      </c>
      <c r="C305" s="65">
        <v>0.107</v>
      </c>
      <c r="D305" s="64">
        <v>0.104</v>
      </c>
      <c r="E305" s="65">
        <v>0.10199999999999999</v>
      </c>
      <c r="F305" s="64">
        <v>0.1</v>
      </c>
      <c r="G305" s="65">
        <v>9.8000000000000004E-2</v>
      </c>
      <c r="H305" s="64">
        <v>9.5000000000000001E-2</v>
      </c>
      <c r="I305" s="64">
        <v>9.1999999999999998E-2</v>
      </c>
      <c r="J305" s="64">
        <v>9.0999999999999998E-2</v>
      </c>
      <c r="K305" s="64">
        <v>8.8999999999999996E-2</v>
      </c>
      <c r="L305" s="64">
        <v>8.5999999999999993E-2</v>
      </c>
      <c r="M305" s="64">
        <v>8.3000000000000004E-2</v>
      </c>
      <c r="N305" s="66">
        <v>8.1000000000000003E-2</v>
      </c>
      <c r="O305" s="66">
        <v>7.9000000000000001E-2</v>
      </c>
      <c r="P305" s="67"/>
      <c r="R305" s="73">
        <v>10.9</v>
      </c>
      <c r="S305" s="77"/>
      <c r="T305" s="77"/>
      <c r="U305" s="69"/>
      <c r="V305" s="70"/>
      <c r="W305" s="64"/>
      <c r="X305" s="64"/>
      <c r="Y305" s="64"/>
      <c r="Z305" s="64"/>
      <c r="AA305" s="64"/>
      <c r="AB305" s="71"/>
      <c r="AC305" s="72"/>
      <c r="AD305" s="72"/>
      <c r="AE305" s="72"/>
      <c r="AF305" s="72"/>
      <c r="AG305" s="72"/>
      <c r="AH305" s="76"/>
    </row>
    <row r="306" spans="1:34">
      <c r="A306" s="40">
        <v>1943</v>
      </c>
      <c r="B306" s="65">
        <v>0.17299999999999999</v>
      </c>
      <c r="C306" s="65">
        <v>0.114</v>
      </c>
      <c r="D306" s="64">
        <v>0.11</v>
      </c>
      <c r="E306" s="65">
        <v>0.108</v>
      </c>
      <c r="F306" s="64">
        <v>0.106</v>
      </c>
      <c r="G306" s="65">
        <v>0.104</v>
      </c>
      <c r="H306" s="64">
        <v>0.1</v>
      </c>
      <c r="I306" s="64">
        <v>9.8000000000000004E-2</v>
      </c>
      <c r="J306" s="64">
        <v>9.6000000000000002E-2</v>
      </c>
      <c r="K306" s="64">
        <v>9.4E-2</v>
      </c>
      <c r="L306" s="64">
        <v>9.1999999999999998E-2</v>
      </c>
      <c r="M306" s="64">
        <v>8.8999999999999996E-2</v>
      </c>
      <c r="N306" s="66">
        <v>8.5999999999999993E-2</v>
      </c>
      <c r="O306" s="66">
        <v>8.4000000000000005E-2</v>
      </c>
      <c r="P306" s="67"/>
      <c r="R306" s="73">
        <v>6.1</v>
      </c>
      <c r="S306" s="77"/>
      <c r="T306" s="77"/>
      <c r="U306" s="69"/>
      <c r="V306" s="70"/>
      <c r="W306" s="64"/>
      <c r="X306" s="64"/>
      <c r="Y306" s="64"/>
      <c r="Z306" s="64"/>
      <c r="AA306" s="64"/>
      <c r="AB306" s="71"/>
      <c r="AC306" s="72"/>
      <c r="AD306" s="72"/>
      <c r="AE306" s="72"/>
      <c r="AF306" s="72"/>
      <c r="AG306" s="72"/>
      <c r="AH306" s="76"/>
    </row>
    <row r="307" spans="1:34">
      <c r="A307" s="40">
        <v>1944</v>
      </c>
      <c r="B307" s="65">
        <v>0.17599999999999999</v>
      </c>
      <c r="C307" s="65">
        <v>0.115</v>
      </c>
      <c r="D307" s="64">
        <v>0.112</v>
      </c>
      <c r="E307" s="65">
        <v>0.11</v>
      </c>
      <c r="F307" s="64">
        <v>0.108</v>
      </c>
      <c r="G307" s="65">
        <v>0.106</v>
      </c>
      <c r="H307" s="64">
        <v>0.10199999999999999</v>
      </c>
      <c r="I307" s="64">
        <v>9.9000000000000005E-2</v>
      </c>
      <c r="J307" s="64">
        <v>9.8000000000000004E-2</v>
      </c>
      <c r="K307" s="64">
        <v>9.6000000000000002E-2</v>
      </c>
      <c r="L307" s="64">
        <v>9.2999999999999999E-2</v>
      </c>
      <c r="M307" s="64">
        <v>0.09</v>
      </c>
      <c r="N307" s="66">
        <v>8.6999999999999994E-2</v>
      </c>
      <c r="O307" s="66">
        <v>8.5999999999999993E-2</v>
      </c>
      <c r="P307" s="67"/>
      <c r="R307" s="73">
        <v>1.7</v>
      </c>
      <c r="S307" s="77"/>
      <c r="T307" s="77"/>
      <c r="U307" s="69"/>
      <c r="V307" s="70"/>
      <c r="W307" s="64"/>
      <c r="X307" s="64"/>
      <c r="Y307" s="64"/>
      <c r="Z307" s="64"/>
      <c r="AA307" s="64"/>
      <c r="AB307" s="71"/>
      <c r="AC307" s="72"/>
      <c r="AD307" s="72"/>
      <c r="AE307" s="72"/>
      <c r="AF307" s="72"/>
      <c r="AG307" s="72"/>
      <c r="AH307" s="76"/>
    </row>
    <row r="308" spans="1:34">
      <c r="A308" s="40">
        <v>1945</v>
      </c>
      <c r="B308" s="65">
        <v>0.18</v>
      </c>
      <c r="C308" s="65">
        <v>0.11799999999999999</v>
      </c>
      <c r="D308" s="64">
        <v>0.115</v>
      </c>
      <c r="E308" s="65">
        <v>0.112</v>
      </c>
      <c r="F308" s="64">
        <v>0.11</v>
      </c>
      <c r="G308" s="65">
        <v>0.108</v>
      </c>
      <c r="H308" s="64">
        <v>0.105</v>
      </c>
      <c r="I308" s="64">
        <v>0.10199999999999999</v>
      </c>
      <c r="J308" s="64">
        <v>0.1</v>
      </c>
      <c r="K308" s="64">
        <v>9.8000000000000004E-2</v>
      </c>
      <c r="L308" s="64">
        <v>9.5000000000000001E-2</v>
      </c>
      <c r="M308" s="64">
        <v>9.1999999999999998E-2</v>
      </c>
      <c r="N308" s="66">
        <v>8.8999999999999996E-2</v>
      </c>
      <c r="O308" s="66">
        <v>8.6999999999999994E-2</v>
      </c>
      <c r="P308" s="67"/>
      <c r="R308" s="73">
        <v>2.2999999999999998</v>
      </c>
      <c r="S308" s="77"/>
      <c r="T308" s="77"/>
      <c r="U308" s="69"/>
      <c r="V308" s="70"/>
      <c r="W308" s="64"/>
      <c r="X308" s="64"/>
      <c r="Y308" s="64"/>
      <c r="Z308" s="64"/>
      <c r="AA308" s="64"/>
      <c r="AB308" s="71"/>
      <c r="AC308" s="72"/>
      <c r="AD308" s="72"/>
      <c r="AE308" s="72"/>
      <c r="AF308" s="72"/>
      <c r="AG308" s="72"/>
      <c r="AH308" s="76"/>
    </row>
    <row r="309" spans="1:34">
      <c r="A309" s="40">
        <v>1946</v>
      </c>
      <c r="B309" s="65">
        <v>0.19500000000000001</v>
      </c>
      <c r="C309" s="65">
        <v>0.128</v>
      </c>
      <c r="D309" s="64">
        <v>0.124</v>
      </c>
      <c r="E309" s="65">
        <v>0.121</v>
      </c>
      <c r="F309" s="64">
        <v>0.12</v>
      </c>
      <c r="G309" s="65">
        <v>0.11700000000000001</v>
      </c>
      <c r="H309" s="64">
        <v>0.113</v>
      </c>
      <c r="I309" s="64">
        <v>0.11</v>
      </c>
      <c r="J309" s="64">
        <v>0.108</v>
      </c>
      <c r="K309" s="64">
        <v>0.106</v>
      </c>
      <c r="L309" s="64">
        <v>0.10299999999999999</v>
      </c>
      <c r="M309" s="64">
        <v>0.1</v>
      </c>
      <c r="N309" s="66">
        <v>9.7000000000000003E-2</v>
      </c>
      <c r="O309" s="66">
        <v>9.5000000000000001E-2</v>
      </c>
      <c r="P309" s="67"/>
      <c r="Q309" s="78"/>
      <c r="R309" s="73">
        <v>8.3000000000000007</v>
      </c>
      <c r="S309" s="77"/>
      <c r="T309" s="77"/>
      <c r="U309" s="69"/>
      <c r="V309" s="70"/>
      <c r="W309" s="64"/>
      <c r="X309" s="64"/>
      <c r="Y309" s="64"/>
      <c r="Z309" s="64"/>
      <c r="AA309" s="64"/>
      <c r="AB309" s="71"/>
      <c r="AC309" s="72"/>
      <c r="AD309" s="72"/>
      <c r="AE309" s="72"/>
      <c r="AF309" s="72"/>
      <c r="AG309" s="72"/>
      <c r="AH309" s="76"/>
    </row>
    <row r="310" spans="1:34">
      <c r="A310" s="40">
        <v>1947</v>
      </c>
      <c r="B310" s="65">
        <v>0.223</v>
      </c>
      <c r="C310" s="65">
        <v>0.14599999999999999</v>
      </c>
      <c r="D310" s="64">
        <v>0.14199999999999999</v>
      </c>
      <c r="E310" s="65">
        <v>0.13900000000000001</v>
      </c>
      <c r="F310" s="64">
        <v>0.13700000000000001</v>
      </c>
      <c r="G310" s="65">
        <v>0.13400000000000001</v>
      </c>
      <c r="H310" s="64">
        <v>0.13</v>
      </c>
      <c r="I310" s="64">
        <v>0.126</v>
      </c>
      <c r="J310" s="64">
        <v>0.124</v>
      </c>
      <c r="K310" s="64">
        <v>0.121</v>
      </c>
      <c r="L310" s="64">
        <v>0.11799999999999999</v>
      </c>
      <c r="M310" s="64">
        <v>0.114</v>
      </c>
      <c r="N310" s="66">
        <v>0.111</v>
      </c>
      <c r="O310" s="66">
        <v>0.108</v>
      </c>
      <c r="P310" s="64"/>
      <c r="Q310" s="64">
        <v>0.13500000000000001</v>
      </c>
      <c r="R310" s="73">
        <v>14.4</v>
      </c>
      <c r="S310" s="79"/>
      <c r="T310" s="79"/>
      <c r="U310" s="69"/>
      <c r="V310" s="70"/>
      <c r="W310" s="64"/>
      <c r="X310" s="64"/>
      <c r="Y310" s="64"/>
      <c r="Z310" s="64"/>
      <c r="AA310" s="64"/>
      <c r="AB310" s="71"/>
      <c r="AC310" s="71"/>
      <c r="AD310" s="64"/>
      <c r="AE310" s="64"/>
      <c r="AF310" s="72"/>
      <c r="AG310" s="72"/>
      <c r="AH310" s="76"/>
    </row>
    <row r="311" spans="1:34">
      <c r="A311" s="40">
        <v>1948</v>
      </c>
      <c r="B311" s="65">
        <v>0.24099999999999999</v>
      </c>
      <c r="C311" s="65">
        <v>0.158</v>
      </c>
      <c r="D311" s="64">
        <v>0.154</v>
      </c>
      <c r="E311" s="65">
        <v>0.15</v>
      </c>
      <c r="F311" s="64">
        <v>0.14799999999999999</v>
      </c>
      <c r="G311" s="65">
        <v>0.14499999999999999</v>
      </c>
      <c r="H311" s="64">
        <v>0.14000000000000001</v>
      </c>
      <c r="I311" s="64">
        <v>0.13600000000000001</v>
      </c>
      <c r="J311" s="64">
        <v>0.13400000000000001</v>
      </c>
      <c r="K311" s="64">
        <v>0.13100000000000001</v>
      </c>
      <c r="L311" s="64">
        <v>0.128</v>
      </c>
      <c r="M311" s="64">
        <v>0.123</v>
      </c>
      <c r="N311" s="66">
        <v>0.12</v>
      </c>
      <c r="O311" s="66">
        <v>0.11700000000000001</v>
      </c>
      <c r="P311" s="64"/>
      <c r="Q311" s="64">
        <v>0.14599999999999999</v>
      </c>
      <c r="R311" s="73">
        <v>8.1</v>
      </c>
      <c r="S311" s="78"/>
      <c r="T311" s="73">
        <v>8.1</v>
      </c>
      <c r="U311" s="69"/>
      <c r="V311" s="70"/>
      <c r="W311" s="64"/>
      <c r="X311" s="64"/>
      <c r="Y311" s="64"/>
      <c r="Z311" s="64"/>
      <c r="AA311" s="64"/>
      <c r="AB311" s="71"/>
      <c r="AC311" s="71"/>
      <c r="AD311" s="64"/>
      <c r="AE311" s="64"/>
      <c r="AF311" s="72"/>
      <c r="AG311" s="72"/>
      <c r="AH311" s="76"/>
    </row>
    <row r="312" spans="1:34">
      <c r="A312" s="40">
        <v>1949</v>
      </c>
      <c r="B312" s="65">
        <v>0.23799999999999999</v>
      </c>
      <c r="C312" s="65">
        <v>0.156</v>
      </c>
      <c r="D312" s="64">
        <v>0.152</v>
      </c>
      <c r="E312" s="65">
        <v>0.14799999999999999</v>
      </c>
      <c r="F312" s="64">
        <v>0.14599999999999999</v>
      </c>
      <c r="G312" s="65">
        <v>0.14299999999999999</v>
      </c>
      <c r="H312" s="64">
        <v>0.13800000000000001</v>
      </c>
      <c r="I312" s="64">
        <v>0.13400000000000001</v>
      </c>
      <c r="J312" s="64">
        <v>0.13200000000000001</v>
      </c>
      <c r="K312" s="64">
        <v>0.129</v>
      </c>
      <c r="L312" s="64">
        <v>0.126</v>
      </c>
      <c r="M312" s="64">
        <v>0.122</v>
      </c>
      <c r="N312" s="66">
        <v>0.11799999999999999</v>
      </c>
      <c r="O312" s="66">
        <v>0.11600000000000001</v>
      </c>
      <c r="P312" s="64"/>
      <c r="Q312" s="64">
        <v>0.14399999999999999</v>
      </c>
      <c r="R312" s="73">
        <v>-1.2</v>
      </c>
      <c r="S312" s="78"/>
      <c r="T312" s="73">
        <v>-1.4</v>
      </c>
      <c r="U312" s="69"/>
      <c r="V312" s="70"/>
      <c r="W312" s="64"/>
      <c r="X312" s="64"/>
      <c r="Y312" s="64"/>
      <c r="Z312" s="64"/>
      <c r="AA312" s="64"/>
      <c r="AB312" s="71"/>
      <c r="AC312" s="71"/>
      <c r="AD312" s="64"/>
      <c r="AE312" s="64"/>
      <c r="AF312" s="80"/>
      <c r="AG312" s="80"/>
      <c r="AH312" s="76"/>
    </row>
    <row r="313" spans="1:34">
      <c r="A313" s="40">
        <v>1950</v>
      </c>
      <c r="B313" s="65">
        <v>0.24099999999999999</v>
      </c>
      <c r="C313" s="65">
        <v>0.158</v>
      </c>
      <c r="D313" s="64">
        <v>0.154</v>
      </c>
      <c r="E313" s="65">
        <v>0.15</v>
      </c>
      <c r="F313" s="64">
        <v>0.14799999999999999</v>
      </c>
      <c r="G313" s="65">
        <v>0.14499999999999999</v>
      </c>
      <c r="H313" s="64">
        <v>0.14000000000000001</v>
      </c>
      <c r="I313" s="64">
        <v>0.13600000000000001</v>
      </c>
      <c r="J313" s="64">
        <v>0.13400000000000001</v>
      </c>
      <c r="K313" s="64">
        <v>0.13100000000000001</v>
      </c>
      <c r="L313" s="64">
        <v>0.128</v>
      </c>
      <c r="M313" s="64">
        <v>0.123</v>
      </c>
      <c r="N313" s="66">
        <v>0.12</v>
      </c>
      <c r="O313" s="66">
        <v>0.11700000000000001</v>
      </c>
      <c r="P313" s="65">
        <v>0.13400000000000001</v>
      </c>
      <c r="Q313" s="64">
        <v>0.14599999999999999</v>
      </c>
      <c r="R313" s="73">
        <v>1.3</v>
      </c>
      <c r="S313" s="77"/>
      <c r="T313" s="73">
        <v>1.4</v>
      </c>
      <c r="U313" s="69"/>
      <c r="V313" s="70"/>
      <c r="W313" s="64"/>
      <c r="X313" s="64"/>
      <c r="Y313" s="64"/>
      <c r="Z313" s="64"/>
      <c r="AA313" s="64"/>
      <c r="AB313" s="71"/>
      <c r="AC313" s="71"/>
      <c r="AD313" s="64"/>
      <c r="AE313" s="64"/>
      <c r="AF313" s="76"/>
      <c r="AG313" s="64"/>
      <c r="AH313" s="76"/>
    </row>
    <row r="314" spans="1:34">
      <c r="A314" s="40">
        <v>1951</v>
      </c>
      <c r="B314" s="65">
        <v>0.26</v>
      </c>
      <c r="C314" s="65">
        <v>0.17100000000000001</v>
      </c>
      <c r="D314" s="64">
        <v>0.16600000000000001</v>
      </c>
      <c r="E314" s="65">
        <v>0.16200000000000001</v>
      </c>
      <c r="F314" s="64">
        <v>0.16</v>
      </c>
      <c r="G314" s="65">
        <v>0.156</v>
      </c>
      <c r="H314" s="64">
        <v>0.151</v>
      </c>
      <c r="I314" s="64">
        <v>0.14699999999999999</v>
      </c>
      <c r="J314" s="64">
        <v>0.14499999999999999</v>
      </c>
      <c r="K314" s="64">
        <v>0.14099999999999999</v>
      </c>
      <c r="L314" s="64">
        <v>0.13800000000000001</v>
      </c>
      <c r="M314" s="64">
        <v>0.13300000000000001</v>
      </c>
      <c r="N314" s="66">
        <v>0.129</v>
      </c>
      <c r="O314" s="66">
        <v>0.126</v>
      </c>
      <c r="P314" s="65">
        <v>0.14499999999999999</v>
      </c>
      <c r="Q314" s="64">
        <v>0.157</v>
      </c>
      <c r="R314" s="73">
        <v>7.9</v>
      </c>
      <c r="S314" s="73">
        <v>8.1999999999999993</v>
      </c>
      <c r="T314" s="73">
        <v>7.5</v>
      </c>
      <c r="U314" s="69"/>
      <c r="V314" s="70"/>
      <c r="W314" s="64"/>
      <c r="X314" s="64"/>
      <c r="Y314" s="64"/>
      <c r="Z314" s="64"/>
      <c r="AA314" s="64"/>
      <c r="AB314" s="71"/>
      <c r="AC314" s="71"/>
      <c r="AD314" s="64"/>
      <c r="AE314" s="64"/>
      <c r="AF314" s="76"/>
      <c r="AG314" s="64"/>
      <c r="AH314" s="76"/>
    </row>
    <row r="315" spans="1:34">
      <c r="A315" s="40">
        <v>1952</v>
      </c>
      <c r="B315" s="65">
        <v>0.26500000000000001</v>
      </c>
      <c r="C315" s="65">
        <v>0.17399999999999999</v>
      </c>
      <c r="D315" s="64">
        <v>0.16900000000000001</v>
      </c>
      <c r="E315" s="65">
        <v>0.16500000000000001</v>
      </c>
      <c r="F315" s="64">
        <v>0.16300000000000001</v>
      </c>
      <c r="G315" s="65">
        <v>0.159</v>
      </c>
      <c r="H315" s="64">
        <v>0.154</v>
      </c>
      <c r="I315" s="64">
        <v>0.15</v>
      </c>
      <c r="J315" s="64">
        <v>0.14699999999999999</v>
      </c>
      <c r="K315" s="64">
        <v>0.14399999999999999</v>
      </c>
      <c r="L315" s="64">
        <v>0.14000000000000001</v>
      </c>
      <c r="M315" s="64">
        <v>0.13600000000000001</v>
      </c>
      <c r="N315" s="66">
        <v>0.13100000000000001</v>
      </c>
      <c r="O315" s="66">
        <v>0.129</v>
      </c>
      <c r="P315" s="65">
        <v>0.14699999999999999</v>
      </c>
      <c r="Q315" s="64">
        <v>0.16</v>
      </c>
      <c r="R315" s="73">
        <v>1.9</v>
      </c>
      <c r="S315" s="73">
        <v>1.4</v>
      </c>
      <c r="T315" s="73">
        <v>1.9</v>
      </c>
      <c r="U315" s="69"/>
      <c r="V315" s="70"/>
      <c r="W315" s="64"/>
      <c r="X315" s="64"/>
      <c r="Y315" s="64"/>
      <c r="Z315" s="64"/>
      <c r="AA315" s="64"/>
      <c r="AB315" s="71"/>
      <c r="AC315" s="71"/>
      <c r="AD315" s="64"/>
      <c r="AE315" s="64"/>
      <c r="AF315" s="76"/>
      <c r="AG315" s="64"/>
      <c r="AH315" s="76"/>
    </row>
    <row r="316" spans="1:34">
      <c r="A316" s="40">
        <v>1953</v>
      </c>
      <c r="B316" s="65">
        <v>0.26700000000000002</v>
      </c>
      <c r="C316" s="65">
        <v>0.17499999999999999</v>
      </c>
      <c r="D316" s="64">
        <v>0.17</v>
      </c>
      <c r="E316" s="65">
        <v>0.16600000000000001</v>
      </c>
      <c r="F316" s="64">
        <v>0.16400000000000001</v>
      </c>
      <c r="G316" s="65">
        <v>0.16</v>
      </c>
      <c r="H316" s="64">
        <v>0.155</v>
      </c>
      <c r="I316" s="64">
        <v>0.151</v>
      </c>
      <c r="J316" s="64">
        <v>0.14799999999999999</v>
      </c>
      <c r="K316" s="64">
        <v>0.14499999999999999</v>
      </c>
      <c r="L316" s="64">
        <v>0.14099999999999999</v>
      </c>
      <c r="M316" s="64">
        <v>0.13700000000000001</v>
      </c>
      <c r="N316" s="66">
        <v>0.13200000000000001</v>
      </c>
      <c r="O316" s="66">
        <v>0.13</v>
      </c>
      <c r="P316" s="65">
        <v>0.14799999999999999</v>
      </c>
      <c r="Q316" s="64">
        <v>0.161</v>
      </c>
      <c r="R316" s="73">
        <v>0.8</v>
      </c>
      <c r="S316" s="73">
        <v>0.7</v>
      </c>
      <c r="T316" s="73">
        <v>0.6</v>
      </c>
      <c r="U316" s="69"/>
      <c r="V316" s="70"/>
      <c r="W316" s="64"/>
      <c r="X316" s="64"/>
      <c r="Y316" s="64"/>
      <c r="Z316" s="64"/>
      <c r="AA316" s="64"/>
      <c r="AB316" s="71"/>
      <c r="AC316" s="71"/>
      <c r="AD316" s="64"/>
      <c r="AE316" s="64"/>
      <c r="AF316" s="76"/>
      <c r="AG316" s="64"/>
      <c r="AH316" s="76"/>
    </row>
    <row r="317" spans="1:34">
      <c r="A317" s="40">
        <v>1954</v>
      </c>
      <c r="B317" s="65">
        <v>0.26900000000000002</v>
      </c>
      <c r="C317" s="65">
        <v>0.17699999999999999</v>
      </c>
      <c r="D317" s="64">
        <v>0.17100000000000001</v>
      </c>
      <c r="E317" s="65">
        <v>0.16800000000000001</v>
      </c>
      <c r="F317" s="64">
        <v>0.16500000000000001</v>
      </c>
      <c r="G317" s="65">
        <v>0.161</v>
      </c>
      <c r="H317" s="64">
        <v>0.156</v>
      </c>
      <c r="I317" s="64">
        <v>0.152</v>
      </c>
      <c r="J317" s="64">
        <v>0.15</v>
      </c>
      <c r="K317" s="64">
        <v>0.14599999999999999</v>
      </c>
      <c r="L317" s="64">
        <v>0.14199999999999999</v>
      </c>
      <c r="M317" s="64">
        <v>0.13800000000000001</v>
      </c>
      <c r="N317" s="66">
        <v>0.13300000000000001</v>
      </c>
      <c r="O317" s="66">
        <v>0.13100000000000001</v>
      </c>
      <c r="P317" s="65">
        <v>0.15</v>
      </c>
      <c r="Q317" s="64">
        <v>0.16200000000000001</v>
      </c>
      <c r="R317" s="73">
        <v>0.7</v>
      </c>
      <c r="S317" s="73">
        <v>1.4</v>
      </c>
      <c r="T317" s="73">
        <v>0.6</v>
      </c>
      <c r="U317" s="69"/>
      <c r="V317" s="70"/>
      <c r="W317" s="64"/>
      <c r="X317" s="64"/>
      <c r="Y317" s="64"/>
      <c r="Z317" s="64"/>
      <c r="AA317" s="64"/>
      <c r="AB317" s="71"/>
      <c r="AC317" s="71"/>
      <c r="AD317" s="64"/>
      <c r="AE317" s="64"/>
      <c r="AF317" s="76"/>
      <c r="AG317" s="64"/>
      <c r="AH317" s="76"/>
    </row>
    <row r="318" spans="1:34">
      <c r="A318" s="40">
        <v>1955</v>
      </c>
      <c r="B318" s="65">
        <v>0.26800000000000002</v>
      </c>
      <c r="C318" s="65">
        <v>0.17599999999999999</v>
      </c>
      <c r="D318" s="64">
        <v>0.17100000000000001</v>
      </c>
      <c r="E318" s="65">
        <v>0.16700000000000001</v>
      </c>
      <c r="F318" s="64">
        <v>0.16400000000000001</v>
      </c>
      <c r="G318" s="65">
        <v>0.161</v>
      </c>
      <c r="H318" s="64">
        <v>0.156</v>
      </c>
      <c r="I318" s="64">
        <v>0.151</v>
      </c>
      <c r="J318" s="64">
        <v>0.14899999999999999</v>
      </c>
      <c r="K318" s="64">
        <v>0.14599999999999999</v>
      </c>
      <c r="L318" s="64">
        <v>0.14199999999999999</v>
      </c>
      <c r="M318" s="64">
        <v>0.13700000000000001</v>
      </c>
      <c r="N318" s="66">
        <v>0.13300000000000001</v>
      </c>
      <c r="O318" s="66">
        <v>0.13</v>
      </c>
      <c r="P318" s="65">
        <v>0.14899999999999999</v>
      </c>
      <c r="Q318" s="64">
        <v>0.16200000000000001</v>
      </c>
      <c r="R318" s="73">
        <v>-0.4</v>
      </c>
      <c r="S318" s="73">
        <v>-0.7</v>
      </c>
      <c r="T318" s="73">
        <v>0</v>
      </c>
      <c r="U318" s="69"/>
      <c r="V318" s="70"/>
      <c r="W318" s="64"/>
      <c r="X318" s="64"/>
      <c r="Y318" s="64"/>
      <c r="Z318" s="64"/>
      <c r="AA318" s="64"/>
      <c r="AB318" s="71"/>
      <c r="AC318" s="71"/>
      <c r="AD318" s="64"/>
      <c r="AE318" s="64"/>
      <c r="AF318" s="76"/>
      <c r="AG318" s="64"/>
      <c r="AH318" s="76"/>
    </row>
    <row r="319" spans="1:34">
      <c r="A319" s="40">
        <v>1956</v>
      </c>
      <c r="B319" s="65">
        <v>0.27200000000000002</v>
      </c>
      <c r="C319" s="65">
        <v>0.17799999999999999</v>
      </c>
      <c r="D319" s="64">
        <v>0.17299999999999999</v>
      </c>
      <c r="E319" s="65">
        <v>0.16900000000000001</v>
      </c>
      <c r="F319" s="64">
        <v>0.16700000000000001</v>
      </c>
      <c r="G319" s="65">
        <v>0.16300000000000001</v>
      </c>
      <c r="H319" s="64">
        <v>0.158</v>
      </c>
      <c r="I319" s="64">
        <v>0.154</v>
      </c>
      <c r="J319" s="64">
        <v>0.151</v>
      </c>
      <c r="K319" s="64">
        <v>0.14799999999999999</v>
      </c>
      <c r="L319" s="64">
        <v>0.14399999999999999</v>
      </c>
      <c r="M319" s="64">
        <v>0.13900000000000001</v>
      </c>
      <c r="N319" s="66">
        <v>0.13500000000000001</v>
      </c>
      <c r="O319" s="66">
        <v>0.13200000000000001</v>
      </c>
      <c r="P319" s="65">
        <v>0.152</v>
      </c>
      <c r="Q319" s="64">
        <v>0.16400000000000001</v>
      </c>
      <c r="R319" s="73">
        <v>1.5</v>
      </c>
      <c r="S319" s="73">
        <v>2</v>
      </c>
      <c r="T319" s="73">
        <v>1.2</v>
      </c>
      <c r="U319" s="69"/>
      <c r="V319" s="70"/>
      <c r="W319" s="64"/>
      <c r="X319" s="64"/>
      <c r="Y319" s="64"/>
      <c r="Z319" s="64"/>
      <c r="AA319" s="64"/>
      <c r="AB319" s="71"/>
      <c r="AC319" s="71"/>
      <c r="AD319" s="64"/>
      <c r="AE319" s="64"/>
      <c r="AF319" s="76"/>
      <c r="AG319" s="64"/>
      <c r="AH319" s="76"/>
    </row>
    <row r="320" spans="1:34">
      <c r="A320" s="40">
        <v>1957</v>
      </c>
      <c r="B320" s="65">
        <v>0.28100000000000003</v>
      </c>
      <c r="C320" s="65">
        <v>0.184</v>
      </c>
      <c r="D320" s="64">
        <v>0.17899999999999999</v>
      </c>
      <c r="E320" s="65">
        <v>0.17499999999999999</v>
      </c>
      <c r="F320" s="64">
        <v>0.17199999999999999</v>
      </c>
      <c r="G320" s="65">
        <v>0.16900000000000001</v>
      </c>
      <c r="H320" s="64">
        <v>0.16300000000000001</v>
      </c>
      <c r="I320" s="64">
        <v>0.159</v>
      </c>
      <c r="J320" s="64">
        <v>0.156</v>
      </c>
      <c r="K320" s="64">
        <v>0.153</v>
      </c>
      <c r="L320" s="64">
        <v>0.14899999999999999</v>
      </c>
      <c r="M320" s="64">
        <v>0.14399999999999999</v>
      </c>
      <c r="N320" s="66">
        <v>0.13900000000000001</v>
      </c>
      <c r="O320" s="66">
        <v>0.13700000000000001</v>
      </c>
      <c r="P320" s="65">
        <v>0.156</v>
      </c>
      <c r="Q320" s="64">
        <v>0.17</v>
      </c>
      <c r="R320" s="73">
        <v>3.3</v>
      </c>
      <c r="S320" s="73">
        <v>2.6</v>
      </c>
      <c r="T320" s="73">
        <v>3.7</v>
      </c>
      <c r="U320" s="69"/>
      <c r="V320" s="70"/>
      <c r="W320" s="64"/>
      <c r="X320" s="64"/>
      <c r="Y320" s="64"/>
      <c r="Z320" s="64"/>
      <c r="AA320" s="64"/>
      <c r="AB320" s="71"/>
      <c r="AC320" s="71"/>
      <c r="AD320" s="64"/>
      <c r="AE320" s="64"/>
      <c r="AF320" s="76"/>
      <c r="AG320" s="64"/>
      <c r="AH320" s="76"/>
    </row>
    <row r="321" spans="1:34">
      <c r="A321" s="40">
        <v>1958</v>
      </c>
      <c r="B321" s="65">
        <v>0.28899999999999998</v>
      </c>
      <c r="C321" s="65">
        <v>0.19</v>
      </c>
      <c r="D321" s="64">
        <v>0.184</v>
      </c>
      <c r="E321" s="65">
        <v>0.18</v>
      </c>
      <c r="F321" s="64">
        <v>0.17699999999999999</v>
      </c>
      <c r="G321" s="65">
        <v>0.17299999999999999</v>
      </c>
      <c r="H321" s="64">
        <v>0.16800000000000001</v>
      </c>
      <c r="I321" s="64">
        <v>0.16300000000000001</v>
      </c>
      <c r="J321" s="64">
        <v>0.161</v>
      </c>
      <c r="K321" s="64">
        <v>0.157</v>
      </c>
      <c r="L321" s="64">
        <v>0.153</v>
      </c>
      <c r="M321" s="64">
        <v>0.14799999999999999</v>
      </c>
      <c r="N321" s="66">
        <v>0.14299999999999999</v>
      </c>
      <c r="O321" s="66">
        <v>0.14000000000000001</v>
      </c>
      <c r="P321" s="65">
        <v>0.161</v>
      </c>
      <c r="Q321" s="64">
        <v>0.17499999999999999</v>
      </c>
      <c r="R321" s="73">
        <v>2.8</v>
      </c>
      <c r="S321" s="73">
        <v>3.2</v>
      </c>
      <c r="T321" s="73">
        <v>2.9</v>
      </c>
      <c r="U321" s="69"/>
      <c r="V321" s="70"/>
      <c r="W321" s="64"/>
      <c r="X321" s="64"/>
      <c r="Y321" s="64"/>
      <c r="Z321" s="64"/>
      <c r="AA321" s="64"/>
      <c r="AB321" s="71"/>
      <c r="AC321" s="71"/>
      <c r="AD321" s="64"/>
      <c r="AE321" s="64"/>
      <c r="AF321" s="76"/>
      <c r="AG321" s="64"/>
      <c r="AH321" s="76"/>
    </row>
    <row r="322" spans="1:34">
      <c r="A322" s="40">
        <v>1959</v>
      </c>
      <c r="B322" s="65">
        <v>0.29099999999999998</v>
      </c>
      <c r="C322" s="65">
        <v>0.191</v>
      </c>
      <c r="D322" s="64">
        <v>0.185</v>
      </c>
      <c r="E322" s="65">
        <v>0.18099999999999999</v>
      </c>
      <c r="F322" s="64">
        <v>0.17899999999999999</v>
      </c>
      <c r="G322" s="65">
        <v>0.17499999999999999</v>
      </c>
      <c r="H322" s="64">
        <v>0.16900000000000001</v>
      </c>
      <c r="I322" s="64">
        <v>0.16400000000000001</v>
      </c>
      <c r="J322" s="64">
        <v>0.16200000000000001</v>
      </c>
      <c r="K322" s="64">
        <v>0.158</v>
      </c>
      <c r="L322" s="64">
        <v>0.154</v>
      </c>
      <c r="M322" s="64">
        <v>0.14899999999999999</v>
      </c>
      <c r="N322" s="66">
        <v>0.14399999999999999</v>
      </c>
      <c r="O322" s="66">
        <v>0.14099999999999999</v>
      </c>
      <c r="P322" s="65">
        <v>0.16200000000000001</v>
      </c>
      <c r="Q322" s="64">
        <v>0.17599999999999999</v>
      </c>
      <c r="R322" s="73">
        <v>0.7</v>
      </c>
      <c r="S322" s="73">
        <v>0.6</v>
      </c>
      <c r="T322" s="73">
        <v>0.6</v>
      </c>
      <c r="U322" s="69"/>
      <c r="V322" s="70"/>
      <c r="W322" s="64"/>
      <c r="X322" s="64"/>
      <c r="Y322" s="64"/>
      <c r="Z322" s="64"/>
      <c r="AA322" s="64"/>
      <c r="AB322" s="71"/>
      <c r="AC322" s="71"/>
      <c r="AD322" s="64"/>
      <c r="AE322" s="64"/>
      <c r="AF322" s="76"/>
      <c r="AG322" s="64"/>
      <c r="AH322" s="76"/>
    </row>
    <row r="323" spans="1:34">
      <c r="A323" s="40">
        <v>1960</v>
      </c>
      <c r="B323" s="65">
        <v>0.29599999999999999</v>
      </c>
      <c r="C323" s="65">
        <v>0.19400000000000001</v>
      </c>
      <c r="D323" s="64">
        <v>0.189</v>
      </c>
      <c r="E323" s="65">
        <v>0.184</v>
      </c>
      <c r="F323" s="64">
        <v>0.182</v>
      </c>
      <c r="G323" s="65">
        <v>0.17799999999999999</v>
      </c>
      <c r="H323" s="64">
        <v>0.17199999999999999</v>
      </c>
      <c r="I323" s="64">
        <v>0.16700000000000001</v>
      </c>
      <c r="J323" s="64">
        <v>0.16500000000000001</v>
      </c>
      <c r="K323" s="64">
        <v>0.161</v>
      </c>
      <c r="L323" s="64">
        <v>0.157</v>
      </c>
      <c r="M323" s="64">
        <v>0.152</v>
      </c>
      <c r="N323" s="66">
        <v>0.14699999999999999</v>
      </c>
      <c r="O323" s="66">
        <v>0.14399999999999999</v>
      </c>
      <c r="P323" s="65">
        <v>0.16500000000000001</v>
      </c>
      <c r="Q323" s="64">
        <v>0.17899999999999999</v>
      </c>
      <c r="R323" s="73">
        <v>1.7</v>
      </c>
      <c r="S323" s="73">
        <v>1.9</v>
      </c>
      <c r="T323" s="73">
        <v>1.7</v>
      </c>
      <c r="U323" s="69"/>
      <c r="V323" s="70"/>
      <c r="W323" s="64"/>
      <c r="X323" s="64"/>
      <c r="Y323" s="64"/>
      <c r="Z323" s="64"/>
      <c r="AA323" s="64"/>
      <c r="AB323" s="71"/>
      <c r="AC323" s="71"/>
      <c r="AD323" s="64"/>
      <c r="AE323" s="64"/>
      <c r="AF323" s="76"/>
      <c r="AG323" s="64"/>
      <c r="AH323" s="76"/>
    </row>
    <row r="324" spans="1:34">
      <c r="A324" s="40">
        <v>1961</v>
      </c>
      <c r="B324" s="65">
        <v>0.29899999999999999</v>
      </c>
      <c r="C324" s="65">
        <v>0.19600000000000001</v>
      </c>
      <c r="D324" s="64">
        <v>0.191</v>
      </c>
      <c r="E324" s="65">
        <v>0.186</v>
      </c>
      <c r="F324" s="64">
        <v>0.183</v>
      </c>
      <c r="G324" s="65">
        <v>0.17899999999999999</v>
      </c>
      <c r="H324" s="64">
        <v>0.17399999999999999</v>
      </c>
      <c r="I324" s="64">
        <v>0.16900000000000001</v>
      </c>
      <c r="J324" s="64">
        <v>0.16600000000000001</v>
      </c>
      <c r="K324" s="64">
        <v>0.16300000000000001</v>
      </c>
      <c r="L324" s="64">
        <v>0.158</v>
      </c>
      <c r="M324" s="64">
        <v>0.153</v>
      </c>
      <c r="N324" s="66">
        <v>0.14799999999999999</v>
      </c>
      <c r="O324" s="66">
        <v>0.14499999999999999</v>
      </c>
      <c r="P324" s="65">
        <v>0.16600000000000001</v>
      </c>
      <c r="Q324" s="64">
        <v>0.18099999999999999</v>
      </c>
      <c r="R324" s="73">
        <v>1</v>
      </c>
      <c r="S324" s="73">
        <v>0.6</v>
      </c>
      <c r="T324" s="73">
        <v>1.1000000000000001</v>
      </c>
      <c r="U324" s="69"/>
      <c r="V324" s="70"/>
      <c r="W324" s="64"/>
      <c r="X324" s="64"/>
      <c r="Y324" s="64"/>
      <c r="Z324" s="64"/>
      <c r="AA324" s="64"/>
      <c r="AB324" s="71"/>
      <c r="AC324" s="71"/>
      <c r="AD324" s="64"/>
      <c r="AE324" s="64"/>
      <c r="AF324" s="76"/>
      <c r="AG324" s="64"/>
      <c r="AH324" s="76"/>
    </row>
    <row r="325" spans="1:34">
      <c r="A325" s="40">
        <v>1962</v>
      </c>
      <c r="B325" s="65">
        <v>0.30199999999999999</v>
      </c>
      <c r="C325" s="65">
        <v>0.19800000000000001</v>
      </c>
      <c r="D325" s="64">
        <v>0.192</v>
      </c>
      <c r="E325" s="65">
        <v>0.188</v>
      </c>
      <c r="F325" s="64">
        <v>0.185</v>
      </c>
      <c r="G325" s="65">
        <v>0.18099999999999999</v>
      </c>
      <c r="H325" s="64">
        <v>0.17499999999999999</v>
      </c>
      <c r="I325" s="64">
        <v>0.17100000000000001</v>
      </c>
      <c r="J325" s="64">
        <v>0.16800000000000001</v>
      </c>
      <c r="K325" s="64">
        <v>0.16400000000000001</v>
      </c>
      <c r="L325" s="64">
        <v>0.16</v>
      </c>
      <c r="M325" s="64">
        <v>0.155</v>
      </c>
      <c r="N325" s="66">
        <v>0.15</v>
      </c>
      <c r="O325" s="66">
        <v>0.14699999999999999</v>
      </c>
      <c r="P325" s="65">
        <v>0.16800000000000001</v>
      </c>
      <c r="Q325" s="64">
        <v>0.182</v>
      </c>
      <c r="R325" s="73">
        <v>1</v>
      </c>
      <c r="S325" s="73">
        <v>1.2</v>
      </c>
      <c r="T325" s="73">
        <v>0.6</v>
      </c>
      <c r="U325" s="69"/>
      <c r="V325" s="70"/>
      <c r="W325" s="64"/>
      <c r="X325" s="64"/>
      <c r="Y325" s="64"/>
      <c r="Z325" s="64"/>
      <c r="AA325" s="64"/>
      <c r="AB325" s="71"/>
      <c r="AC325" s="71"/>
      <c r="AD325" s="64"/>
      <c r="AE325" s="64"/>
      <c r="AF325" s="76"/>
      <c r="AG325" s="64"/>
      <c r="AH325" s="76"/>
    </row>
    <row r="326" spans="1:34">
      <c r="A326" s="40">
        <v>1963</v>
      </c>
      <c r="B326" s="65">
        <v>0.30599999999999999</v>
      </c>
      <c r="C326" s="65">
        <v>0.20100000000000001</v>
      </c>
      <c r="D326" s="64">
        <v>0.19500000000000001</v>
      </c>
      <c r="E326" s="65">
        <v>0.191</v>
      </c>
      <c r="F326" s="64">
        <v>0.188</v>
      </c>
      <c r="G326" s="65">
        <v>0.184</v>
      </c>
      <c r="H326" s="64">
        <v>0.17799999999999999</v>
      </c>
      <c r="I326" s="64">
        <v>0.17299999999999999</v>
      </c>
      <c r="J326" s="64">
        <v>0.17</v>
      </c>
      <c r="K326" s="64">
        <v>0.16600000000000001</v>
      </c>
      <c r="L326" s="64">
        <v>0.16200000000000001</v>
      </c>
      <c r="M326" s="64">
        <v>0.157</v>
      </c>
      <c r="N326" s="66">
        <v>0.152</v>
      </c>
      <c r="O326" s="66">
        <v>0.14899999999999999</v>
      </c>
      <c r="P326" s="65">
        <v>0.17100000000000001</v>
      </c>
      <c r="Q326" s="64">
        <v>0.185</v>
      </c>
      <c r="R326" s="73">
        <v>1.3</v>
      </c>
      <c r="S326" s="73">
        <v>1.8</v>
      </c>
      <c r="T326" s="73">
        <v>1.6</v>
      </c>
      <c r="U326" s="69"/>
      <c r="V326" s="70"/>
      <c r="W326" s="64"/>
      <c r="X326" s="64"/>
      <c r="Y326" s="64"/>
      <c r="Z326" s="64"/>
      <c r="AA326" s="64"/>
      <c r="AB326" s="71"/>
      <c r="AC326" s="71"/>
      <c r="AD326" s="64"/>
      <c r="AE326" s="64"/>
      <c r="AF326" s="76"/>
      <c r="AG326" s="64"/>
      <c r="AH326" s="76"/>
    </row>
    <row r="327" spans="1:34">
      <c r="A327" s="40">
        <v>1964</v>
      </c>
      <c r="B327" s="65">
        <v>0.31</v>
      </c>
      <c r="C327" s="65">
        <v>0.20300000000000001</v>
      </c>
      <c r="D327" s="64">
        <v>0.19800000000000001</v>
      </c>
      <c r="E327" s="65">
        <v>0.193</v>
      </c>
      <c r="F327" s="64">
        <v>0.19</v>
      </c>
      <c r="G327" s="65">
        <v>0.186</v>
      </c>
      <c r="H327" s="64">
        <v>0.18</v>
      </c>
      <c r="I327" s="64">
        <v>0.17499999999999999</v>
      </c>
      <c r="J327" s="64">
        <v>0.17199999999999999</v>
      </c>
      <c r="K327" s="64">
        <v>0.16800000000000001</v>
      </c>
      <c r="L327" s="64">
        <v>0.16400000000000001</v>
      </c>
      <c r="M327" s="64">
        <v>0.159</v>
      </c>
      <c r="N327" s="66">
        <v>0.154</v>
      </c>
      <c r="O327" s="66">
        <v>0.151</v>
      </c>
      <c r="P327" s="65">
        <v>0.17299999999999999</v>
      </c>
      <c r="Q327" s="64">
        <v>0.187</v>
      </c>
      <c r="R327" s="73">
        <v>1.3</v>
      </c>
      <c r="S327" s="73">
        <v>1.2</v>
      </c>
      <c r="T327" s="73">
        <v>1.1000000000000001</v>
      </c>
      <c r="U327" s="69"/>
      <c r="V327" s="70"/>
      <c r="W327" s="64"/>
      <c r="X327" s="64"/>
      <c r="Y327" s="64"/>
      <c r="Z327" s="64"/>
      <c r="AA327" s="64"/>
      <c r="AB327" s="71"/>
      <c r="AC327" s="71"/>
      <c r="AD327" s="64"/>
      <c r="AE327" s="64"/>
      <c r="AF327" s="76"/>
      <c r="AG327" s="64"/>
      <c r="AH327" s="76"/>
    </row>
    <row r="328" spans="1:34">
      <c r="A328" s="40">
        <v>1965</v>
      </c>
      <c r="B328" s="65">
        <v>0.315</v>
      </c>
      <c r="C328" s="65">
        <v>0.20699999999999999</v>
      </c>
      <c r="D328" s="64">
        <v>0.20100000000000001</v>
      </c>
      <c r="E328" s="65">
        <v>0.19600000000000001</v>
      </c>
      <c r="F328" s="64">
        <v>0.193</v>
      </c>
      <c r="G328" s="65">
        <v>0.189</v>
      </c>
      <c r="H328" s="64">
        <v>0.183</v>
      </c>
      <c r="I328" s="64">
        <v>0.17799999999999999</v>
      </c>
      <c r="J328" s="64">
        <v>0.17499999999999999</v>
      </c>
      <c r="K328" s="64">
        <v>0.17100000000000001</v>
      </c>
      <c r="L328" s="64">
        <v>0.16700000000000001</v>
      </c>
      <c r="M328" s="64">
        <v>0.161</v>
      </c>
      <c r="N328" s="66">
        <v>0.156</v>
      </c>
      <c r="O328" s="66">
        <v>0.153</v>
      </c>
      <c r="P328" s="65">
        <v>0.17499999999999999</v>
      </c>
      <c r="Q328" s="64">
        <v>0.19</v>
      </c>
      <c r="R328" s="73">
        <v>1.6</v>
      </c>
      <c r="S328" s="73">
        <v>1.2</v>
      </c>
      <c r="T328" s="73">
        <v>1.6</v>
      </c>
      <c r="U328" s="69"/>
      <c r="V328" s="70"/>
      <c r="W328" s="64"/>
      <c r="X328" s="64"/>
      <c r="Y328" s="64"/>
      <c r="Z328" s="64"/>
      <c r="AA328" s="64"/>
      <c r="AB328" s="71"/>
      <c r="AC328" s="71"/>
      <c r="AD328" s="64"/>
      <c r="AE328" s="64"/>
      <c r="AF328" s="76"/>
      <c r="AG328" s="64"/>
      <c r="AH328" s="76"/>
    </row>
    <row r="329" spans="1:34">
      <c r="A329" s="40">
        <v>1966</v>
      </c>
      <c r="B329" s="65">
        <v>0.32400000000000001</v>
      </c>
      <c r="C329" s="65">
        <v>0.21299999999999999</v>
      </c>
      <c r="D329" s="64">
        <v>0.20699999999999999</v>
      </c>
      <c r="E329" s="65">
        <v>0.20200000000000001</v>
      </c>
      <c r="F329" s="64">
        <v>0.19900000000000001</v>
      </c>
      <c r="G329" s="65">
        <v>0.19400000000000001</v>
      </c>
      <c r="H329" s="64">
        <v>0.188</v>
      </c>
      <c r="I329" s="64">
        <v>0.183</v>
      </c>
      <c r="J329" s="64">
        <v>0.18</v>
      </c>
      <c r="K329" s="64">
        <v>0.17599999999999999</v>
      </c>
      <c r="L329" s="64">
        <v>0.17199999999999999</v>
      </c>
      <c r="M329" s="64">
        <v>0.16600000000000001</v>
      </c>
      <c r="N329" s="66">
        <v>0.161</v>
      </c>
      <c r="O329" s="66">
        <v>0.157</v>
      </c>
      <c r="P329" s="65">
        <v>0.18</v>
      </c>
      <c r="Q329" s="64">
        <v>0.19600000000000001</v>
      </c>
      <c r="R329" s="73">
        <v>2.9</v>
      </c>
      <c r="S329" s="73">
        <v>2.9</v>
      </c>
      <c r="T329" s="73">
        <v>3.2</v>
      </c>
      <c r="U329" s="69"/>
      <c r="V329" s="70"/>
      <c r="W329" s="64"/>
      <c r="X329" s="64"/>
      <c r="Y329" s="64"/>
      <c r="Z329" s="64"/>
      <c r="AA329" s="64"/>
      <c r="AB329" s="71"/>
      <c r="AC329" s="71"/>
      <c r="AD329" s="64"/>
      <c r="AE329" s="64"/>
      <c r="AF329" s="76"/>
      <c r="AG329" s="64"/>
      <c r="AH329" s="76"/>
    </row>
    <row r="330" spans="1:34">
      <c r="A330" s="40">
        <v>1967</v>
      </c>
      <c r="B330" s="65">
        <v>0.33400000000000002</v>
      </c>
      <c r="C330" s="65">
        <v>0.219</v>
      </c>
      <c r="D330" s="64">
        <v>0.21299999999999999</v>
      </c>
      <c r="E330" s="65">
        <v>0.20799999999999999</v>
      </c>
      <c r="F330" s="64">
        <v>0.20499999999999999</v>
      </c>
      <c r="G330" s="65">
        <v>0.2</v>
      </c>
      <c r="H330" s="64">
        <v>0.19400000000000001</v>
      </c>
      <c r="I330" s="64">
        <v>0.189</v>
      </c>
      <c r="J330" s="64">
        <v>0.186</v>
      </c>
      <c r="K330" s="64">
        <v>0.182</v>
      </c>
      <c r="L330" s="64">
        <v>0.17699999999999999</v>
      </c>
      <c r="M330" s="64">
        <v>0.17100000000000001</v>
      </c>
      <c r="N330" s="66">
        <v>0.16600000000000001</v>
      </c>
      <c r="O330" s="66">
        <v>0.16200000000000001</v>
      </c>
      <c r="P330" s="65">
        <v>0.186</v>
      </c>
      <c r="Q330" s="64">
        <v>0.20200000000000001</v>
      </c>
      <c r="R330" s="73">
        <v>3.1</v>
      </c>
      <c r="S330" s="73">
        <v>3.3</v>
      </c>
      <c r="T330" s="73">
        <v>3.1</v>
      </c>
      <c r="U330" s="69"/>
      <c r="V330" s="70"/>
      <c r="W330" s="64"/>
      <c r="X330" s="64"/>
      <c r="Y330" s="64"/>
      <c r="Z330" s="64"/>
      <c r="AA330" s="64"/>
      <c r="AB330" s="71"/>
      <c r="AC330" s="71"/>
      <c r="AD330" s="64"/>
      <c r="AE330" s="64"/>
      <c r="AF330" s="76"/>
      <c r="AG330" s="64"/>
      <c r="AH330" s="76"/>
    </row>
    <row r="331" spans="1:34">
      <c r="A331" s="40">
        <v>1968</v>
      </c>
      <c r="B331" s="65">
        <v>0.34799999999999998</v>
      </c>
      <c r="C331" s="65">
        <v>0.22800000000000001</v>
      </c>
      <c r="D331" s="64">
        <v>0.222</v>
      </c>
      <c r="E331" s="65">
        <v>0.217</v>
      </c>
      <c r="F331" s="64">
        <v>0.21299999999999999</v>
      </c>
      <c r="G331" s="65">
        <v>0.20899999999999999</v>
      </c>
      <c r="H331" s="64">
        <v>0.20200000000000001</v>
      </c>
      <c r="I331" s="64">
        <v>0.19600000000000001</v>
      </c>
      <c r="J331" s="64">
        <v>0.193</v>
      </c>
      <c r="K331" s="64">
        <v>0.189</v>
      </c>
      <c r="L331" s="64">
        <v>0.184</v>
      </c>
      <c r="M331" s="64">
        <v>0.17799999999999999</v>
      </c>
      <c r="N331" s="66">
        <v>0.17299999999999999</v>
      </c>
      <c r="O331" s="66">
        <v>0.16900000000000001</v>
      </c>
      <c r="P331" s="65">
        <v>0.193</v>
      </c>
      <c r="Q331" s="64">
        <v>0.21</v>
      </c>
      <c r="R331" s="73">
        <v>4.2</v>
      </c>
      <c r="S331" s="73">
        <v>3.8</v>
      </c>
      <c r="T331" s="73">
        <v>4</v>
      </c>
      <c r="U331" s="69"/>
      <c r="V331" s="70"/>
      <c r="W331" s="64"/>
      <c r="X331" s="64"/>
      <c r="Y331" s="64"/>
      <c r="Z331" s="64"/>
      <c r="AA331" s="64"/>
      <c r="AB331" s="71"/>
      <c r="AC331" s="71"/>
      <c r="AD331" s="64"/>
      <c r="AE331" s="64"/>
      <c r="AF331" s="76"/>
      <c r="AG331" s="64"/>
      <c r="AH331" s="76"/>
    </row>
    <row r="332" spans="1:34">
      <c r="A332" s="40">
        <v>1969</v>
      </c>
      <c r="B332" s="65">
        <v>0.36699999999999999</v>
      </c>
      <c r="C332" s="65">
        <v>0.24099999999999999</v>
      </c>
      <c r="D332" s="64">
        <v>0.23400000000000001</v>
      </c>
      <c r="E332" s="65">
        <v>0.22900000000000001</v>
      </c>
      <c r="F332" s="64">
        <v>0.22500000000000001</v>
      </c>
      <c r="G332" s="65">
        <v>0.22</v>
      </c>
      <c r="H332" s="64">
        <v>0.21299999999999999</v>
      </c>
      <c r="I332" s="64">
        <v>0.20699999999999999</v>
      </c>
      <c r="J332" s="64">
        <v>0.20399999999999999</v>
      </c>
      <c r="K332" s="64">
        <v>0.19900000000000001</v>
      </c>
      <c r="L332" s="64">
        <v>0.19400000000000001</v>
      </c>
      <c r="M332" s="64">
        <v>0.188</v>
      </c>
      <c r="N332" s="66">
        <v>0.182</v>
      </c>
      <c r="O332" s="66">
        <v>0.17799999999999999</v>
      </c>
      <c r="P332" s="65">
        <v>0.20200000000000001</v>
      </c>
      <c r="Q332" s="64">
        <v>0.219</v>
      </c>
      <c r="R332" s="73">
        <v>5.5</v>
      </c>
      <c r="S332" s="73">
        <v>4.7</v>
      </c>
      <c r="T332" s="73">
        <v>4.3</v>
      </c>
      <c r="U332" s="69"/>
      <c r="V332" s="70"/>
      <c r="W332" s="64"/>
      <c r="X332" s="64"/>
      <c r="Y332" s="64"/>
      <c r="Z332" s="64"/>
      <c r="AA332" s="64"/>
      <c r="AB332" s="71"/>
      <c r="AC332" s="71"/>
      <c r="AD332" s="64"/>
      <c r="AE332" s="64"/>
      <c r="AF332" s="76"/>
      <c r="AG332" s="64"/>
      <c r="AH332" s="76"/>
    </row>
    <row r="333" spans="1:34">
      <c r="A333" s="40">
        <v>1970</v>
      </c>
      <c r="B333" s="65">
        <v>0.38800000000000001</v>
      </c>
      <c r="C333" s="65">
        <v>0.255</v>
      </c>
      <c r="D333" s="64">
        <v>0.247</v>
      </c>
      <c r="E333" s="65">
        <v>0.24199999999999999</v>
      </c>
      <c r="F333" s="64">
        <v>0.23799999999999999</v>
      </c>
      <c r="G333" s="65">
        <v>0.23300000000000001</v>
      </c>
      <c r="H333" s="64">
        <v>0.22500000000000001</v>
      </c>
      <c r="I333" s="64">
        <v>0.219</v>
      </c>
      <c r="J333" s="64">
        <v>0.216</v>
      </c>
      <c r="K333" s="64">
        <v>0.21099999999999999</v>
      </c>
      <c r="L333" s="64">
        <v>0.20499999999999999</v>
      </c>
      <c r="M333" s="64">
        <v>0.19900000000000001</v>
      </c>
      <c r="N333" s="66">
        <v>0.192</v>
      </c>
      <c r="O333" s="66">
        <v>0.189</v>
      </c>
      <c r="P333" s="65">
        <v>0.21099999999999999</v>
      </c>
      <c r="Q333" s="64">
        <v>0.23</v>
      </c>
      <c r="R333" s="73">
        <v>5.7</v>
      </c>
      <c r="S333" s="73">
        <v>4.5</v>
      </c>
      <c r="T333" s="73">
        <v>5</v>
      </c>
      <c r="U333" s="69"/>
      <c r="V333" s="70"/>
      <c r="W333" s="64"/>
      <c r="X333" s="64"/>
      <c r="Y333" s="64"/>
      <c r="Z333" s="64"/>
      <c r="AA333" s="64"/>
      <c r="AB333" s="71"/>
      <c r="AC333" s="71"/>
      <c r="AD333" s="64"/>
      <c r="AE333" s="64"/>
      <c r="AF333" s="76"/>
      <c r="AG333" s="64"/>
      <c r="AH333" s="76"/>
    </row>
    <row r="334" spans="1:34">
      <c r="A334" s="40">
        <v>1971</v>
      </c>
      <c r="B334" s="65">
        <v>0.40500000000000003</v>
      </c>
      <c r="C334" s="65">
        <v>0.26600000000000001</v>
      </c>
      <c r="D334" s="64">
        <v>0.25800000000000001</v>
      </c>
      <c r="E334" s="65">
        <v>0.252</v>
      </c>
      <c r="F334" s="64">
        <v>0.248</v>
      </c>
      <c r="G334" s="65">
        <v>0.24299999999999999</v>
      </c>
      <c r="H334" s="64">
        <v>0.23499999999999999</v>
      </c>
      <c r="I334" s="64">
        <v>0.22900000000000001</v>
      </c>
      <c r="J334" s="64">
        <v>0.22500000000000001</v>
      </c>
      <c r="K334" s="64">
        <v>0.22</v>
      </c>
      <c r="L334" s="64">
        <v>0.214</v>
      </c>
      <c r="M334" s="64">
        <v>0.20699999999999999</v>
      </c>
      <c r="N334" s="66">
        <v>0.20100000000000001</v>
      </c>
      <c r="O334" s="66">
        <v>0.19700000000000001</v>
      </c>
      <c r="P334" s="65">
        <v>0.221</v>
      </c>
      <c r="Q334" s="64">
        <v>0.24</v>
      </c>
      <c r="R334" s="73">
        <v>4.4000000000000004</v>
      </c>
      <c r="S334" s="73">
        <v>4.7</v>
      </c>
      <c r="T334" s="73">
        <v>4.3</v>
      </c>
      <c r="U334" s="69"/>
      <c r="V334" s="70"/>
      <c r="W334" s="64"/>
      <c r="X334" s="64"/>
      <c r="Y334" s="64"/>
      <c r="Z334" s="64"/>
      <c r="AA334" s="64"/>
      <c r="AB334" s="71"/>
      <c r="AC334" s="71"/>
      <c r="AD334" s="64"/>
      <c r="AE334" s="64"/>
      <c r="AF334" s="76"/>
      <c r="AG334" s="64"/>
      <c r="AH334" s="76"/>
    </row>
    <row r="335" spans="1:34">
      <c r="A335" s="40">
        <v>1972</v>
      </c>
      <c r="B335" s="65">
        <v>0.41799999999999998</v>
      </c>
      <c r="C335" s="65">
        <v>0.27400000000000002</v>
      </c>
      <c r="D335" s="64">
        <v>0.26600000000000001</v>
      </c>
      <c r="E335" s="65">
        <v>0.26</v>
      </c>
      <c r="F335" s="64">
        <v>0.25600000000000001</v>
      </c>
      <c r="G335" s="65">
        <v>0.251</v>
      </c>
      <c r="H335" s="64">
        <v>0.24299999999999999</v>
      </c>
      <c r="I335" s="64">
        <v>0.23599999999999999</v>
      </c>
      <c r="J335" s="64">
        <v>0.23200000000000001</v>
      </c>
      <c r="K335" s="64">
        <v>0.22700000000000001</v>
      </c>
      <c r="L335" s="64">
        <v>0.221</v>
      </c>
      <c r="M335" s="64">
        <v>0.214</v>
      </c>
      <c r="N335" s="66">
        <v>0.20699999999999999</v>
      </c>
      <c r="O335" s="66">
        <v>0.20300000000000001</v>
      </c>
      <c r="P335" s="65">
        <v>0.22700000000000001</v>
      </c>
      <c r="Q335" s="64">
        <v>0.247</v>
      </c>
      <c r="R335" s="73">
        <v>3.2</v>
      </c>
      <c r="S335" s="73">
        <v>2.7</v>
      </c>
      <c r="T335" s="73">
        <v>2.9</v>
      </c>
      <c r="U335" s="69"/>
      <c r="V335" s="70"/>
      <c r="W335" s="64"/>
      <c r="X335" s="64"/>
      <c r="Y335" s="64"/>
      <c r="Z335" s="64"/>
      <c r="AA335" s="64"/>
      <c r="AB335" s="71"/>
      <c r="AC335" s="71"/>
      <c r="AD335" s="64"/>
      <c r="AE335" s="64"/>
      <c r="AF335" s="76"/>
      <c r="AG335" s="64"/>
      <c r="AH335" s="76"/>
    </row>
    <row r="336" spans="1:34">
      <c r="A336" s="40">
        <v>1973</v>
      </c>
      <c r="B336" s="65">
        <v>0.44400000000000001</v>
      </c>
      <c r="C336" s="65">
        <v>0.29099999999999998</v>
      </c>
      <c r="D336" s="64">
        <v>0.28299999999999997</v>
      </c>
      <c r="E336" s="65">
        <v>0.27700000000000002</v>
      </c>
      <c r="F336" s="64">
        <v>0.27200000000000002</v>
      </c>
      <c r="G336" s="65">
        <v>0.26700000000000002</v>
      </c>
      <c r="H336" s="64">
        <v>0.25800000000000001</v>
      </c>
      <c r="I336" s="64">
        <v>0.251</v>
      </c>
      <c r="J336" s="64">
        <v>0.247</v>
      </c>
      <c r="K336" s="64">
        <v>0.24099999999999999</v>
      </c>
      <c r="L336" s="64">
        <v>0.23499999999999999</v>
      </c>
      <c r="M336" s="64">
        <v>0.22700000000000001</v>
      </c>
      <c r="N336" s="66">
        <v>0.22</v>
      </c>
      <c r="O336" s="66">
        <v>0.216</v>
      </c>
      <c r="P336" s="65">
        <v>0.24199999999999999</v>
      </c>
      <c r="Q336" s="64">
        <v>0.26300000000000001</v>
      </c>
      <c r="R336" s="73">
        <v>6.2</v>
      </c>
      <c r="S336" s="73">
        <v>6.6</v>
      </c>
      <c r="T336" s="73">
        <v>6.5</v>
      </c>
      <c r="U336" s="69"/>
      <c r="V336" s="70"/>
      <c r="W336" s="64"/>
      <c r="X336" s="64"/>
      <c r="Y336" s="64"/>
      <c r="Z336" s="64"/>
      <c r="AA336" s="64"/>
      <c r="AB336" s="71"/>
      <c r="AC336" s="71"/>
      <c r="AD336" s="64"/>
      <c r="AE336" s="64"/>
      <c r="AF336" s="76"/>
      <c r="AG336" s="64"/>
      <c r="AH336" s="76"/>
    </row>
    <row r="337" spans="1:34">
      <c r="A337" s="40">
        <v>1974</v>
      </c>
      <c r="B337" s="65">
        <v>0.49299999999999999</v>
      </c>
      <c r="C337" s="65">
        <v>0.32300000000000001</v>
      </c>
      <c r="D337" s="64">
        <v>0.314</v>
      </c>
      <c r="E337" s="65">
        <v>0.307</v>
      </c>
      <c r="F337" s="64">
        <v>0.30199999999999999</v>
      </c>
      <c r="G337" s="65">
        <v>0.29599999999999999</v>
      </c>
      <c r="H337" s="64">
        <v>0.28599999999999998</v>
      </c>
      <c r="I337" s="64">
        <v>0.27800000000000002</v>
      </c>
      <c r="J337" s="64">
        <v>0.27400000000000002</v>
      </c>
      <c r="K337" s="64">
        <v>0.26800000000000002</v>
      </c>
      <c r="L337" s="64">
        <v>0.26100000000000001</v>
      </c>
      <c r="M337" s="64">
        <v>0.252</v>
      </c>
      <c r="N337" s="66">
        <v>0.245</v>
      </c>
      <c r="O337" s="66">
        <v>0.24</v>
      </c>
      <c r="P337" s="65">
        <v>0.26600000000000001</v>
      </c>
      <c r="Q337" s="64">
        <v>0.28899999999999998</v>
      </c>
      <c r="R337" s="73">
        <v>11</v>
      </c>
      <c r="S337" s="73">
        <v>9.9</v>
      </c>
      <c r="T337" s="73">
        <v>9.9</v>
      </c>
      <c r="U337" s="69"/>
      <c r="V337" s="70"/>
      <c r="W337" s="64"/>
      <c r="X337" s="64"/>
      <c r="Y337" s="64"/>
      <c r="Z337" s="64"/>
      <c r="AA337" s="64"/>
      <c r="AB337" s="71"/>
      <c r="AC337" s="71"/>
      <c r="AD337" s="64"/>
      <c r="AE337" s="64"/>
      <c r="AF337" s="76"/>
      <c r="AG337" s="64"/>
      <c r="AH337" s="76"/>
    </row>
    <row r="338" spans="1:34">
      <c r="A338" s="40">
        <v>1975</v>
      </c>
      <c r="B338" s="65">
        <v>0.53800000000000003</v>
      </c>
      <c r="C338" s="65">
        <v>0.35299999999999998</v>
      </c>
      <c r="D338" s="64">
        <v>0.34300000000000003</v>
      </c>
      <c r="E338" s="65">
        <v>0.33500000000000002</v>
      </c>
      <c r="F338" s="64">
        <v>0.33</v>
      </c>
      <c r="G338" s="65">
        <v>0.32300000000000001</v>
      </c>
      <c r="H338" s="64">
        <v>0.312</v>
      </c>
      <c r="I338" s="64">
        <v>0.30399999999999999</v>
      </c>
      <c r="J338" s="64">
        <v>0.29899999999999999</v>
      </c>
      <c r="K338" s="64">
        <v>0.29199999999999998</v>
      </c>
      <c r="L338" s="64">
        <v>0.28499999999999998</v>
      </c>
      <c r="M338" s="64">
        <v>0.27500000000000002</v>
      </c>
      <c r="N338" s="66">
        <v>0.26700000000000002</v>
      </c>
      <c r="O338" s="66">
        <v>0.26100000000000001</v>
      </c>
      <c r="P338" s="65">
        <v>0.28799999999999998</v>
      </c>
      <c r="Q338" s="64">
        <v>0.313</v>
      </c>
      <c r="R338" s="73">
        <v>9.1</v>
      </c>
      <c r="S338" s="73">
        <v>8.3000000000000007</v>
      </c>
      <c r="T338" s="73">
        <v>8.3000000000000007</v>
      </c>
      <c r="U338" s="69"/>
      <c r="V338" s="70"/>
      <c r="W338" s="64"/>
      <c r="X338" s="64"/>
      <c r="Y338" s="64"/>
      <c r="Z338" s="64"/>
      <c r="AA338" s="64"/>
      <c r="AB338" s="71"/>
      <c r="AC338" s="71"/>
      <c r="AD338" s="64"/>
      <c r="AE338" s="64"/>
      <c r="AF338" s="76"/>
      <c r="AG338" s="64"/>
      <c r="AH338" s="76"/>
    </row>
    <row r="339" spans="1:34">
      <c r="A339" s="40">
        <v>1976</v>
      </c>
      <c r="B339" s="65">
        <v>0.56899999999999995</v>
      </c>
      <c r="C339" s="65">
        <v>0.373</v>
      </c>
      <c r="D339" s="64">
        <v>0.36299999999999999</v>
      </c>
      <c r="E339" s="65">
        <v>0.35499999999999998</v>
      </c>
      <c r="F339" s="64">
        <v>0.34899999999999998</v>
      </c>
      <c r="G339" s="65">
        <v>0.34200000000000003</v>
      </c>
      <c r="H339" s="64">
        <v>0.33</v>
      </c>
      <c r="I339" s="64">
        <v>0.32100000000000001</v>
      </c>
      <c r="J339" s="64">
        <v>0.316</v>
      </c>
      <c r="K339" s="64">
        <v>0.309</v>
      </c>
      <c r="L339" s="64">
        <v>0.30099999999999999</v>
      </c>
      <c r="M339" s="64">
        <v>0.29099999999999998</v>
      </c>
      <c r="N339" s="66">
        <v>0.28199999999999997</v>
      </c>
      <c r="O339" s="66">
        <v>0.27600000000000002</v>
      </c>
      <c r="P339" s="65">
        <v>0.30399999999999999</v>
      </c>
      <c r="Q339" s="64">
        <v>0.33100000000000002</v>
      </c>
      <c r="R339" s="73">
        <v>5.8</v>
      </c>
      <c r="S339" s="73">
        <v>5.6</v>
      </c>
      <c r="T339" s="73">
        <v>5.8</v>
      </c>
      <c r="U339" s="69"/>
      <c r="V339" s="70"/>
      <c r="W339" s="64"/>
      <c r="X339" s="64"/>
      <c r="Y339" s="64"/>
      <c r="Z339" s="64"/>
      <c r="AA339" s="64"/>
      <c r="AB339" s="71"/>
      <c r="AC339" s="71"/>
      <c r="AD339" s="64"/>
      <c r="AE339" s="64"/>
      <c r="AF339" s="76"/>
      <c r="AG339" s="64"/>
      <c r="AH339" s="76"/>
    </row>
    <row r="340" spans="1:34">
      <c r="A340" s="40">
        <v>1977</v>
      </c>
      <c r="B340" s="65">
        <v>0.60599999999999998</v>
      </c>
      <c r="C340" s="65">
        <v>0.39800000000000002</v>
      </c>
      <c r="D340" s="64">
        <v>0.38600000000000001</v>
      </c>
      <c r="E340" s="65">
        <v>0.378</v>
      </c>
      <c r="F340" s="64">
        <v>0.372</v>
      </c>
      <c r="G340" s="65">
        <v>0.36399999999999999</v>
      </c>
      <c r="H340" s="64">
        <v>0.35199999999999998</v>
      </c>
      <c r="I340" s="64">
        <v>0.34200000000000003</v>
      </c>
      <c r="J340" s="64">
        <v>0.33700000000000002</v>
      </c>
      <c r="K340" s="64">
        <v>0.32900000000000001</v>
      </c>
      <c r="L340" s="64">
        <v>0.32100000000000001</v>
      </c>
      <c r="M340" s="64">
        <v>0.31</v>
      </c>
      <c r="N340" s="66">
        <v>0.30099999999999999</v>
      </c>
      <c r="O340" s="66">
        <v>0.29399999999999998</v>
      </c>
      <c r="P340" s="65">
        <v>0.32400000000000001</v>
      </c>
      <c r="Q340" s="64">
        <v>0.35199999999999998</v>
      </c>
      <c r="R340" s="73">
        <v>6.5</v>
      </c>
      <c r="S340" s="73">
        <v>6.6</v>
      </c>
      <c r="T340" s="73">
        <v>6.3</v>
      </c>
      <c r="U340" s="69"/>
      <c r="V340" s="70"/>
      <c r="W340" s="64"/>
      <c r="X340" s="64"/>
      <c r="Y340" s="64"/>
      <c r="Z340" s="64"/>
      <c r="AA340" s="64"/>
      <c r="AB340" s="71"/>
      <c r="AC340" s="71"/>
      <c r="AD340" s="64"/>
      <c r="AE340" s="64"/>
      <c r="AF340" s="76"/>
      <c r="AG340" s="64"/>
      <c r="AH340" s="76"/>
    </row>
    <row r="341" spans="1:34" ht="11">
      <c r="A341" s="40">
        <v>1978</v>
      </c>
      <c r="B341" s="65">
        <v>0.65200000000000002</v>
      </c>
      <c r="C341" s="65">
        <v>0.42799999999999999</v>
      </c>
      <c r="D341" s="64">
        <v>0.41599999999999998</v>
      </c>
      <c r="E341" s="65">
        <v>0.40600000000000003</v>
      </c>
      <c r="F341" s="64">
        <v>0.4</v>
      </c>
      <c r="G341" s="65">
        <v>0.39100000000000001</v>
      </c>
      <c r="H341" s="64">
        <v>0.379</v>
      </c>
      <c r="I341" s="64">
        <v>0.36799999999999999</v>
      </c>
      <c r="J341" s="64">
        <v>0.36199999999999999</v>
      </c>
      <c r="K341" s="64">
        <v>0.35399999999999998</v>
      </c>
      <c r="L341" s="64">
        <v>0.34499999999999997</v>
      </c>
      <c r="M341" s="64">
        <v>0.33400000000000002</v>
      </c>
      <c r="N341" s="66">
        <v>0.32300000000000001</v>
      </c>
      <c r="O341" s="66">
        <v>0.317</v>
      </c>
      <c r="P341" s="65">
        <v>0.34599999999999997</v>
      </c>
      <c r="Q341" s="64">
        <v>0.36699999999999999</v>
      </c>
      <c r="R341" s="73">
        <v>7.6</v>
      </c>
      <c r="S341" s="73">
        <v>6.8</v>
      </c>
      <c r="T341" s="73">
        <v>4.3</v>
      </c>
      <c r="U341" s="69"/>
      <c r="V341" s="70"/>
      <c r="W341" s="64"/>
      <c r="X341" s="64"/>
      <c r="Y341" s="64"/>
      <c r="Z341" s="64"/>
      <c r="AA341" s="64"/>
      <c r="AB341" s="71"/>
      <c r="AC341" s="81"/>
      <c r="AD341" s="64"/>
      <c r="AE341" s="64"/>
      <c r="AF341" s="76"/>
      <c r="AG341" s="64"/>
      <c r="AH341" s="76"/>
    </row>
    <row r="342" spans="1:34" ht="11">
      <c r="A342" s="40">
        <v>1979</v>
      </c>
      <c r="B342" s="65">
        <v>0.72599999999999998</v>
      </c>
      <c r="C342" s="65">
        <v>0.47599999999999998</v>
      </c>
      <c r="D342" s="64">
        <v>0.46300000000000002</v>
      </c>
      <c r="E342" s="65">
        <v>0.45200000000000001</v>
      </c>
      <c r="F342" s="64">
        <v>0.44500000000000001</v>
      </c>
      <c r="G342" s="65">
        <v>0.436</v>
      </c>
      <c r="H342" s="64">
        <v>0.42199999999999999</v>
      </c>
      <c r="I342" s="64">
        <v>0.41</v>
      </c>
      <c r="J342" s="64">
        <v>0.40400000000000003</v>
      </c>
      <c r="K342" s="64">
        <v>0.39500000000000002</v>
      </c>
      <c r="L342" s="64">
        <v>0.38400000000000001</v>
      </c>
      <c r="M342" s="64">
        <v>0.372</v>
      </c>
      <c r="N342" s="66">
        <v>0.36</v>
      </c>
      <c r="O342" s="66">
        <v>0.35299999999999998</v>
      </c>
      <c r="P342" s="65">
        <v>0.379</v>
      </c>
      <c r="Q342" s="64">
        <v>0.40100000000000002</v>
      </c>
      <c r="R342" s="73">
        <v>11.3</v>
      </c>
      <c r="S342" s="73">
        <v>9.5</v>
      </c>
      <c r="T342" s="73">
        <v>9.3000000000000007</v>
      </c>
      <c r="U342" s="69"/>
      <c r="V342" s="70"/>
      <c r="W342" s="64"/>
      <c r="X342" s="64"/>
      <c r="Y342" s="64"/>
      <c r="Z342" s="64"/>
      <c r="AA342" s="64"/>
      <c r="AB342" s="71"/>
      <c r="AC342" s="81"/>
      <c r="AD342" s="64"/>
      <c r="AE342" s="64"/>
      <c r="AF342" s="76"/>
      <c r="AG342" s="64"/>
      <c r="AH342" s="76"/>
    </row>
    <row r="343" spans="1:34" ht="11">
      <c r="A343" s="40">
        <v>1980</v>
      </c>
      <c r="B343" s="65">
        <v>0.82399999999999995</v>
      </c>
      <c r="C343" s="65">
        <v>0.54100000000000004</v>
      </c>
      <c r="D343" s="64">
        <v>0.52500000000000002</v>
      </c>
      <c r="E343" s="65">
        <v>0.51300000000000001</v>
      </c>
      <c r="F343" s="64">
        <v>0.50600000000000001</v>
      </c>
      <c r="G343" s="65">
        <v>0.495</v>
      </c>
      <c r="H343" s="64">
        <v>0.47899999999999998</v>
      </c>
      <c r="I343" s="64">
        <v>0.46500000000000002</v>
      </c>
      <c r="J343" s="64">
        <v>0.45800000000000002</v>
      </c>
      <c r="K343" s="64">
        <v>0.44800000000000001</v>
      </c>
      <c r="L343" s="64">
        <v>0.436</v>
      </c>
      <c r="M343" s="64">
        <v>0.42199999999999999</v>
      </c>
      <c r="N343" s="66">
        <v>0.40899999999999997</v>
      </c>
      <c r="O343" s="66">
        <v>0.4</v>
      </c>
      <c r="P343" s="65">
        <v>0.42099999999999999</v>
      </c>
      <c r="Q343" s="64">
        <v>0.44500000000000001</v>
      </c>
      <c r="R343" s="73">
        <v>13.5</v>
      </c>
      <c r="S343" s="73">
        <v>11.1</v>
      </c>
      <c r="T343" s="73">
        <v>11</v>
      </c>
      <c r="U343" s="69"/>
      <c r="V343" s="70"/>
      <c r="W343" s="64"/>
      <c r="X343" s="64"/>
      <c r="Y343" s="64"/>
      <c r="Z343" s="64"/>
      <c r="AA343" s="64"/>
      <c r="AB343" s="71"/>
      <c r="AC343" s="81"/>
      <c r="AD343" s="64"/>
      <c r="AE343" s="64"/>
      <c r="AF343" s="76"/>
      <c r="AG343" s="64"/>
      <c r="AH343" s="76"/>
    </row>
    <row r="344" spans="1:34" ht="11">
      <c r="A344" s="40">
        <v>1981</v>
      </c>
      <c r="B344" s="65">
        <v>0.90900000000000003</v>
      </c>
      <c r="C344" s="65">
        <v>0.59599999999999997</v>
      </c>
      <c r="D344" s="64">
        <v>0.57899999999999996</v>
      </c>
      <c r="E344" s="65">
        <v>0.56599999999999995</v>
      </c>
      <c r="F344" s="64">
        <v>0.55800000000000005</v>
      </c>
      <c r="G344" s="65">
        <v>0.54600000000000004</v>
      </c>
      <c r="H344" s="64">
        <v>0.52800000000000002</v>
      </c>
      <c r="I344" s="64">
        <v>0.51300000000000001</v>
      </c>
      <c r="J344" s="64">
        <v>0.505</v>
      </c>
      <c r="K344" s="64">
        <v>0.49399999999999999</v>
      </c>
      <c r="L344" s="64">
        <v>0.48099999999999998</v>
      </c>
      <c r="M344" s="64">
        <v>0.46500000000000002</v>
      </c>
      <c r="N344" s="66">
        <v>0.45100000000000001</v>
      </c>
      <c r="O344" s="66">
        <v>0.442</v>
      </c>
      <c r="P344" s="65">
        <v>0.46100000000000002</v>
      </c>
      <c r="Q344" s="64">
        <v>0.48699999999999999</v>
      </c>
      <c r="R344" s="73">
        <v>10.3</v>
      </c>
      <c r="S344" s="73">
        <v>9.5</v>
      </c>
      <c r="T344" s="73">
        <v>9.4</v>
      </c>
      <c r="U344" s="69"/>
      <c r="V344" s="70"/>
      <c r="W344" s="64"/>
      <c r="X344" s="64"/>
      <c r="Y344" s="64"/>
      <c r="Z344" s="64"/>
      <c r="AA344" s="64"/>
      <c r="AB344" s="71"/>
      <c r="AC344" s="81"/>
      <c r="AD344" s="64"/>
      <c r="AE344" s="64"/>
      <c r="AF344" s="76"/>
      <c r="AG344" s="64"/>
      <c r="AH344" s="76"/>
    </row>
    <row r="345" spans="1:34" ht="11">
      <c r="A345" s="40">
        <v>1982</v>
      </c>
      <c r="B345" s="65">
        <v>0.96499999999999997</v>
      </c>
      <c r="C345" s="65">
        <v>0.63300000000000001</v>
      </c>
      <c r="D345" s="64">
        <v>0.61499999999999999</v>
      </c>
      <c r="E345" s="65">
        <v>0.60099999999999998</v>
      </c>
      <c r="F345" s="64">
        <v>0.59199999999999997</v>
      </c>
      <c r="G345" s="65">
        <v>0.57899999999999996</v>
      </c>
      <c r="H345" s="64">
        <v>0.56000000000000005</v>
      </c>
      <c r="I345" s="64">
        <v>0.54500000000000004</v>
      </c>
      <c r="J345" s="64">
        <v>0.53600000000000003</v>
      </c>
      <c r="K345" s="64">
        <v>0.52400000000000002</v>
      </c>
      <c r="L345" s="64">
        <v>0.51100000000000001</v>
      </c>
      <c r="M345" s="64">
        <v>0.49399999999999999</v>
      </c>
      <c r="N345" s="66">
        <v>0.47899999999999998</v>
      </c>
      <c r="O345" s="66">
        <v>0.46899999999999997</v>
      </c>
      <c r="P345" s="65">
        <v>0.49</v>
      </c>
      <c r="Q345" s="64">
        <v>0.51600000000000001</v>
      </c>
      <c r="R345" s="73">
        <v>6.2</v>
      </c>
      <c r="S345" s="73">
        <v>6.3</v>
      </c>
      <c r="T345" s="73">
        <v>6</v>
      </c>
      <c r="U345" s="69"/>
      <c r="V345" s="70"/>
      <c r="W345" s="64"/>
      <c r="X345" s="64"/>
      <c r="Y345" s="64"/>
      <c r="Z345" s="64"/>
      <c r="AA345" s="64"/>
      <c r="AB345" s="71"/>
      <c r="AC345" s="81"/>
      <c r="AD345" s="64"/>
      <c r="AE345" s="64"/>
      <c r="AF345" s="76"/>
      <c r="AG345" s="64"/>
      <c r="AH345" s="76"/>
    </row>
    <row r="346" spans="1:34" ht="11">
      <c r="A346" s="40">
        <v>1983</v>
      </c>
      <c r="B346" s="65">
        <v>0.996</v>
      </c>
      <c r="C346" s="65">
        <v>0.65400000000000003</v>
      </c>
      <c r="D346" s="64">
        <v>0.63500000000000001</v>
      </c>
      <c r="E346" s="65">
        <v>0.621</v>
      </c>
      <c r="F346" s="64">
        <v>0.61099999999999999</v>
      </c>
      <c r="G346" s="65">
        <v>0.59799999999999998</v>
      </c>
      <c r="H346" s="64">
        <v>0.57799999999999996</v>
      </c>
      <c r="I346" s="64">
        <v>0.56200000000000006</v>
      </c>
      <c r="J346" s="64">
        <v>0.55400000000000005</v>
      </c>
      <c r="K346" s="64">
        <v>0.54100000000000004</v>
      </c>
      <c r="L346" s="64">
        <v>0.52700000000000002</v>
      </c>
      <c r="M346" s="64">
        <v>0.51</v>
      </c>
      <c r="N346" s="66">
        <v>0.49399999999999999</v>
      </c>
      <c r="O346" s="66">
        <v>0.48399999999999999</v>
      </c>
      <c r="P346" s="65">
        <v>0.51</v>
      </c>
      <c r="Q346" s="64">
        <v>0.53800000000000003</v>
      </c>
      <c r="R346" s="73">
        <v>3.2</v>
      </c>
      <c r="S346" s="73">
        <v>4.0999999999999996</v>
      </c>
      <c r="T346" s="73">
        <v>4.3</v>
      </c>
      <c r="U346" s="69"/>
      <c r="V346" s="70"/>
      <c r="W346" s="64"/>
      <c r="X346" s="64"/>
      <c r="Y346" s="64"/>
      <c r="Z346" s="64"/>
      <c r="AA346" s="64"/>
      <c r="AB346" s="71"/>
      <c r="AC346" s="81"/>
      <c r="AD346" s="64"/>
      <c r="AE346" s="64"/>
      <c r="AF346" s="76"/>
      <c r="AG346" s="64"/>
      <c r="AH346" s="76"/>
    </row>
    <row r="347" spans="1:34" ht="11">
      <c r="A347" s="40">
        <v>1984</v>
      </c>
      <c r="B347" s="65">
        <v>1.0389999999999999</v>
      </c>
      <c r="C347" s="65">
        <v>0.68200000000000005</v>
      </c>
      <c r="D347" s="64">
        <v>0.66200000000000003</v>
      </c>
      <c r="E347" s="65">
        <v>0.64700000000000002</v>
      </c>
      <c r="F347" s="64">
        <v>0.63700000000000001</v>
      </c>
      <c r="G347" s="65">
        <v>0.624</v>
      </c>
      <c r="H347" s="64">
        <v>0.60299999999999998</v>
      </c>
      <c r="I347" s="64">
        <v>0.58699999999999997</v>
      </c>
      <c r="J347" s="64">
        <v>0.57799999999999996</v>
      </c>
      <c r="K347" s="64">
        <v>0.56499999999999995</v>
      </c>
      <c r="L347" s="64">
        <v>0.55000000000000004</v>
      </c>
      <c r="M347" s="64">
        <v>0.53200000000000003</v>
      </c>
      <c r="N347" s="66">
        <v>0.51500000000000001</v>
      </c>
      <c r="O347" s="66">
        <v>0.505</v>
      </c>
      <c r="P347" s="65">
        <v>0.53200000000000003</v>
      </c>
      <c r="Q347" s="64">
        <v>0.55900000000000005</v>
      </c>
      <c r="R347" s="73">
        <v>4.3</v>
      </c>
      <c r="S347" s="73">
        <v>4.3</v>
      </c>
      <c r="T347" s="73">
        <v>3.9</v>
      </c>
      <c r="U347" s="69"/>
      <c r="V347" s="70"/>
      <c r="W347" s="64"/>
      <c r="X347" s="64"/>
      <c r="Y347" s="64"/>
      <c r="Z347" s="64"/>
      <c r="AA347" s="64"/>
      <c r="AB347" s="71"/>
      <c r="AC347" s="81"/>
      <c r="AD347" s="64"/>
      <c r="AE347" s="64"/>
      <c r="AF347" s="76"/>
      <c r="AG347" s="64"/>
      <c r="AH347" s="76"/>
    </row>
    <row r="348" spans="1:34" ht="11">
      <c r="A348" s="40">
        <v>1985</v>
      </c>
      <c r="B348" s="65">
        <v>1.0760000000000001</v>
      </c>
      <c r="C348" s="65">
        <v>0.70599999999999996</v>
      </c>
      <c r="D348" s="64">
        <v>0.68600000000000005</v>
      </c>
      <c r="E348" s="65">
        <v>0.67</v>
      </c>
      <c r="F348" s="64">
        <v>0.66</v>
      </c>
      <c r="G348" s="65">
        <v>0.64600000000000002</v>
      </c>
      <c r="H348" s="64">
        <v>0.625</v>
      </c>
      <c r="I348" s="64">
        <v>0.60799999999999998</v>
      </c>
      <c r="J348" s="64">
        <v>0.59799999999999998</v>
      </c>
      <c r="K348" s="64">
        <v>0.58499999999999996</v>
      </c>
      <c r="L348" s="64">
        <v>0.56999999999999995</v>
      </c>
      <c r="M348" s="64">
        <v>0.55100000000000005</v>
      </c>
      <c r="N348" s="66">
        <v>0.53400000000000003</v>
      </c>
      <c r="O348" s="66">
        <v>0.52300000000000002</v>
      </c>
      <c r="P348" s="65">
        <v>0.55100000000000005</v>
      </c>
      <c r="Q348" s="64">
        <v>0.57799999999999996</v>
      </c>
      <c r="R348" s="73">
        <v>3.6</v>
      </c>
      <c r="S348" s="73">
        <v>3.6</v>
      </c>
      <c r="T348" s="73">
        <v>3.4</v>
      </c>
      <c r="U348" s="69"/>
      <c r="V348" s="70"/>
      <c r="W348" s="64"/>
      <c r="X348" s="64"/>
      <c r="Y348" s="64"/>
      <c r="Z348" s="64"/>
      <c r="AA348" s="64"/>
      <c r="AB348" s="71"/>
      <c r="AC348" s="81"/>
      <c r="AD348" s="64"/>
      <c r="AE348" s="64"/>
      <c r="AF348" s="76"/>
      <c r="AG348" s="64"/>
      <c r="AH348" s="76"/>
    </row>
    <row r="349" spans="1:34" ht="11">
      <c r="A349" s="40">
        <v>1986</v>
      </c>
      <c r="B349" s="65">
        <v>1.0960000000000001</v>
      </c>
      <c r="C349" s="65">
        <v>0.71899999999999997</v>
      </c>
      <c r="D349" s="64">
        <v>0.69899999999999995</v>
      </c>
      <c r="E349" s="65">
        <v>0.68300000000000005</v>
      </c>
      <c r="F349" s="64">
        <v>0.67200000000000004</v>
      </c>
      <c r="G349" s="65">
        <v>0.65800000000000003</v>
      </c>
      <c r="H349" s="64">
        <v>0.63600000000000001</v>
      </c>
      <c r="I349" s="64">
        <v>0.61899999999999999</v>
      </c>
      <c r="J349" s="64">
        <v>0.60899999999999999</v>
      </c>
      <c r="K349" s="64">
        <v>0.59599999999999997</v>
      </c>
      <c r="L349" s="64">
        <v>0.57999999999999996</v>
      </c>
      <c r="M349" s="64">
        <v>0.56100000000000005</v>
      </c>
      <c r="N349" s="66">
        <v>0.54400000000000004</v>
      </c>
      <c r="O349" s="66">
        <v>0.53300000000000003</v>
      </c>
      <c r="P349" s="65">
        <v>0.56100000000000005</v>
      </c>
      <c r="Q349" s="64">
        <v>0.58799999999999997</v>
      </c>
      <c r="R349" s="73">
        <v>1.9</v>
      </c>
      <c r="S349" s="73">
        <v>1.8</v>
      </c>
      <c r="T349" s="73">
        <v>1.7</v>
      </c>
      <c r="U349" s="69"/>
      <c r="V349" s="70"/>
      <c r="W349" s="64"/>
      <c r="X349" s="64"/>
      <c r="Y349" s="64"/>
      <c r="Z349" s="64"/>
      <c r="AA349" s="64"/>
      <c r="AB349" s="71"/>
      <c r="AC349" s="81"/>
      <c r="AD349" s="64"/>
      <c r="AE349" s="64"/>
      <c r="AF349" s="76"/>
      <c r="AG349" s="64"/>
      <c r="AH349" s="76"/>
    </row>
    <row r="350" spans="1:34" ht="11">
      <c r="A350" s="40">
        <v>1987</v>
      </c>
      <c r="B350" s="65">
        <v>1.1359999999999999</v>
      </c>
      <c r="C350" s="65">
        <v>0.745</v>
      </c>
      <c r="D350" s="64">
        <v>0.72399999999999998</v>
      </c>
      <c r="E350" s="65">
        <v>0.70799999999999996</v>
      </c>
      <c r="F350" s="64">
        <v>0.69699999999999995</v>
      </c>
      <c r="G350" s="65">
        <v>0.68200000000000005</v>
      </c>
      <c r="H350" s="64">
        <v>0.66</v>
      </c>
      <c r="I350" s="64">
        <v>0.64100000000000001</v>
      </c>
      <c r="J350" s="64">
        <v>0.63100000000000001</v>
      </c>
      <c r="K350" s="64">
        <v>0.61699999999999999</v>
      </c>
      <c r="L350" s="64">
        <v>0.60099999999999998</v>
      </c>
      <c r="M350" s="64">
        <v>0.58199999999999996</v>
      </c>
      <c r="N350" s="66">
        <v>0.56299999999999994</v>
      </c>
      <c r="O350" s="66">
        <v>0.55200000000000005</v>
      </c>
      <c r="P350" s="65">
        <v>0.58199999999999996</v>
      </c>
      <c r="Q350" s="64">
        <v>0.60799999999999998</v>
      </c>
      <c r="R350" s="73">
        <v>3.6</v>
      </c>
      <c r="S350" s="73">
        <v>3.7</v>
      </c>
      <c r="T350" s="73">
        <v>3.4</v>
      </c>
      <c r="U350" s="69"/>
      <c r="V350" s="70"/>
      <c r="W350" s="64"/>
      <c r="X350" s="64"/>
      <c r="Y350" s="64"/>
      <c r="Z350" s="64"/>
      <c r="AA350" s="64"/>
      <c r="AB350" s="71"/>
      <c r="AC350" s="81"/>
      <c r="AD350" s="64"/>
      <c r="AE350" s="64"/>
      <c r="AF350" s="76"/>
      <c r="AG350" s="64"/>
      <c r="AH350" s="76"/>
    </row>
    <row r="351" spans="1:34" ht="11">
      <c r="A351" s="40">
        <v>1988</v>
      </c>
      <c r="B351" s="65">
        <v>1.1830000000000001</v>
      </c>
      <c r="C351" s="65">
        <v>0.77600000000000002</v>
      </c>
      <c r="D351" s="64">
        <v>0.754</v>
      </c>
      <c r="E351" s="65">
        <v>0.73699999999999999</v>
      </c>
      <c r="F351" s="64">
        <v>0.72599999999999998</v>
      </c>
      <c r="G351" s="65">
        <v>0.71</v>
      </c>
      <c r="H351" s="64">
        <v>0.68700000000000006</v>
      </c>
      <c r="I351" s="64">
        <v>0.66800000000000004</v>
      </c>
      <c r="J351" s="64">
        <v>0.65800000000000003</v>
      </c>
      <c r="K351" s="64">
        <v>0.64300000000000002</v>
      </c>
      <c r="L351" s="64">
        <v>0.626</v>
      </c>
      <c r="M351" s="64">
        <v>0.60599999999999998</v>
      </c>
      <c r="N351" s="66">
        <v>0.58699999999999997</v>
      </c>
      <c r="O351" s="66">
        <v>0.57499999999999996</v>
      </c>
      <c r="P351" s="65">
        <v>0.60599999999999998</v>
      </c>
      <c r="Q351" s="64">
        <v>0.63</v>
      </c>
      <c r="R351" s="73">
        <v>4.0999999999999996</v>
      </c>
      <c r="S351" s="73">
        <v>4.0999999999999996</v>
      </c>
      <c r="T351" s="73">
        <v>3.6</v>
      </c>
      <c r="U351" s="69"/>
      <c r="V351" s="70"/>
      <c r="W351" s="64"/>
      <c r="X351" s="64"/>
      <c r="Y351" s="64"/>
      <c r="Z351" s="64"/>
      <c r="AA351" s="64"/>
      <c r="AB351" s="71"/>
      <c r="AC351" s="81"/>
      <c r="AD351" s="64"/>
      <c r="AE351" s="64"/>
      <c r="AF351" s="76"/>
      <c r="AG351" s="64"/>
      <c r="AH351" s="76"/>
    </row>
    <row r="352" spans="1:34" ht="11">
      <c r="A352" s="40">
        <v>1989</v>
      </c>
      <c r="B352" s="65">
        <v>1.24</v>
      </c>
      <c r="C352" s="65">
        <v>0.81399999999999995</v>
      </c>
      <c r="D352" s="64">
        <v>0.79</v>
      </c>
      <c r="E352" s="65">
        <v>0.77300000000000002</v>
      </c>
      <c r="F352" s="64">
        <v>0.76100000000000001</v>
      </c>
      <c r="G352" s="65">
        <v>0.74399999999999999</v>
      </c>
      <c r="H352" s="64">
        <v>0.72</v>
      </c>
      <c r="I352" s="64">
        <v>0.7</v>
      </c>
      <c r="J352" s="64">
        <v>0.68899999999999995</v>
      </c>
      <c r="K352" s="64">
        <v>0.67400000000000004</v>
      </c>
      <c r="L352" s="64">
        <v>0.65600000000000003</v>
      </c>
      <c r="M352" s="64">
        <v>0.63500000000000001</v>
      </c>
      <c r="N352" s="66">
        <v>0.61499999999999999</v>
      </c>
      <c r="O352" s="66">
        <v>0.60299999999999998</v>
      </c>
      <c r="P352" s="65">
        <v>0.63500000000000001</v>
      </c>
      <c r="Q352" s="64">
        <v>0.65800000000000003</v>
      </c>
      <c r="R352" s="73">
        <v>4.8</v>
      </c>
      <c r="S352" s="73">
        <v>4.8</v>
      </c>
      <c r="T352" s="73">
        <v>4.4000000000000004</v>
      </c>
      <c r="U352" s="69"/>
      <c r="V352" s="70"/>
      <c r="W352" s="64"/>
      <c r="X352" s="64"/>
      <c r="Y352" s="64"/>
      <c r="Z352" s="64"/>
      <c r="AA352" s="64"/>
      <c r="AB352" s="71"/>
      <c r="AC352" s="81"/>
      <c r="AD352" s="64"/>
      <c r="AE352" s="64"/>
      <c r="AF352" s="76"/>
      <c r="AG352" s="64"/>
      <c r="AH352" s="76"/>
    </row>
    <row r="353" spans="1:34" ht="11">
      <c r="A353" s="40">
        <v>1990</v>
      </c>
      <c r="B353" s="65">
        <v>1.3069999999999999</v>
      </c>
      <c r="C353" s="65">
        <v>0.85799999999999998</v>
      </c>
      <c r="D353" s="64">
        <v>0.83299999999999996</v>
      </c>
      <c r="E353" s="65">
        <v>0.81399999999999995</v>
      </c>
      <c r="F353" s="64">
        <v>0.80200000000000005</v>
      </c>
      <c r="G353" s="65">
        <v>0.78500000000000003</v>
      </c>
      <c r="H353" s="64">
        <v>0.75900000000000001</v>
      </c>
      <c r="I353" s="64">
        <v>0.73799999999999999</v>
      </c>
      <c r="J353" s="64">
        <v>0.72699999999999998</v>
      </c>
      <c r="K353" s="64">
        <v>0.71</v>
      </c>
      <c r="L353" s="64">
        <v>0.69199999999999995</v>
      </c>
      <c r="M353" s="64">
        <v>0.66900000000000004</v>
      </c>
      <c r="N353" s="66">
        <v>0.64800000000000002</v>
      </c>
      <c r="O353" s="66">
        <v>0.63500000000000001</v>
      </c>
      <c r="P353" s="65">
        <v>0.66900000000000004</v>
      </c>
      <c r="Q353" s="64">
        <v>0.69</v>
      </c>
      <c r="R353" s="73">
        <v>5.4</v>
      </c>
      <c r="S353" s="73">
        <v>5.4</v>
      </c>
      <c r="T353" s="73">
        <v>4.9000000000000004</v>
      </c>
      <c r="U353" s="69"/>
      <c r="V353" s="70"/>
      <c r="W353" s="64"/>
      <c r="X353" s="64"/>
      <c r="Y353" s="64"/>
      <c r="Z353" s="64"/>
      <c r="AA353" s="64"/>
      <c r="AB353" s="71"/>
      <c r="AC353" s="81"/>
      <c r="AD353" s="64"/>
      <c r="AE353" s="64"/>
      <c r="AF353" s="76"/>
      <c r="AG353" s="64"/>
      <c r="AH353" s="76"/>
    </row>
    <row r="354" spans="1:34" ht="11">
      <c r="A354" s="40">
        <v>1991</v>
      </c>
      <c r="B354" s="65">
        <v>1.3620000000000001</v>
      </c>
      <c r="C354" s="65">
        <v>0.89400000000000002</v>
      </c>
      <c r="D354" s="64">
        <v>0.86799999999999999</v>
      </c>
      <c r="E354" s="65">
        <v>0.84899999999999998</v>
      </c>
      <c r="F354" s="64">
        <v>0.83599999999999997</v>
      </c>
      <c r="G354" s="65">
        <v>0.81799999999999995</v>
      </c>
      <c r="H354" s="64">
        <v>0.79100000000000004</v>
      </c>
      <c r="I354" s="64">
        <v>0.76900000000000002</v>
      </c>
      <c r="J354" s="64">
        <v>0.75700000000000001</v>
      </c>
      <c r="K354" s="64">
        <v>0.74</v>
      </c>
      <c r="L354" s="64">
        <v>0.72099999999999997</v>
      </c>
      <c r="M354" s="64">
        <v>0.69699999999999995</v>
      </c>
      <c r="N354" s="66">
        <v>0.67600000000000005</v>
      </c>
      <c r="O354" s="66">
        <v>0.66200000000000003</v>
      </c>
      <c r="P354" s="65">
        <v>0.69699999999999995</v>
      </c>
      <c r="Q354" s="64">
        <v>0.71499999999999997</v>
      </c>
      <c r="R354" s="73">
        <v>4.2</v>
      </c>
      <c r="S354" s="73">
        <v>4.2</v>
      </c>
      <c r="T354" s="73">
        <v>3.6</v>
      </c>
      <c r="U354" s="69"/>
      <c r="V354" s="70"/>
      <c r="W354" s="64"/>
      <c r="X354" s="64"/>
      <c r="Y354" s="64"/>
      <c r="Z354" s="64"/>
      <c r="AA354" s="64"/>
      <c r="AB354" s="71"/>
      <c r="AC354" s="81"/>
      <c r="AD354" s="64"/>
      <c r="AE354" s="64"/>
      <c r="AF354" s="76"/>
      <c r="AG354" s="64"/>
      <c r="AH354" s="76"/>
    </row>
    <row r="355" spans="1:34" ht="11">
      <c r="A355" s="40">
        <v>1992</v>
      </c>
      <c r="B355" s="65">
        <v>1.403</v>
      </c>
      <c r="C355" s="65">
        <v>0.92100000000000004</v>
      </c>
      <c r="D355" s="64">
        <v>0.89400000000000002</v>
      </c>
      <c r="E355" s="65">
        <v>0.874</v>
      </c>
      <c r="F355" s="64">
        <v>0.86099999999999999</v>
      </c>
      <c r="G355" s="65">
        <v>0.84199999999999997</v>
      </c>
      <c r="H355" s="64">
        <v>0.81499999999999995</v>
      </c>
      <c r="I355" s="64">
        <v>0.79200000000000004</v>
      </c>
      <c r="J355" s="64">
        <v>0.78</v>
      </c>
      <c r="K355" s="64">
        <v>0.76300000000000001</v>
      </c>
      <c r="L355" s="64">
        <v>0.74299999999999999</v>
      </c>
      <c r="M355" s="64">
        <v>0.71799999999999997</v>
      </c>
      <c r="N355" s="66">
        <v>0.69599999999999995</v>
      </c>
      <c r="O355" s="66">
        <v>0.68200000000000005</v>
      </c>
      <c r="P355" s="65">
        <v>0.71799999999999997</v>
      </c>
      <c r="Q355" s="64">
        <v>0.73299999999999998</v>
      </c>
      <c r="R355" s="73">
        <v>3</v>
      </c>
      <c r="S355" s="73">
        <v>3</v>
      </c>
      <c r="T355" s="73">
        <v>2.5</v>
      </c>
      <c r="U355" s="69"/>
      <c r="V355" s="70"/>
      <c r="W355" s="64"/>
      <c r="X355" s="64"/>
      <c r="Y355" s="64"/>
      <c r="Z355" s="64"/>
      <c r="AA355" s="64"/>
      <c r="AB355" s="71"/>
      <c r="AC355" s="81"/>
      <c r="AD355" s="64"/>
      <c r="AE355" s="64"/>
      <c r="AF355" s="76"/>
      <c r="AG355" s="64"/>
      <c r="AH355" s="76"/>
    </row>
    <row r="356" spans="1:34" ht="11">
      <c r="A356" s="40">
        <v>1993</v>
      </c>
      <c r="B356" s="65">
        <v>1.4450000000000001</v>
      </c>
      <c r="C356" s="65">
        <v>0.94799999999999995</v>
      </c>
      <c r="D356" s="64">
        <v>0.92100000000000004</v>
      </c>
      <c r="E356" s="65">
        <v>0.9</v>
      </c>
      <c r="F356" s="64">
        <v>0.88700000000000001</v>
      </c>
      <c r="G356" s="65">
        <v>0.86699999999999999</v>
      </c>
      <c r="H356" s="64">
        <v>0.83899999999999997</v>
      </c>
      <c r="I356" s="64">
        <v>0.81599999999999995</v>
      </c>
      <c r="J356" s="64">
        <v>0.80300000000000005</v>
      </c>
      <c r="K356" s="64">
        <v>0.78500000000000003</v>
      </c>
      <c r="L356" s="64">
        <v>0.76500000000000001</v>
      </c>
      <c r="M356" s="64">
        <v>0.74</v>
      </c>
      <c r="N356" s="66">
        <v>0.71699999999999997</v>
      </c>
      <c r="O356" s="66">
        <v>0.70199999999999996</v>
      </c>
      <c r="P356" s="65">
        <v>0.74</v>
      </c>
      <c r="Q356" s="64">
        <v>0.751</v>
      </c>
      <c r="R356" s="73">
        <v>3</v>
      </c>
      <c r="S356" s="73">
        <v>3.1</v>
      </c>
      <c r="T356" s="73">
        <v>2.5</v>
      </c>
      <c r="U356" s="69"/>
      <c r="V356" s="70"/>
      <c r="W356" s="64"/>
      <c r="X356" s="64"/>
      <c r="Y356" s="64"/>
      <c r="Z356" s="64"/>
      <c r="AA356" s="64"/>
      <c r="AB356" s="71"/>
      <c r="AC356" s="81"/>
      <c r="AD356" s="64"/>
      <c r="AE356" s="64"/>
      <c r="AF356" s="76"/>
      <c r="AG356" s="64"/>
      <c r="AH356" s="76"/>
    </row>
    <row r="357" spans="1:34" ht="11">
      <c r="A357" s="40">
        <v>1994</v>
      </c>
      <c r="B357" s="65">
        <v>1.482</v>
      </c>
      <c r="C357" s="65">
        <v>0.97199999999999998</v>
      </c>
      <c r="D357" s="64">
        <v>0.94499999999999995</v>
      </c>
      <c r="E357" s="65">
        <v>0.92300000000000004</v>
      </c>
      <c r="F357" s="64">
        <v>0.90900000000000003</v>
      </c>
      <c r="G357" s="65">
        <v>0.89</v>
      </c>
      <c r="H357" s="64">
        <v>0.86099999999999999</v>
      </c>
      <c r="I357" s="64">
        <v>0.83699999999999997</v>
      </c>
      <c r="J357" s="64">
        <v>0.82399999999999995</v>
      </c>
      <c r="K357" s="64">
        <v>0.80500000000000005</v>
      </c>
      <c r="L357" s="64">
        <v>0.78500000000000003</v>
      </c>
      <c r="M357" s="64">
        <v>0.75900000000000001</v>
      </c>
      <c r="N357" s="66">
        <v>0.73499999999999999</v>
      </c>
      <c r="O357" s="66">
        <v>0.72</v>
      </c>
      <c r="P357" s="65">
        <v>0.75900000000000001</v>
      </c>
      <c r="Q357" s="64">
        <v>0.76700000000000002</v>
      </c>
      <c r="R357" s="73">
        <v>2.6</v>
      </c>
      <c r="S357" s="73">
        <v>2.6</v>
      </c>
      <c r="T357" s="73">
        <v>2.1</v>
      </c>
      <c r="U357" s="69"/>
      <c r="V357" s="70"/>
      <c r="W357" s="64"/>
      <c r="X357" s="64"/>
      <c r="Y357" s="64"/>
      <c r="Z357" s="64"/>
      <c r="AA357" s="64"/>
      <c r="AB357" s="71"/>
      <c r="AC357" s="81"/>
      <c r="AD357" s="64"/>
      <c r="AE357" s="64"/>
      <c r="AF357" s="76"/>
      <c r="AG357" s="64"/>
      <c r="AH357" s="76"/>
    </row>
    <row r="358" spans="1:34" ht="11">
      <c r="A358" s="40">
        <v>1995</v>
      </c>
      <c r="B358" s="65">
        <v>1.524</v>
      </c>
      <c r="C358" s="65">
        <v>1</v>
      </c>
      <c r="D358" s="64">
        <v>0.97099999999999997</v>
      </c>
      <c r="E358" s="65">
        <v>0.95</v>
      </c>
      <c r="F358" s="64">
        <v>0.93500000000000005</v>
      </c>
      <c r="G358" s="65">
        <v>0.91500000000000004</v>
      </c>
      <c r="H358" s="64">
        <v>0.88500000000000001</v>
      </c>
      <c r="I358" s="64">
        <v>0.86099999999999999</v>
      </c>
      <c r="J358" s="64">
        <v>0.84699999999999998</v>
      </c>
      <c r="K358" s="64">
        <v>0.82799999999999996</v>
      </c>
      <c r="L358" s="64">
        <v>0.80700000000000005</v>
      </c>
      <c r="M358" s="64">
        <v>0.78</v>
      </c>
      <c r="N358" s="66">
        <v>0.75600000000000001</v>
      </c>
      <c r="O358" s="66">
        <v>0.74099999999999999</v>
      </c>
      <c r="P358" s="65">
        <v>0.78</v>
      </c>
      <c r="Q358" s="64">
        <v>0.78600000000000003</v>
      </c>
      <c r="R358" s="73">
        <v>2.8</v>
      </c>
      <c r="S358" s="73">
        <v>2.8</v>
      </c>
      <c r="T358" s="73">
        <v>2.5</v>
      </c>
      <c r="U358" s="69"/>
      <c r="V358" s="70"/>
      <c r="W358" s="64"/>
      <c r="X358" s="64"/>
      <c r="Y358" s="64"/>
      <c r="Z358" s="64"/>
      <c r="AA358" s="64"/>
      <c r="AB358" s="71"/>
      <c r="AC358" s="81"/>
      <c r="AD358" s="64"/>
      <c r="AE358" s="64"/>
      <c r="AF358" s="76"/>
      <c r="AG358" s="64"/>
      <c r="AH358" s="76"/>
    </row>
    <row r="359" spans="1:34" ht="11">
      <c r="A359" s="40">
        <v>1996</v>
      </c>
      <c r="B359" s="65">
        <v>1.569</v>
      </c>
      <c r="C359" s="65">
        <v>1.03</v>
      </c>
      <c r="D359" s="64">
        <v>1</v>
      </c>
      <c r="E359" s="65">
        <v>0.97799999999999998</v>
      </c>
      <c r="F359" s="64">
        <v>0.96299999999999997</v>
      </c>
      <c r="G359" s="65">
        <v>0.94199999999999995</v>
      </c>
      <c r="H359" s="64">
        <v>0.91100000000000003</v>
      </c>
      <c r="I359" s="64">
        <v>0.88600000000000001</v>
      </c>
      <c r="J359" s="64">
        <v>0.872</v>
      </c>
      <c r="K359" s="64">
        <v>0.85299999999999998</v>
      </c>
      <c r="L359" s="64">
        <v>0.83099999999999996</v>
      </c>
      <c r="M359" s="64">
        <v>0.80300000000000005</v>
      </c>
      <c r="N359" s="66">
        <v>0.77800000000000002</v>
      </c>
      <c r="O359" s="66">
        <v>0.76200000000000001</v>
      </c>
      <c r="P359" s="65">
        <v>0.80300000000000005</v>
      </c>
      <c r="Q359" s="64">
        <v>0.80700000000000005</v>
      </c>
      <c r="R359" s="73">
        <v>3</v>
      </c>
      <c r="S359" s="73">
        <v>2.9</v>
      </c>
      <c r="T359" s="73">
        <v>2.7</v>
      </c>
      <c r="U359" s="69"/>
      <c r="V359" s="70"/>
      <c r="W359" s="64"/>
      <c r="X359" s="64"/>
      <c r="Y359" s="64"/>
      <c r="Z359" s="64"/>
      <c r="AA359" s="64"/>
      <c r="AB359" s="71"/>
      <c r="AC359" s="81"/>
      <c r="AD359" s="64"/>
      <c r="AE359" s="64"/>
      <c r="AF359" s="76"/>
      <c r="AG359" s="64"/>
      <c r="AH359" s="76"/>
    </row>
    <row r="360" spans="1:34" ht="11">
      <c r="A360" s="40">
        <v>1997</v>
      </c>
      <c r="B360" s="65">
        <v>1.605</v>
      </c>
      <c r="C360" s="65">
        <v>1.0529999999999999</v>
      </c>
      <c r="D360" s="64">
        <v>1.0229999999999999</v>
      </c>
      <c r="E360" s="65">
        <v>1</v>
      </c>
      <c r="F360" s="64">
        <v>0.98499999999999999</v>
      </c>
      <c r="G360" s="65">
        <v>0.96299999999999997</v>
      </c>
      <c r="H360" s="64">
        <v>0.93200000000000005</v>
      </c>
      <c r="I360" s="64">
        <v>0.90600000000000003</v>
      </c>
      <c r="J360" s="64">
        <v>0.89200000000000002</v>
      </c>
      <c r="K360" s="64">
        <v>0.872</v>
      </c>
      <c r="L360" s="64">
        <v>0.85</v>
      </c>
      <c r="M360" s="64">
        <v>0.82199999999999995</v>
      </c>
      <c r="N360" s="66">
        <v>0.79600000000000004</v>
      </c>
      <c r="O360" s="66">
        <v>0.78</v>
      </c>
      <c r="P360" s="65">
        <v>0.82199999999999995</v>
      </c>
      <c r="Q360" s="64">
        <v>0.82399999999999995</v>
      </c>
      <c r="R360" s="73">
        <v>2.2999999999999998</v>
      </c>
      <c r="S360" s="73">
        <v>2.4</v>
      </c>
      <c r="T360" s="73">
        <v>2.1</v>
      </c>
      <c r="U360" s="69"/>
      <c r="V360" s="70"/>
      <c r="W360" s="64"/>
      <c r="X360" s="64"/>
      <c r="Y360" s="64"/>
      <c r="Z360" s="64"/>
      <c r="AA360" s="64"/>
      <c r="AB360" s="71"/>
      <c r="AC360" s="81"/>
      <c r="AD360" s="64"/>
      <c r="AE360" s="64"/>
      <c r="AF360" s="76"/>
      <c r="AG360" s="64"/>
      <c r="AH360" s="72"/>
    </row>
    <row r="361" spans="1:34" ht="11">
      <c r="A361" s="40">
        <v>1998</v>
      </c>
      <c r="B361" s="65">
        <v>1.63</v>
      </c>
      <c r="C361" s="65">
        <v>1.07</v>
      </c>
      <c r="D361" s="64">
        <v>1.0389999999999999</v>
      </c>
      <c r="E361" s="65">
        <v>1.016</v>
      </c>
      <c r="F361" s="64">
        <v>1</v>
      </c>
      <c r="G361" s="65">
        <v>0.97799999999999998</v>
      </c>
      <c r="H361" s="64">
        <v>0.94699999999999995</v>
      </c>
      <c r="I361" s="64">
        <v>0.92</v>
      </c>
      <c r="J361" s="64">
        <v>0.90600000000000003</v>
      </c>
      <c r="K361" s="64">
        <v>0.88600000000000001</v>
      </c>
      <c r="L361" s="64">
        <v>0.86299999999999999</v>
      </c>
      <c r="M361" s="64">
        <v>0.83499999999999996</v>
      </c>
      <c r="N361" s="66">
        <v>0.80900000000000005</v>
      </c>
      <c r="O361" s="66">
        <v>0.79200000000000004</v>
      </c>
      <c r="P361" s="65">
        <v>0.83499999999999996</v>
      </c>
      <c r="Q361" s="64">
        <v>0.83599999999999997</v>
      </c>
      <c r="R361" s="73">
        <v>1.6</v>
      </c>
      <c r="S361" s="73">
        <v>1.6</v>
      </c>
      <c r="T361" s="73">
        <v>1.5</v>
      </c>
      <c r="U361" s="69"/>
      <c r="V361" s="70"/>
      <c r="W361" s="64"/>
      <c r="X361" s="64"/>
      <c r="Y361" s="64"/>
      <c r="Z361" s="64"/>
      <c r="AA361" s="71"/>
      <c r="AB361" s="71"/>
      <c r="AC361" s="81"/>
      <c r="AD361" s="64"/>
      <c r="AE361" s="64"/>
      <c r="AF361" s="76"/>
      <c r="AG361" s="64"/>
      <c r="AH361" s="76"/>
    </row>
    <row r="362" spans="1:34" ht="11">
      <c r="A362" s="40">
        <v>1999</v>
      </c>
      <c r="B362" s="65">
        <v>1.6659999999999999</v>
      </c>
      <c r="C362" s="65">
        <v>1.093</v>
      </c>
      <c r="D362" s="64">
        <v>1.0620000000000001</v>
      </c>
      <c r="E362" s="65">
        <v>1.038</v>
      </c>
      <c r="F362" s="64">
        <v>1.022</v>
      </c>
      <c r="G362" s="65">
        <v>1</v>
      </c>
      <c r="H362" s="64">
        <v>0.96699999999999997</v>
      </c>
      <c r="I362" s="64">
        <v>0.94099999999999995</v>
      </c>
      <c r="J362" s="64">
        <v>0.92600000000000005</v>
      </c>
      <c r="K362" s="64">
        <v>0.90500000000000003</v>
      </c>
      <c r="L362" s="64">
        <v>0.88200000000000001</v>
      </c>
      <c r="M362" s="64">
        <v>0.85299999999999998</v>
      </c>
      <c r="N362" s="66">
        <v>0.82599999999999996</v>
      </c>
      <c r="O362" s="66">
        <v>0.81</v>
      </c>
      <c r="P362" s="65">
        <v>0.85299999999999998</v>
      </c>
      <c r="Q362" s="64">
        <v>0.85299999999999998</v>
      </c>
      <c r="R362" s="73">
        <v>2.2000000000000002</v>
      </c>
      <c r="S362" s="73">
        <v>2.2000000000000002</v>
      </c>
      <c r="T362" s="73">
        <v>2</v>
      </c>
      <c r="U362" s="69"/>
      <c r="V362" s="70"/>
      <c r="W362" s="64"/>
      <c r="X362" s="64"/>
      <c r="Y362" s="64"/>
      <c r="Z362" s="64"/>
      <c r="AA362" s="71"/>
      <c r="AB362" s="71"/>
      <c r="AC362" s="81"/>
      <c r="AD362" s="64"/>
      <c r="AE362" s="64"/>
      <c r="AF362" s="71"/>
      <c r="AG362" s="64"/>
      <c r="AH362" s="76"/>
    </row>
    <row r="363" spans="1:34" ht="11">
      <c r="A363" s="40">
        <v>2000</v>
      </c>
      <c r="B363" s="65">
        <v>1.722</v>
      </c>
      <c r="C363" s="65">
        <v>1.1299999999999999</v>
      </c>
      <c r="D363" s="64">
        <v>1.0980000000000001</v>
      </c>
      <c r="E363" s="65">
        <v>1.073</v>
      </c>
      <c r="F363" s="64">
        <v>1.056</v>
      </c>
      <c r="G363" s="65">
        <v>1.034</v>
      </c>
      <c r="H363" s="64">
        <v>1</v>
      </c>
      <c r="I363" s="64">
        <v>0.97199999999999998</v>
      </c>
      <c r="J363" s="64">
        <v>0.95699999999999996</v>
      </c>
      <c r="K363" s="64">
        <v>0.93600000000000005</v>
      </c>
      <c r="L363" s="64">
        <v>0.91200000000000003</v>
      </c>
      <c r="M363" s="64">
        <v>0.88200000000000001</v>
      </c>
      <c r="N363" s="66">
        <v>0.85399999999999998</v>
      </c>
      <c r="O363" s="66">
        <v>0.83699999999999997</v>
      </c>
      <c r="P363" s="65">
        <v>0.88200000000000001</v>
      </c>
      <c r="Q363" s="64">
        <v>0.88200000000000001</v>
      </c>
      <c r="R363" s="73">
        <v>3.4</v>
      </c>
      <c r="S363" s="73">
        <v>3.4</v>
      </c>
      <c r="T363" s="73">
        <v>3.4</v>
      </c>
      <c r="U363" s="69"/>
      <c r="V363" s="70"/>
      <c r="W363" s="64"/>
      <c r="X363" s="64"/>
      <c r="Y363" s="64"/>
      <c r="Z363" s="64"/>
      <c r="AA363" s="71"/>
      <c r="AB363" s="71"/>
      <c r="AC363" s="81"/>
      <c r="AD363" s="64"/>
      <c r="AE363" s="64"/>
      <c r="AF363" s="71"/>
      <c r="AG363" s="64"/>
      <c r="AH363" s="76"/>
    </row>
    <row r="364" spans="1:34" ht="11">
      <c r="A364" s="40">
        <v>2001</v>
      </c>
      <c r="B364" s="65">
        <v>1.7709999999999999</v>
      </c>
      <c r="C364" s="65">
        <v>1.1619999999999999</v>
      </c>
      <c r="D364" s="64">
        <v>1.129</v>
      </c>
      <c r="E364" s="65">
        <v>1.103</v>
      </c>
      <c r="F364" s="64">
        <v>1.087</v>
      </c>
      <c r="G364" s="65">
        <v>1.0629999999999999</v>
      </c>
      <c r="H364" s="64">
        <v>1.028</v>
      </c>
      <c r="I364" s="64">
        <v>1</v>
      </c>
      <c r="J364" s="64">
        <v>0.98399999999999999</v>
      </c>
      <c r="K364" s="64">
        <v>0.96299999999999997</v>
      </c>
      <c r="L364" s="64">
        <v>0.93799999999999994</v>
      </c>
      <c r="M364" s="64">
        <v>0.90700000000000003</v>
      </c>
      <c r="N364" s="66">
        <v>0.878</v>
      </c>
      <c r="O364" s="66">
        <v>0.86099999999999999</v>
      </c>
      <c r="P364" s="65">
        <v>0.90700000000000003</v>
      </c>
      <c r="Q364" s="64">
        <v>0.90600000000000003</v>
      </c>
      <c r="R364" s="73">
        <v>2.8</v>
      </c>
      <c r="S364" s="73">
        <v>2.8</v>
      </c>
      <c r="T364" s="73">
        <v>2.7</v>
      </c>
      <c r="U364" s="69"/>
      <c r="V364" s="70"/>
      <c r="W364" s="64"/>
      <c r="X364" s="64"/>
      <c r="Y364" s="64"/>
      <c r="Z364" s="64"/>
      <c r="AA364" s="71"/>
      <c r="AB364" s="71"/>
      <c r="AC364" s="81"/>
      <c r="AD364" s="64"/>
      <c r="AE364" s="64"/>
      <c r="AF364" s="71"/>
      <c r="AG364" s="64"/>
      <c r="AH364" s="76"/>
    </row>
    <row r="365" spans="1:34">
      <c r="A365" s="40">
        <v>2002</v>
      </c>
      <c r="B365" s="65">
        <v>1.7989999999999999</v>
      </c>
      <c r="C365" s="65">
        <v>1.18</v>
      </c>
      <c r="D365" s="64">
        <v>1.147</v>
      </c>
      <c r="E365" s="65">
        <v>1.121</v>
      </c>
      <c r="F365" s="64">
        <v>1.1040000000000001</v>
      </c>
      <c r="G365" s="65">
        <v>1.08</v>
      </c>
      <c r="H365" s="64">
        <v>1.0449999999999999</v>
      </c>
      <c r="I365" s="64">
        <v>1.016</v>
      </c>
      <c r="J365" s="64">
        <v>1</v>
      </c>
      <c r="K365" s="64">
        <v>0.97799999999999998</v>
      </c>
      <c r="L365" s="64">
        <v>0.95199999999999996</v>
      </c>
      <c r="M365" s="64">
        <v>0.92100000000000004</v>
      </c>
      <c r="N365" s="66">
        <v>0.89200000000000002</v>
      </c>
      <c r="O365" s="66">
        <v>0.874</v>
      </c>
      <c r="P365" s="65">
        <v>0.92100000000000004</v>
      </c>
      <c r="Q365" s="64">
        <v>0.92100000000000004</v>
      </c>
      <c r="R365" s="73">
        <v>1.6</v>
      </c>
      <c r="S365" s="73">
        <v>1.5</v>
      </c>
      <c r="T365" s="73">
        <v>1.7</v>
      </c>
      <c r="U365" s="69"/>
      <c r="V365" s="70"/>
      <c r="W365" s="64"/>
      <c r="X365" s="64"/>
      <c r="Y365" s="64"/>
      <c r="Z365" s="64"/>
      <c r="AA365" s="71"/>
      <c r="AB365" s="71"/>
      <c r="AC365" s="72"/>
      <c r="AD365" s="64"/>
      <c r="AE365" s="64"/>
      <c r="AF365" s="71"/>
      <c r="AG365" s="64"/>
      <c r="AH365" s="76"/>
    </row>
    <row r="366" spans="1:34">
      <c r="A366" s="40">
        <v>2003</v>
      </c>
      <c r="B366" s="65">
        <v>1.84</v>
      </c>
      <c r="C366" s="65">
        <v>1.2070000000000001</v>
      </c>
      <c r="D366" s="64">
        <v>1.173</v>
      </c>
      <c r="E366" s="65">
        <v>1.1459999999999999</v>
      </c>
      <c r="F366" s="64">
        <v>1.129</v>
      </c>
      <c r="G366" s="65">
        <v>1.1040000000000001</v>
      </c>
      <c r="H366" s="64">
        <v>1.069</v>
      </c>
      <c r="I366" s="64">
        <v>1.0389999999999999</v>
      </c>
      <c r="J366" s="64">
        <v>1.0229999999999999</v>
      </c>
      <c r="K366" s="64">
        <v>1</v>
      </c>
      <c r="L366" s="64">
        <v>0.97399999999999998</v>
      </c>
      <c r="M366" s="64">
        <v>0.94199999999999995</v>
      </c>
      <c r="N366" s="66">
        <v>0.91300000000000003</v>
      </c>
      <c r="O366" s="66">
        <v>0.89400000000000002</v>
      </c>
      <c r="P366" s="65">
        <v>0.94199999999999995</v>
      </c>
      <c r="Q366" s="64">
        <v>0.94199999999999995</v>
      </c>
      <c r="R366" s="73">
        <v>2.2999999999999998</v>
      </c>
      <c r="S366" s="73">
        <v>2.2999999999999998</v>
      </c>
      <c r="T366" s="73">
        <v>2.2999999999999998</v>
      </c>
      <c r="U366" s="69"/>
      <c r="V366" s="70"/>
      <c r="W366" s="64"/>
      <c r="X366" s="64"/>
      <c r="Y366" s="64"/>
      <c r="Z366" s="64"/>
      <c r="AA366" s="71"/>
      <c r="AB366" s="71"/>
      <c r="AC366" s="72"/>
      <c r="AD366" s="64"/>
      <c r="AE366" s="64"/>
      <c r="AF366" s="71"/>
      <c r="AG366" s="64"/>
      <c r="AH366" s="76"/>
    </row>
    <row r="367" spans="1:34">
      <c r="A367" s="40">
        <v>2004</v>
      </c>
      <c r="B367" s="65">
        <v>1.889</v>
      </c>
      <c r="C367" s="65">
        <v>1.24</v>
      </c>
      <c r="D367" s="64">
        <v>1.204</v>
      </c>
      <c r="E367" s="65">
        <v>1.177</v>
      </c>
      <c r="F367" s="64">
        <v>1.159</v>
      </c>
      <c r="G367" s="65">
        <v>1.1339999999999999</v>
      </c>
      <c r="H367" s="64">
        <v>1.097</v>
      </c>
      <c r="I367" s="64">
        <v>1.0669999999999999</v>
      </c>
      <c r="J367" s="64">
        <v>1.05</v>
      </c>
      <c r="K367" s="64">
        <v>1.0269999999999999</v>
      </c>
      <c r="L367" s="64">
        <v>1</v>
      </c>
      <c r="M367" s="64">
        <v>0.96699999999999997</v>
      </c>
      <c r="N367" s="66">
        <v>0.93700000000000006</v>
      </c>
      <c r="O367" s="66">
        <v>0.91800000000000004</v>
      </c>
      <c r="P367" s="65">
        <v>0.96699999999999997</v>
      </c>
      <c r="Q367" s="64">
        <v>0.96699999999999997</v>
      </c>
      <c r="R367" s="73">
        <v>2.7</v>
      </c>
      <c r="S367" s="73">
        <v>2.7</v>
      </c>
      <c r="T367" s="73">
        <v>2.7</v>
      </c>
      <c r="U367" s="69"/>
      <c r="V367" s="70"/>
      <c r="W367" s="64"/>
      <c r="X367" s="64"/>
      <c r="Y367" s="64"/>
      <c r="Z367" s="64"/>
      <c r="AA367" s="71"/>
      <c r="AB367" s="71"/>
      <c r="AC367" s="72"/>
      <c r="AD367" s="64"/>
      <c r="AE367" s="64"/>
      <c r="AF367" s="71"/>
      <c r="AG367" s="64"/>
      <c r="AH367" s="76"/>
    </row>
    <row r="368" spans="1:34">
      <c r="A368" s="40">
        <v>2005</v>
      </c>
      <c r="B368" s="65">
        <v>1.9530000000000001</v>
      </c>
      <c r="C368" s="65">
        <v>1.2809999999999999</v>
      </c>
      <c r="D368" s="64">
        <v>1.2450000000000001</v>
      </c>
      <c r="E368" s="65">
        <v>1.2170000000000001</v>
      </c>
      <c r="F368" s="64">
        <v>1.198</v>
      </c>
      <c r="G368" s="65">
        <v>1.1719999999999999</v>
      </c>
      <c r="H368" s="64">
        <v>1.1339999999999999</v>
      </c>
      <c r="I368" s="64">
        <v>1.103</v>
      </c>
      <c r="J368" s="64">
        <v>1.0860000000000001</v>
      </c>
      <c r="K368" s="64">
        <v>1.0609999999999999</v>
      </c>
      <c r="L368" s="64">
        <v>1.034</v>
      </c>
      <c r="M368" s="64">
        <v>1</v>
      </c>
      <c r="N368" s="66">
        <v>0.96899999999999997</v>
      </c>
      <c r="O368" s="66">
        <v>0.94899999999999995</v>
      </c>
      <c r="P368" s="65">
        <v>1</v>
      </c>
      <c r="Q368" s="64">
        <v>1</v>
      </c>
      <c r="R368" s="73">
        <v>3.4</v>
      </c>
      <c r="S368" s="73">
        <v>3.4</v>
      </c>
      <c r="T368" s="77"/>
      <c r="U368" s="69"/>
      <c r="V368" s="70"/>
      <c r="W368" s="64"/>
      <c r="X368" s="64"/>
      <c r="Y368" s="64"/>
      <c r="Z368" s="64"/>
      <c r="AA368" s="71"/>
      <c r="AB368" s="71"/>
      <c r="AC368" s="72"/>
      <c r="AD368" s="64"/>
      <c r="AE368" s="64"/>
      <c r="AF368" s="71"/>
      <c r="AG368" s="64"/>
      <c r="AH368" s="76"/>
    </row>
    <row r="369" spans="1:34">
      <c r="A369" s="40">
        <v>2006</v>
      </c>
      <c r="B369" s="65">
        <v>2.016</v>
      </c>
      <c r="C369" s="65">
        <v>1.323</v>
      </c>
      <c r="D369" s="64">
        <v>1.2849999999999999</v>
      </c>
      <c r="E369" s="65">
        <v>1.256</v>
      </c>
      <c r="F369" s="64">
        <v>1.2370000000000001</v>
      </c>
      <c r="G369" s="65">
        <v>1.21</v>
      </c>
      <c r="H369" s="64">
        <v>1.171</v>
      </c>
      <c r="I369" s="64">
        <v>1.1379999999999999</v>
      </c>
      <c r="J369" s="64">
        <v>1.121</v>
      </c>
      <c r="K369" s="64">
        <v>1.0960000000000001</v>
      </c>
      <c r="L369" s="64">
        <v>1.0669999999999999</v>
      </c>
      <c r="M369" s="64">
        <v>1.032</v>
      </c>
      <c r="N369" s="66">
        <v>1</v>
      </c>
      <c r="O369" s="66">
        <v>0.98</v>
      </c>
      <c r="P369" s="65">
        <v>1.032</v>
      </c>
      <c r="Q369" s="64"/>
      <c r="R369" s="73">
        <v>3.2</v>
      </c>
      <c r="S369" s="73">
        <v>3.2</v>
      </c>
      <c r="T369" s="77"/>
      <c r="U369" s="69"/>
      <c r="V369" s="70"/>
      <c r="W369" s="64"/>
      <c r="X369" s="64"/>
      <c r="Y369" s="64"/>
      <c r="Z369" s="64"/>
      <c r="AA369" s="71"/>
      <c r="AB369" s="71"/>
      <c r="AC369" s="72"/>
      <c r="AD369" s="72"/>
      <c r="AE369" s="72"/>
      <c r="AF369" s="71"/>
      <c r="AG369" s="64"/>
      <c r="AH369" s="76"/>
    </row>
    <row r="370" spans="1:34">
      <c r="A370" s="40">
        <v>2007</v>
      </c>
      <c r="B370" s="65">
        <v>2.0583359999999997</v>
      </c>
      <c r="C370" s="65">
        <v>1.351</v>
      </c>
      <c r="D370" s="64">
        <v>1.3120000000000001</v>
      </c>
      <c r="E370" s="65">
        <v>1.282</v>
      </c>
      <c r="F370" s="64">
        <v>1.2629999999999999</v>
      </c>
      <c r="G370" s="65">
        <v>1.2350000000000001</v>
      </c>
      <c r="H370" s="64">
        <v>1.1950000000000001</v>
      </c>
      <c r="I370" s="64">
        <v>1.1619999999999999</v>
      </c>
      <c r="J370" s="64">
        <v>1.1439999999999999</v>
      </c>
      <c r="K370" s="64">
        <v>1.119</v>
      </c>
      <c r="L370" s="64">
        <v>1.0900000000000001</v>
      </c>
      <c r="M370" s="64">
        <v>1.054</v>
      </c>
      <c r="N370" s="66">
        <v>1.0209999999999999</v>
      </c>
      <c r="O370" s="66">
        <v>1</v>
      </c>
      <c r="P370" s="65">
        <v>1.054</v>
      </c>
      <c r="Q370" s="64"/>
      <c r="R370" s="73">
        <v>2.1</v>
      </c>
      <c r="S370" s="73">
        <v>2.1</v>
      </c>
      <c r="T370" s="77"/>
      <c r="U370" s="69"/>
      <c r="V370" s="70"/>
      <c r="W370" s="64"/>
      <c r="X370" s="64"/>
      <c r="Y370" s="64"/>
      <c r="Z370" s="64"/>
      <c r="AA370" s="71"/>
      <c r="AB370" s="71"/>
      <c r="AC370" s="72"/>
      <c r="AD370" s="72"/>
      <c r="AE370" s="72"/>
      <c r="AF370" s="71"/>
      <c r="AG370" s="64"/>
      <c r="AH370" s="76"/>
    </row>
    <row r="371" spans="1:34">
      <c r="A371" s="40">
        <v>2008</v>
      </c>
      <c r="B371" s="65">
        <v>2.1036193919999997</v>
      </c>
      <c r="C371" s="65">
        <v>1.38</v>
      </c>
      <c r="D371" s="64">
        <v>1.341</v>
      </c>
      <c r="E371" s="65">
        <v>1.3109999999999999</v>
      </c>
      <c r="F371" s="64">
        <v>1.2909999999999999</v>
      </c>
      <c r="G371" s="65">
        <v>1.2629999999999999</v>
      </c>
      <c r="H371" s="64">
        <v>1.222</v>
      </c>
      <c r="I371" s="64">
        <v>1.1879999999999999</v>
      </c>
      <c r="J371" s="64">
        <v>1.169</v>
      </c>
      <c r="K371" s="64">
        <v>1.143</v>
      </c>
      <c r="L371" s="64">
        <v>1.1140000000000001</v>
      </c>
      <c r="M371" s="64">
        <v>1.077</v>
      </c>
      <c r="N371" s="66">
        <v>1.0429999999999999</v>
      </c>
      <c r="O371" s="66">
        <v>1.022</v>
      </c>
      <c r="P371" s="65">
        <v>1.077</v>
      </c>
      <c r="Q371" s="64"/>
      <c r="R371" s="73">
        <v>2.2000000000000002</v>
      </c>
      <c r="S371" s="73">
        <v>2.2000000000000002</v>
      </c>
      <c r="T371" s="77"/>
      <c r="U371" s="69"/>
      <c r="V371" s="70"/>
      <c r="W371" s="64"/>
      <c r="X371" s="64"/>
      <c r="Y371" s="64"/>
      <c r="Z371" s="64"/>
      <c r="AA371" s="71"/>
      <c r="AB371" s="71"/>
      <c r="AC371" s="72"/>
      <c r="AD371" s="72"/>
      <c r="AE371" s="72"/>
      <c r="AF371" s="71"/>
      <c r="AG371" s="64"/>
      <c r="AH371" s="76"/>
    </row>
    <row r="372" spans="1:34">
      <c r="A372" s="40">
        <v>2009</v>
      </c>
      <c r="B372" s="65">
        <v>2.1498990186239997</v>
      </c>
      <c r="C372" s="65">
        <v>1.411</v>
      </c>
      <c r="D372" s="64">
        <v>1.37</v>
      </c>
      <c r="E372" s="65">
        <v>1.34</v>
      </c>
      <c r="F372" s="64">
        <v>1.319</v>
      </c>
      <c r="G372" s="65">
        <v>1.29</v>
      </c>
      <c r="H372" s="64">
        <v>1.248</v>
      </c>
      <c r="I372" s="64">
        <v>1.214</v>
      </c>
      <c r="J372" s="64">
        <v>1.1950000000000001</v>
      </c>
      <c r="K372" s="64">
        <v>1.1679999999999999</v>
      </c>
      <c r="L372" s="64">
        <v>1.1379999999999999</v>
      </c>
      <c r="M372" s="64">
        <v>1.101</v>
      </c>
      <c r="N372" s="66">
        <v>1.0660000000000001</v>
      </c>
      <c r="O372" s="66">
        <v>1.0449999999999999</v>
      </c>
      <c r="P372" s="65">
        <v>1.101</v>
      </c>
      <c r="Q372" s="64"/>
      <c r="R372" s="73">
        <v>2.2000000000000002</v>
      </c>
      <c r="S372" s="73">
        <v>2.2000000000000002</v>
      </c>
      <c r="T372" s="77"/>
      <c r="U372" s="69"/>
      <c r="V372" s="70"/>
      <c r="W372" s="64"/>
      <c r="X372" s="64"/>
      <c r="Y372" s="64"/>
      <c r="Z372" s="64"/>
      <c r="AA372" s="71"/>
      <c r="AB372" s="71"/>
      <c r="AC372" s="72"/>
      <c r="AD372" s="72"/>
      <c r="AE372" s="72"/>
      <c r="AF372" s="71"/>
      <c r="AG372" s="64"/>
      <c r="AH372" s="76"/>
    </row>
    <row r="373" spans="1:34">
      <c r="A373" s="40">
        <v>2010</v>
      </c>
      <c r="B373" s="65">
        <v>2.1971967970337278</v>
      </c>
      <c r="C373" s="65">
        <v>1.4419999999999999</v>
      </c>
      <c r="D373" s="64">
        <v>1.4</v>
      </c>
      <c r="E373" s="65">
        <v>1.369</v>
      </c>
      <c r="F373" s="64">
        <v>1.3480000000000001</v>
      </c>
      <c r="G373" s="65">
        <v>1.319</v>
      </c>
      <c r="H373" s="64">
        <v>1.276</v>
      </c>
      <c r="I373" s="64">
        <v>1.2410000000000001</v>
      </c>
      <c r="J373" s="64">
        <v>1.2210000000000001</v>
      </c>
      <c r="K373" s="64">
        <v>1.194</v>
      </c>
      <c r="L373" s="64">
        <v>1.163</v>
      </c>
      <c r="M373" s="64">
        <v>1.125</v>
      </c>
      <c r="N373" s="66">
        <v>1.0900000000000001</v>
      </c>
      <c r="O373" s="66">
        <v>1.0680000000000001</v>
      </c>
      <c r="P373" s="65">
        <v>1.125</v>
      </c>
      <c r="Q373" s="64"/>
      <c r="R373" s="73">
        <v>2.2000000000000002</v>
      </c>
      <c r="S373" s="73">
        <v>2.2000000000000002</v>
      </c>
      <c r="T373" s="77"/>
      <c r="U373" s="69"/>
      <c r="V373" s="70"/>
      <c r="W373" s="64"/>
      <c r="X373" s="64"/>
      <c r="Y373" s="64"/>
      <c r="Z373" s="64"/>
      <c r="AA373" s="71"/>
      <c r="AB373" s="71"/>
      <c r="AC373" s="72"/>
      <c r="AD373" s="72"/>
      <c r="AE373" s="72"/>
      <c r="AF373" s="71"/>
      <c r="AG373" s="64"/>
      <c r="AH373" s="76"/>
    </row>
    <row r="374" spans="1:34">
      <c r="A374" s="40">
        <v>2011</v>
      </c>
      <c r="B374" s="65">
        <v>2.2455351265684698</v>
      </c>
      <c r="C374" s="65">
        <v>1.4730000000000001</v>
      </c>
      <c r="D374" s="64">
        <v>1.431</v>
      </c>
      <c r="E374" s="65">
        <v>1.399</v>
      </c>
      <c r="F374" s="64">
        <v>1.3779999999999999</v>
      </c>
      <c r="G374" s="65">
        <v>1.3480000000000001</v>
      </c>
      <c r="H374" s="64">
        <v>1.304</v>
      </c>
      <c r="I374" s="64">
        <v>1.268</v>
      </c>
      <c r="J374" s="64">
        <v>1.248</v>
      </c>
      <c r="K374" s="64">
        <v>1.22</v>
      </c>
      <c r="L374" s="64">
        <v>1.1890000000000001</v>
      </c>
      <c r="M374" s="64">
        <v>1.1499999999999999</v>
      </c>
      <c r="N374" s="66">
        <v>1.1140000000000001</v>
      </c>
      <c r="O374" s="66">
        <v>1.091</v>
      </c>
      <c r="P374" s="65">
        <v>1.1499999999999999</v>
      </c>
      <c r="Q374" s="64"/>
      <c r="R374" s="73">
        <v>2.2000000000000002</v>
      </c>
      <c r="S374" s="73">
        <v>2.2000000000000002</v>
      </c>
      <c r="T374" s="77"/>
      <c r="U374" s="69"/>
      <c r="V374" s="70"/>
      <c r="W374" s="64"/>
      <c r="X374" s="64"/>
      <c r="Y374" s="64"/>
      <c r="Z374" s="64"/>
      <c r="AA374" s="71"/>
      <c r="AB374" s="71"/>
      <c r="AC374" s="72"/>
      <c r="AD374" s="72"/>
      <c r="AE374" s="72"/>
      <c r="AF374" s="71"/>
      <c r="AG374" s="64"/>
      <c r="AH374" s="76"/>
    </row>
    <row r="375" spans="1:34">
      <c r="A375" s="40">
        <v>2012</v>
      </c>
      <c r="B375" s="65">
        <v>2.294936899352976</v>
      </c>
      <c r="C375" s="65">
        <v>1.506</v>
      </c>
      <c r="D375" s="64">
        <v>1.4630000000000001</v>
      </c>
      <c r="E375" s="65">
        <v>1.43</v>
      </c>
      <c r="F375" s="64">
        <v>1.4079999999999999</v>
      </c>
      <c r="G375" s="65">
        <v>1.3779999999999999</v>
      </c>
      <c r="H375" s="64">
        <v>1.333</v>
      </c>
      <c r="I375" s="64">
        <v>1.296</v>
      </c>
      <c r="J375" s="64">
        <v>1.276</v>
      </c>
      <c r="K375" s="64">
        <v>1.2470000000000001</v>
      </c>
      <c r="L375" s="64">
        <v>1.2150000000000001</v>
      </c>
      <c r="M375" s="64">
        <v>1.175</v>
      </c>
      <c r="N375" s="66">
        <v>1.1379999999999999</v>
      </c>
      <c r="O375" s="66">
        <v>1.115</v>
      </c>
      <c r="P375" s="65">
        <v>1.175</v>
      </c>
      <c r="Q375" s="64"/>
      <c r="R375" s="73">
        <v>2.2000000000000002</v>
      </c>
      <c r="S375" s="73">
        <v>2.2000000000000002</v>
      </c>
      <c r="T375" s="77"/>
      <c r="U375" s="69"/>
      <c r="V375" s="70"/>
      <c r="W375" s="64"/>
      <c r="X375" s="64"/>
      <c r="Y375" s="64"/>
      <c r="Z375" s="64"/>
      <c r="AA375" s="71"/>
      <c r="AB375" s="71"/>
      <c r="AC375" s="72"/>
      <c r="AD375" s="72"/>
      <c r="AE375" s="72"/>
      <c r="AF375" s="71"/>
      <c r="AG375" s="64"/>
      <c r="AH375" s="76"/>
    </row>
    <row r="376" spans="1:34">
      <c r="A376" s="40">
        <v>2013</v>
      </c>
      <c r="B376" s="65">
        <v>2.3454255111387416</v>
      </c>
      <c r="C376" s="65">
        <v>1.5389999999999999</v>
      </c>
      <c r="D376" s="64">
        <v>1.4950000000000001</v>
      </c>
      <c r="E376" s="65">
        <v>1.4610000000000001</v>
      </c>
      <c r="F376" s="64">
        <v>1.4390000000000001</v>
      </c>
      <c r="G376" s="65">
        <v>1.4079999999999999</v>
      </c>
      <c r="H376" s="64">
        <v>1.3620000000000001</v>
      </c>
      <c r="I376" s="64">
        <v>1.3240000000000001</v>
      </c>
      <c r="J376" s="64">
        <v>1.304</v>
      </c>
      <c r="K376" s="64">
        <v>1.2749999999999999</v>
      </c>
      <c r="L376" s="64">
        <v>1.242</v>
      </c>
      <c r="M376" s="64">
        <v>1.2010000000000001</v>
      </c>
      <c r="N376" s="66">
        <v>1.163</v>
      </c>
      <c r="O376" s="66">
        <v>1.1399999999999999</v>
      </c>
      <c r="P376" s="65">
        <v>1.2010000000000001</v>
      </c>
      <c r="Q376" s="64"/>
      <c r="R376" s="73">
        <v>2.2000000000000002</v>
      </c>
      <c r="S376" s="73">
        <v>2.2000000000000002</v>
      </c>
      <c r="T376" s="77"/>
      <c r="U376" s="69"/>
      <c r="V376" s="70"/>
      <c r="W376" s="64"/>
      <c r="X376" s="64"/>
      <c r="Y376" s="64"/>
      <c r="Z376" s="64"/>
      <c r="AA376" s="71"/>
      <c r="AB376" s="71"/>
      <c r="AC376" s="72"/>
      <c r="AD376" s="72"/>
      <c r="AE376" s="72"/>
      <c r="AF376" s="71"/>
      <c r="AG376" s="64"/>
      <c r="AH376" s="76"/>
    </row>
    <row r="377" spans="1:34">
      <c r="A377" s="40">
        <v>2014</v>
      </c>
      <c r="B377" s="65">
        <v>2.3970248723837941</v>
      </c>
      <c r="C377" s="65">
        <v>1.573</v>
      </c>
      <c r="D377" s="64">
        <v>1.528</v>
      </c>
      <c r="E377" s="65">
        <v>1.4930000000000001</v>
      </c>
      <c r="F377" s="64">
        <v>1.4710000000000001</v>
      </c>
      <c r="G377" s="65">
        <v>1.4390000000000001</v>
      </c>
      <c r="H377" s="64">
        <v>1.3919999999999999</v>
      </c>
      <c r="I377" s="64">
        <v>1.353</v>
      </c>
      <c r="J377" s="64">
        <v>1.3320000000000001</v>
      </c>
      <c r="K377" s="64">
        <v>1.3029999999999999</v>
      </c>
      <c r="L377" s="64">
        <v>1.2689999999999999</v>
      </c>
      <c r="M377" s="64">
        <v>1.2270000000000001</v>
      </c>
      <c r="N377" s="66">
        <v>1.1890000000000001</v>
      </c>
      <c r="O377" s="66">
        <v>1.165</v>
      </c>
      <c r="P377" s="65">
        <v>1.2270000000000001</v>
      </c>
      <c r="Q377" s="64"/>
      <c r="R377" s="73">
        <v>2.2000000000000002</v>
      </c>
      <c r="S377" s="73">
        <v>2.2000000000000002</v>
      </c>
      <c r="T377" s="77"/>
      <c r="U377" s="69"/>
      <c r="V377" s="70"/>
      <c r="W377" s="64"/>
      <c r="X377" s="64"/>
      <c r="Y377" s="64"/>
      <c r="Z377" s="64"/>
      <c r="AA377" s="71"/>
      <c r="AB377" s="71"/>
      <c r="AC377" s="72"/>
      <c r="AD377" s="72"/>
      <c r="AE377" s="72"/>
      <c r="AF377" s="71"/>
      <c r="AG377" s="64"/>
      <c r="AH377" s="76"/>
    </row>
    <row r="378" spans="1:34">
      <c r="A378" s="40">
        <v>2015</v>
      </c>
      <c r="B378" s="65">
        <v>2.4497594195762376</v>
      </c>
      <c r="C378" s="65">
        <v>1.607</v>
      </c>
      <c r="D378" s="64">
        <v>1.5609999999999999</v>
      </c>
      <c r="E378" s="65">
        <v>1.526</v>
      </c>
      <c r="F378" s="64">
        <v>1.5029999999999999</v>
      </c>
      <c r="G378" s="65">
        <v>1.47</v>
      </c>
      <c r="H378" s="64">
        <v>1.423</v>
      </c>
      <c r="I378" s="64">
        <v>1.383</v>
      </c>
      <c r="J378" s="64">
        <v>1.3620000000000001</v>
      </c>
      <c r="K378" s="64">
        <v>1.331</v>
      </c>
      <c r="L378" s="64">
        <v>1.2969999999999999</v>
      </c>
      <c r="M378" s="64">
        <v>1.254</v>
      </c>
      <c r="N378" s="66">
        <v>1.2150000000000001</v>
      </c>
      <c r="O378" s="66">
        <v>1.19</v>
      </c>
      <c r="P378" s="65">
        <v>1.254</v>
      </c>
      <c r="Q378" s="64"/>
      <c r="R378" s="73">
        <v>2.2000000000000002</v>
      </c>
      <c r="S378" s="73">
        <v>2.2000000000000002</v>
      </c>
      <c r="T378" s="77"/>
      <c r="U378" s="69"/>
      <c r="V378" s="70"/>
      <c r="W378" s="64"/>
      <c r="X378" s="64"/>
      <c r="Y378" s="64"/>
      <c r="Z378" s="64"/>
      <c r="AA378" s="71"/>
      <c r="AB378" s="71"/>
      <c r="AC378" s="72"/>
      <c r="AD378" s="72"/>
      <c r="AE378" s="72"/>
      <c r="AF378" s="71"/>
      <c r="AG378" s="64"/>
      <c r="AH378" s="76"/>
    </row>
    <row r="379" spans="1:34">
      <c r="A379" s="40">
        <v>2016</v>
      </c>
      <c r="B379" s="65">
        <v>2.5036541268069148</v>
      </c>
      <c r="C379" s="65">
        <v>1.643</v>
      </c>
      <c r="D379" s="64">
        <v>1.5960000000000001</v>
      </c>
      <c r="E379" s="65">
        <v>1.56</v>
      </c>
      <c r="F379" s="64">
        <v>1.536</v>
      </c>
      <c r="G379" s="65">
        <v>1.5029999999999999</v>
      </c>
      <c r="H379" s="64">
        <v>1.454</v>
      </c>
      <c r="I379" s="64">
        <v>1.4139999999999999</v>
      </c>
      <c r="J379" s="64">
        <v>1.3919999999999999</v>
      </c>
      <c r="K379" s="64">
        <v>1.361</v>
      </c>
      <c r="L379" s="64">
        <v>1.325</v>
      </c>
      <c r="M379" s="64">
        <v>1.282</v>
      </c>
      <c r="N379" s="66">
        <v>1.242</v>
      </c>
      <c r="O379" s="66">
        <v>1.2170000000000001</v>
      </c>
      <c r="P379" s="65">
        <v>1.282</v>
      </c>
      <c r="Q379" s="64"/>
      <c r="R379" s="73">
        <v>2.2000000000000002</v>
      </c>
      <c r="S379" s="73">
        <v>2.2000000000000002</v>
      </c>
      <c r="T379" s="77"/>
      <c r="U379" s="69"/>
      <c r="V379" s="70"/>
      <c r="W379" s="64"/>
      <c r="X379" s="64"/>
      <c r="Y379" s="64"/>
      <c r="Z379" s="64"/>
      <c r="AA379" s="71"/>
      <c r="AB379" s="71"/>
      <c r="AC379" s="72"/>
      <c r="AD379" s="72"/>
      <c r="AE379" s="72"/>
      <c r="AF379" s="71"/>
      <c r="AG379" s="64"/>
      <c r="AH379" s="76"/>
    </row>
    <row r="380" spans="1:34">
      <c r="A380" s="40">
        <v>2017</v>
      </c>
      <c r="B380" s="65">
        <v>2.5587345175966671</v>
      </c>
      <c r="C380" s="65">
        <v>1.679</v>
      </c>
      <c r="D380" s="64">
        <v>1.631</v>
      </c>
      <c r="E380" s="65">
        <v>1.5940000000000001</v>
      </c>
      <c r="F380" s="64">
        <v>1.57</v>
      </c>
      <c r="G380" s="65">
        <v>1.536</v>
      </c>
      <c r="H380" s="64">
        <v>1.486</v>
      </c>
      <c r="I380" s="64">
        <v>1.4450000000000001</v>
      </c>
      <c r="J380" s="64">
        <v>1.4219999999999999</v>
      </c>
      <c r="K380" s="64">
        <v>1.391</v>
      </c>
      <c r="L380" s="64">
        <v>1.355</v>
      </c>
      <c r="M380" s="64">
        <v>1.31</v>
      </c>
      <c r="N380" s="66">
        <v>1.2689999999999999</v>
      </c>
      <c r="O380" s="66">
        <v>1.2430000000000001</v>
      </c>
      <c r="P380" s="65"/>
      <c r="Q380" s="64"/>
      <c r="R380" s="73"/>
      <c r="S380" s="73"/>
      <c r="T380" s="77"/>
      <c r="U380" s="69"/>
      <c r="V380" s="70"/>
      <c r="W380" s="64"/>
      <c r="X380" s="64"/>
      <c r="Y380" s="64"/>
      <c r="Z380" s="64"/>
      <c r="AA380" s="71"/>
      <c r="AB380" s="71"/>
      <c r="AC380" s="72"/>
      <c r="AD380" s="72"/>
      <c r="AE380" s="72"/>
      <c r="AF380" s="71"/>
      <c r="AG380" s="64"/>
      <c r="AH380" s="76"/>
    </row>
    <row r="381" spans="1:34">
      <c r="B381" s="65"/>
      <c r="C381" s="65"/>
      <c r="D381" s="64"/>
      <c r="E381" s="65"/>
      <c r="F381" s="64"/>
      <c r="G381" s="65"/>
      <c r="H381" s="64"/>
      <c r="I381" s="64"/>
      <c r="J381" s="64"/>
      <c r="K381" s="64"/>
      <c r="L381" s="64"/>
      <c r="M381" s="64"/>
      <c r="N381" s="64"/>
      <c r="O381" s="64"/>
      <c r="P381" s="65"/>
      <c r="Q381" s="64"/>
      <c r="R381" s="73"/>
      <c r="S381" s="73"/>
      <c r="T381" s="77"/>
      <c r="U381" s="69"/>
      <c r="V381" s="70"/>
      <c r="W381" s="64"/>
      <c r="X381" s="64"/>
      <c r="Y381" s="64"/>
      <c r="Z381" s="64"/>
      <c r="AA381" s="71"/>
      <c r="AB381" s="71"/>
      <c r="AC381" s="72"/>
      <c r="AD381" s="72"/>
      <c r="AE381" s="72"/>
      <c r="AF381" s="71"/>
      <c r="AG381" s="64"/>
      <c r="AH381" s="76"/>
    </row>
    <row r="382" spans="1:34" ht="15">
      <c r="B382" s="120" t="s">
        <v>203</v>
      </c>
      <c r="C382" s="121"/>
      <c r="D382" s="121"/>
      <c r="E382" s="121"/>
      <c r="F382" s="121"/>
      <c r="G382" s="121"/>
      <c r="H382" s="121"/>
      <c r="I382" s="121"/>
      <c r="J382" s="121"/>
      <c r="K382" s="121"/>
      <c r="L382" s="121"/>
      <c r="M382" s="41"/>
      <c r="N382" s="41"/>
      <c r="O382" s="14"/>
      <c r="P382" s="42"/>
      <c r="Q382" s="42"/>
      <c r="S382" s="43"/>
      <c r="T382" s="43"/>
      <c r="U382" s="43"/>
    </row>
    <row r="383" spans="1:34" ht="15">
      <c r="B383" s="120"/>
      <c r="C383" s="121"/>
      <c r="D383" s="121"/>
      <c r="E383" s="121"/>
      <c r="F383" s="121"/>
      <c r="G383" s="121"/>
      <c r="H383" s="121"/>
      <c r="I383" s="121"/>
      <c r="J383" s="121"/>
      <c r="K383" s="121"/>
      <c r="L383" s="121"/>
      <c r="M383" s="14"/>
      <c r="N383" s="14"/>
      <c r="O383" s="14"/>
      <c r="P383" s="42"/>
      <c r="Q383" s="44"/>
      <c r="S383" s="43"/>
      <c r="T383" s="43"/>
      <c r="U383" s="43"/>
    </row>
    <row r="384" spans="1:34" ht="15">
      <c r="B384" s="120" t="s">
        <v>204</v>
      </c>
      <c r="C384" s="121"/>
      <c r="D384" s="121"/>
      <c r="E384" s="121"/>
      <c r="F384" s="121"/>
      <c r="G384" s="121"/>
      <c r="H384" s="121"/>
      <c r="I384" s="121"/>
      <c r="J384" s="121"/>
      <c r="K384" s="121"/>
      <c r="L384" s="121"/>
      <c r="M384" s="14"/>
      <c r="N384" s="14"/>
      <c r="O384" s="14"/>
      <c r="P384" s="42"/>
      <c r="Q384" s="44"/>
      <c r="S384" s="43"/>
      <c r="T384" s="43"/>
      <c r="U384" s="43"/>
      <c r="AC384" s="56"/>
    </row>
    <row r="385" spans="1:17" s="18" customFormat="1" ht="15">
      <c r="A385" s="50"/>
      <c r="B385" s="120"/>
      <c r="C385" s="121"/>
      <c r="D385" s="121"/>
      <c r="E385" s="121"/>
      <c r="F385" s="121"/>
      <c r="G385" s="121"/>
      <c r="H385" s="121"/>
      <c r="I385" s="121"/>
      <c r="J385" s="121"/>
      <c r="K385" s="121"/>
      <c r="L385" s="121"/>
      <c r="M385" s="14"/>
      <c r="N385" s="14"/>
      <c r="O385" s="14"/>
      <c r="P385" s="42"/>
      <c r="Q385" s="44"/>
    </row>
    <row r="386" spans="1:17" s="18" customFormat="1" ht="15">
      <c r="A386" s="40"/>
      <c r="B386" s="120" t="s">
        <v>205</v>
      </c>
      <c r="C386" s="121"/>
      <c r="D386" s="121"/>
      <c r="E386" s="121"/>
      <c r="F386" s="121"/>
      <c r="G386" s="121"/>
      <c r="H386" s="121"/>
      <c r="I386" s="121"/>
      <c r="J386" s="121"/>
      <c r="K386" s="121"/>
      <c r="L386" s="121"/>
      <c r="M386" s="14"/>
      <c r="N386" s="14"/>
      <c r="O386" s="14"/>
      <c r="P386" s="42"/>
      <c r="Q386" s="44"/>
    </row>
    <row r="387" spans="1:17" s="18" customFormat="1" ht="15">
      <c r="A387" s="40"/>
      <c r="B387" s="120"/>
      <c r="C387" s="121"/>
      <c r="D387" s="121"/>
      <c r="E387" s="121"/>
      <c r="F387" s="121"/>
      <c r="G387" s="121"/>
      <c r="H387" s="121"/>
      <c r="I387" s="121"/>
      <c r="J387" s="121"/>
      <c r="K387" s="121"/>
      <c r="L387" s="121"/>
      <c r="M387" s="14"/>
      <c r="N387" s="14"/>
      <c r="O387" s="14"/>
      <c r="P387" s="42"/>
      <c r="Q387" s="44"/>
    </row>
    <row r="388" spans="1:17" s="18" customFormat="1" ht="15">
      <c r="A388" s="40"/>
      <c r="B388" s="120" t="s">
        <v>206</v>
      </c>
      <c r="C388" s="121"/>
      <c r="D388" s="121"/>
      <c r="E388" s="121"/>
      <c r="F388" s="121"/>
      <c r="G388" s="121"/>
      <c r="H388" s="121"/>
      <c r="I388" s="121"/>
      <c r="J388" s="121"/>
      <c r="K388" s="121"/>
      <c r="L388" s="121"/>
      <c r="M388" s="14"/>
      <c r="N388" s="14"/>
      <c r="O388" s="14"/>
      <c r="P388" s="42"/>
      <c r="Q388" s="44"/>
    </row>
    <row r="389" spans="1:17" s="18" customFormat="1" ht="15">
      <c r="A389" s="40"/>
      <c r="B389" s="120"/>
      <c r="C389" s="121"/>
      <c r="D389" s="121"/>
      <c r="E389" s="121"/>
      <c r="F389" s="121"/>
      <c r="G389" s="121"/>
      <c r="H389" s="121"/>
      <c r="I389" s="121"/>
      <c r="J389" s="121"/>
      <c r="K389" s="121"/>
      <c r="L389" s="121"/>
      <c r="M389" s="14"/>
      <c r="N389" s="14"/>
      <c r="O389" s="14"/>
      <c r="P389" s="42"/>
      <c r="Q389" s="44"/>
    </row>
    <row r="390" spans="1:17" s="18" customFormat="1" ht="15">
      <c r="A390" s="40"/>
      <c r="B390" s="120" t="s">
        <v>207</v>
      </c>
      <c r="C390" s="121"/>
      <c r="D390" s="121"/>
      <c r="E390" s="121"/>
      <c r="F390" s="121"/>
      <c r="G390" s="121"/>
      <c r="H390" s="121"/>
      <c r="I390" s="121"/>
      <c r="J390" s="121"/>
      <c r="K390" s="121"/>
      <c r="L390" s="121"/>
      <c r="M390" s="14"/>
      <c r="N390" s="14"/>
      <c r="O390" s="14"/>
      <c r="P390" s="42"/>
      <c r="Q390" s="44"/>
    </row>
    <row r="391" spans="1:17" s="18" customFormat="1" ht="15">
      <c r="A391" s="40"/>
      <c r="B391" s="120" t="s">
        <v>82</v>
      </c>
      <c r="C391" s="121"/>
      <c r="D391" s="121"/>
      <c r="E391" s="121"/>
      <c r="F391" s="121"/>
      <c r="G391" s="121"/>
      <c r="H391" s="121"/>
      <c r="I391" s="121"/>
      <c r="J391" s="121"/>
      <c r="K391" s="121"/>
      <c r="L391" s="121"/>
      <c r="M391" s="14"/>
      <c r="N391" s="14"/>
      <c r="O391" s="14"/>
      <c r="P391" s="42"/>
      <c r="Q391" s="44"/>
    </row>
    <row r="392" spans="1:17" s="18" customFormat="1" ht="15">
      <c r="A392" s="40"/>
      <c r="B392" s="120" t="s">
        <v>108</v>
      </c>
      <c r="C392" s="121"/>
      <c r="D392" s="121"/>
      <c r="E392" s="121"/>
      <c r="F392" s="121"/>
      <c r="G392" s="121"/>
      <c r="H392" s="121"/>
      <c r="I392" s="121"/>
      <c r="J392" s="121"/>
      <c r="K392" s="121"/>
      <c r="L392" s="121"/>
      <c r="M392" s="14"/>
      <c r="N392" s="14"/>
      <c r="O392" s="14"/>
      <c r="P392" s="42"/>
      <c r="Q392" s="44"/>
    </row>
    <row r="393" spans="1:17" s="18" customFormat="1" ht="15">
      <c r="A393" s="40"/>
      <c r="B393" s="120"/>
      <c r="C393" s="121"/>
      <c r="D393" s="121"/>
      <c r="E393" s="121"/>
      <c r="F393" s="121"/>
      <c r="G393" s="121"/>
      <c r="H393" s="121"/>
      <c r="I393" s="121"/>
      <c r="J393" s="121"/>
      <c r="K393" s="121"/>
      <c r="L393" s="121"/>
      <c r="M393" s="14"/>
      <c r="N393" s="14"/>
      <c r="O393" s="14"/>
      <c r="P393" s="42"/>
      <c r="Q393" s="44"/>
    </row>
    <row r="394" spans="1:17" s="18" customFormat="1" ht="15">
      <c r="A394" s="40"/>
      <c r="B394" s="120" t="s">
        <v>109</v>
      </c>
      <c r="C394" s="121"/>
      <c r="D394" s="121"/>
      <c r="E394" s="121"/>
      <c r="F394" s="121"/>
      <c r="G394" s="121"/>
      <c r="H394" s="121"/>
      <c r="I394" s="121"/>
      <c r="J394" s="121"/>
      <c r="K394" s="121"/>
      <c r="L394" s="121"/>
      <c r="M394" s="14"/>
      <c r="N394" s="14"/>
      <c r="O394" s="14"/>
      <c r="P394" s="42"/>
      <c r="Q394" s="44"/>
    </row>
    <row r="395" spans="1:17" s="18" customFormat="1" ht="15">
      <c r="A395" s="40"/>
      <c r="B395" s="120" t="s">
        <v>110</v>
      </c>
      <c r="C395" s="121"/>
      <c r="D395" s="121"/>
      <c r="E395" s="121"/>
      <c r="F395" s="121"/>
      <c r="G395" s="121"/>
      <c r="H395" s="121"/>
      <c r="I395" s="121"/>
      <c r="J395" s="121"/>
      <c r="K395" s="121"/>
      <c r="L395" s="121"/>
      <c r="M395" s="14"/>
      <c r="N395" s="14"/>
      <c r="O395" s="14"/>
      <c r="P395" s="42"/>
      <c r="Q395" s="44"/>
    </row>
    <row r="396" spans="1:17" s="18" customFormat="1" ht="15">
      <c r="A396" s="40"/>
      <c r="B396" s="120" t="s">
        <v>111</v>
      </c>
      <c r="C396" s="121"/>
      <c r="D396" s="121"/>
      <c r="E396" s="121"/>
      <c r="F396" s="121"/>
      <c r="G396" s="121"/>
      <c r="H396" s="121"/>
      <c r="I396" s="121"/>
      <c r="J396" s="121"/>
      <c r="K396" s="121"/>
      <c r="L396" s="121"/>
      <c r="M396" s="14"/>
      <c r="N396" s="14"/>
      <c r="O396" s="14"/>
      <c r="P396" s="42"/>
      <c r="Q396" s="44"/>
    </row>
    <row r="397" spans="1:17" s="18" customFormat="1" ht="15">
      <c r="A397" s="40"/>
      <c r="B397" s="120" t="s">
        <v>112</v>
      </c>
      <c r="C397" s="121"/>
      <c r="D397" s="121"/>
      <c r="E397" s="121"/>
      <c r="F397" s="121"/>
      <c r="G397" s="121"/>
      <c r="H397" s="121"/>
      <c r="I397" s="121"/>
      <c r="J397" s="121"/>
      <c r="K397" s="121"/>
      <c r="L397" s="121"/>
      <c r="M397" s="14"/>
      <c r="N397" s="14"/>
      <c r="O397" s="14"/>
      <c r="P397" s="42"/>
      <c r="Q397" s="44"/>
    </row>
    <row r="398" spans="1:17" s="18" customFormat="1" ht="15">
      <c r="A398" s="40"/>
      <c r="B398" s="120" t="s">
        <v>113</v>
      </c>
      <c r="C398" s="121"/>
      <c r="D398" s="121"/>
      <c r="E398" s="121"/>
      <c r="F398" s="121"/>
      <c r="G398" s="121"/>
      <c r="H398" s="121"/>
      <c r="I398" s="121"/>
      <c r="J398" s="121"/>
      <c r="K398" s="121"/>
      <c r="L398" s="121"/>
      <c r="M398" s="14"/>
      <c r="N398" s="14"/>
      <c r="O398" s="14"/>
      <c r="P398" s="42"/>
      <c r="Q398" s="44"/>
    </row>
    <row r="399" spans="1:17" s="18" customFormat="1" ht="15">
      <c r="A399" s="40"/>
      <c r="B399" s="120" t="s">
        <v>114</v>
      </c>
      <c r="C399" s="121"/>
      <c r="D399" s="121"/>
      <c r="E399" s="121"/>
      <c r="F399" s="121"/>
      <c r="G399" s="121"/>
      <c r="H399" s="121"/>
      <c r="I399" s="121"/>
      <c r="J399" s="121"/>
      <c r="K399" s="121"/>
      <c r="L399" s="121"/>
      <c r="M399" s="14"/>
      <c r="N399" s="14"/>
      <c r="O399" s="14"/>
      <c r="P399" s="42"/>
      <c r="Q399" s="44"/>
    </row>
    <row r="400" spans="1:17" s="18" customFormat="1" ht="15">
      <c r="A400" s="40"/>
      <c r="B400" s="120" t="s">
        <v>115</v>
      </c>
      <c r="C400" s="121"/>
      <c r="D400" s="121"/>
      <c r="E400" s="121"/>
      <c r="F400" s="121"/>
      <c r="G400" s="121"/>
      <c r="H400" s="121"/>
      <c r="I400" s="121"/>
      <c r="J400" s="121"/>
      <c r="K400" s="121"/>
      <c r="L400" s="121"/>
      <c r="M400" s="14"/>
      <c r="N400" s="14"/>
      <c r="O400" s="14"/>
      <c r="P400" s="42"/>
      <c r="Q400" s="44"/>
    </row>
    <row r="401" spans="2:17" s="18" customFormat="1" ht="15">
      <c r="B401" s="120" t="s">
        <v>116</v>
      </c>
      <c r="C401" s="121"/>
      <c r="D401" s="121"/>
      <c r="E401" s="121"/>
      <c r="F401" s="121"/>
      <c r="G401" s="121"/>
      <c r="H401" s="121"/>
      <c r="I401" s="121"/>
      <c r="J401" s="121"/>
      <c r="K401" s="121"/>
      <c r="L401" s="121"/>
      <c r="M401" s="14"/>
      <c r="N401" s="14"/>
      <c r="O401" s="14"/>
      <c r="P401" s="42"/>
      <c r="Q401" s="44"/>
    </row>
    <row r="402" spans="2:17" s="18" customFormat="1" ht="15">
      <c r="B402" s="120" t="s">
        <v>117</v>
      </c>
      <c r="C402" s="121"/>
      <c r="D402" s="121"/>
      <c r="E402" s="121"/>
      <c r="F402" s="121"/>
      <c r="G402" s="121"/>
      <c r="H402" s="121"/>
      <c r="I402" s="121"/>
      <c r="J402" s="121"/>
      <c r="K402" s="121"/>
      <c r="L402" s="121"/>
      <c r="M402" s="14"/>
      <c r="N402" s="14"/>
      <c r="O402" s="14"/>
      <c r="P402" s="42"/>
      <c r="Q402" s="44"/>
    </row>
    <row r="403" spans="2:17" s="18" customFormat="1" ht="15">
      <c r="B403" s="120" t="s">
        <v>118</v>
      </c>
      <c r="C403" s="121"/>
      <c r="D403" s="121"/>
      <c r="E403" s="121"/>
      <c r="F403" s="121"/>
      <c r="G403" s="121"/>
      <c r="H403" s="121"/>
      <c r="I403" s="121"/>
      <c r="J403" s="121"/>
      <c r="K403" s="121"/>
      <c r="L403" s="121"/>
      <c r="M403" s="14"/>
      <c r="N403" s="14"/>
      <c r="O403" s="14"/>
      <c r="P403" s="42"/>
      <c r="Q403" s="44"/>
    </row>
    <row r="404" spans="2:17" s="18" customFormat="1" ht="15">
      <c r="B404" s="120" t="s">
        <v>119</v>
      </c>
      <c r="C404" s="121"/>
      <c r="D404" s="121"/>
      <c r="E404" s="121"/>
      <c r="F404" s="121"/>
      <c r="G404" s="121"/>
      <c r="H404" s="121"/>
      <c r="I404" s="121"/>
      <c r="J404" s="121"/>
      <c r="K404" s="121"/>
      <c r="L404" s="121"/>
      <c r="M404" s="14"/>
      <c r="N404" s="14"/>
      <c r="O404" s="14"/>
      <c r="P404" s="42"/>
      <c r="Q404" s="44"/>
    </row>
    <row r="405" spans="2:17" s="18" customFormat="1" ht="15">
      <c r="B405" s="120" t="s">
        <v>120</v>
      </c>
      <c r="C405" s="121"/>
      <c r="D405" s="121"/>
      <c r="E405" s="121"/>
      <c r="F405" s="121"/>
      <c r="G405" s="121"/>
      <c r="H405" s="121"/>
      <c r="I405" s="121"/>
      <c r="J405" s="121"/>
      <c r="K405" s="121"/>
      <c r="L405" s="121"/>
      <c r="M405" s="14"/>
      <c r="N405" s="14"/>
      <c r="O405" s="14"/>
      <c r="P405" s="42"/>
      <c r="Q405" s="44"/>
    </row>
    <row r="406" spans="2:17" s="18" customFormat="1" ht="15">
      <c r="B406" s="120" t="s">
        <v>208</v>
      </c>
      <c r="C406" s="121"/>
      <c r="D406" s="121"/>
      <c r="E406" s="121"/>
      <c r="F406" s="121"/>
      <c r="G406" s="121"/>
      <c r="H406" s="121"/>
      <c r="I406" s="121"/>
      <c r="J406" s="121"/>
      <c r="K406" s="121"/>
      <c r="L406" s="121"/>
      <c r="M406" s="14"/>
      <c r="N406" s="14"/>
      <c r="O406" s="14"/>
      <c r="P406" s="42"/>
      <c r="Q406" s="44"/>
    </row>
    <row r="407" spans="2:17" s="18" customFormat="1" ht="15">
      <c r="B407" s="120" t="s">
        <v>209</v>
      </c>
      <c r="C407" s="121"/>
      <c r="D407" s="121"/>
      <c r="E407" s="121"/>
      <c r="F407" s="121"/>
      <c r="G407" s="121"/>
      <c r="H407" s="121"/>
      <c r="I407" s="121"/>
      <c r="J407" s="121"/>
      <c r="K407" s="121"/>
      <c r="L407" s="121"/>
      <c r="M407" s="14"/>
      <c r="N407" s="14"/>
      <c r="O407" s="14"/>
      <c r="P407" s="42"/>
      <c r="Q407" s="44"/>
    </row>
    <row r="408" spans="2:17" s="18" customFormat="1" ht="15">
      <c r="B408" s="120"/>
      <c r="C408" s="121"/>
      <c r="D408" s="121"/>
      <c r="E408" s="121"/>
      <c r="F408" s="121"/>
      <c r="G408" s="121"/>
      <c r="H408" s="121"/>
      <c r="I408" s="121"/>
      <c r="J408" s="121"/>
      <c r="K408" s="121"/>
      <c r="L408" s="121"/>
      <c r="M408" s="14"/>
      <c r="N408" s="14"/>
      <c r="O408" s="14"/>
      <c r="P408" s="42"/>
      <c r="Q408" s="44"/>
    </row>
    <row r="409" spans="2:17" s="18" customFormat="1" ht="15">
      <c r="B409" s="120" t="s">
        <v>210</v>
      </c>
      <c r="C409" s="121"/>
      <c r="D409" s="121"/>
      <c r="E409" s="121"/>
      <c r="F409" s="121"/>
      <c r="G409" s="121"/>
      <c r="H409" s="121"/>
      <c r="I409" s="121"/>
      <c r="J409" s="121"/>
      <c r="K409" s="121"/>
      <c r="L409" s="121"/>
      <c r="M409" s="14"/>
      <c r="N409" s="14"/>
      <c r="O409" s="14"/>
      <c r="P409" s="42"/>
      <c r="Q409" s="44"/>
    </row>
    <row r="410" spans="2:17" s="18" customFormat="1" ht="15">
      <c r="B410" s="120"/>
      <c r="C410" s="121"/>
      <c r="D410" s="121"/>
      <c r="E410" s="121"/>
      <c r="F410" s="121"/>
      <c r="G410" s="121"/>
      <c r="H410" s="121"/>
      <c r="I410" s="121"/>
      <c r="J410" s="121"/>
      <c r="K410" s="121"/>
      <c r="L410" s="121"/>
      <c r="M410" s="14"/>
      <c r="N410" s="14"/>
      <c r="O410" s="14"/>
      <c r="P410" s="42"/>
      <c r="Q410" s="44"/>
    </row>
    <row r="411" spans="2:17" s="18" customFormat="1" ht="15">
      <c r="B411" s="120" t="s">
        <v>211</v>
      </c>
      <c r="C411" s="121"/>
      <c r="D411" s="121"/>
      <c r="E411" s="121"/>
      <c r="F411" s="121"/>
      <c r="G411" s="121"/>
      <c r="H411" s="121"/>
      <c r="I411" s="121"/>
      <c r="J411" s="121"/>
      <c r="K411" s="121"/>
      <c r="L411" s="121"/>
      <c r="M411" s="14"/>
      <c r="N411" s="14"/>
      <c r="O411" s="14"/>
      <c r="P411" s="42"/>
      <c r="Q411" s="44"/>
    </row>
    <row r="412" spans="2:17" s="18" customFormat="1" ht="15">
      <c r="B412" s="120" t="s">
        <v>212</v>
      </c>
      <c r="C412" s="121"/>
      <c r="D412" s="121"/>
      <c r="E412" s="121"/>
      <c r="F412" s="121"/>
      <c r="G412" s="121"/>
      <c r="H412" s="121"/>
      <c r="I412" s="121"/>
      <c r="J412" s="121"/>
      <c r="K412" s="121"/>
      <c r="L412" s="121"/>
      <c r="M412" s="14"/>
      <c r="N412" s="14"/>
      <c r="O412" s="14"/>
      <c r="P412" s="42"/>
      <c r="Q412" s="44"/>
    </row>
    <row r="413" spans="2:17" s="18" customFormat="1" ht="15">
      <c r="B413" s="120" t="s">
        <v>213</v>
      </c>
      <c r="C413" s="121"/>
      <c r="D413" s="121"/>
      <c r="E413" s="121"/>
      <c r="F413" s="121"/>
      <c r="G413" s="121"/>
      <c r="H413" s="121"/>
      <c r="I413" s="121"/>
      <c r="J413" s="121"/>
      <c r="K413" s="121"/>
      <c r="L413" s="121"/>
      <c r="M413" s="14"/>
      <c r="N413" s="14"/>
      <c r="O413" s="14"/>
      <c r="P413" s="42"/>
      <c r="Q413" s="44"/>
    </row>
    <row r="414" spans="2:17" s="18" customFormat="1" ht="15">
      <c r="B414" s="120" t="s">
        <v>214</v>
      </c>
      <c r="C414" s="121"/>
      <c r="D414" s="121"/>
      <c r="E414" s="121"/>
      <c r="F414" s="121"/>
      <c r="G414" s="121"/>
      <c r="H414" s="121"/>
      <c r="I414" s="121"/>
      <c r="J414" s="121"/>
      <c r="K414" s="121"/>
      <c r="L414" s="121"/>
      <c r="M414" s="14"/>
      <c r="N414" s="14"/>
      <c r="O414" s="14"/>
      <c r="P414" s="42"/>
      <c r="Q414" s="44"/>
    </row>
    <row r="415" spans="2:17" s="18" customFormat="1" ht="15">
      <c r="B415" s="120"/>
      <c r="C415" s="121"/>
      <c r="D415" s="121"/>
      <c r="E415" s="121"/>
      <c r="F415" s="121"/>
      <c r="G415" s="121"/>
      <c r="H415" s="121"/>
      <c r="I415" s="121"/>
      <c r="J415" s="121"/>
      <c r="K415" s="121"/>
      <c r="L415" s="121"/>
      <c r="M415" s="14"/>
      <c r="N415" s="14"/>
      <c r="O415" s="14"/>
      <c r="P415" s="42"/>
      <c r="Q415" s="44"/>
    </row>
    <row r="416" spans="2:17" s="18" customFormat="1" ht="15">
      <c r="B416" s="120" t="s">
        <v>215</v>
      </c>
      <c r="C416" s="121"/>
      <c r="D416" s="121"/>
      <c r="E416" s="121"/>
      <c r="F416" s="121"/>
      <c r="G416" s="121"/>
      <c r="H416" s="121"/>
      <c r="I416" s="121"/>
      <c r="J416" s="121"/>
      <c r="K416" s="121"/>
      <c r="L416" s="121"/>
      <c r="M416" s="14"/>
      <c r="N416" s="14"/>
      <c r="O416" s="14"/>
      <c r="P416" s="42"/>
      <c r="Q416" s="44"/>
    </row>
    <row r="417" spans="1:27" ht="15">
      <c r="B417" s="120"/>
      <c r="C417" s="121"/>
      <c r="D417" s="121"/>
      <c r="E417" s="121"/>
      <c r="F417" s="121"/>
      <c r="G417" s="121"/>
      <c r="H417" s="121"/>
      <c r="I417" s="121"/>
      <c r="J417" s="121"/>
      <c r="K417" s="121"/>
      <c r="L417" s="121"/>
      <c r="M417" s="41"/>
      <c r="N417" s="41"/>
      <c r="O417" s="41"/>
      <c r="P417" s="44"/>
      <c r="Q417" s="44"/>
    </row>
    <row r="418" spans="1:27" ht="15">
      <c r="B418" s="120" t="s">
        <v>134</v>
      </c>
      <c r="C418" s="121"/>
      <c r="D418" s="121"/>
      <c r="E418" s="121"/>
      <c r="F418" s="121"/>
      <c r="G418" s="121"/>
      <c r="H418" s="121"/>
      <c r="I418" s="121"/>
      <c r="J418" s="121"/>
      <c r="K418" s="121"/>
      <c r="L418" s="121"/>
      <c r="M418" s="41"/>
      <c r="N418" s="41"/>
      <c r="O418" s="41"/>
      <c r="P418" s="44"/>
      <c r="Q418" s="44"/>
    </row>
    <row r="419" spans="1:27" ht="15">
      <c r="B419" s="41"/>
      <c r="C419" s="120" t="s">
        <v>216</v>
      </c>
      <c r="D419" s="120"/>
      <c r="E419" s="120"/>
      <c r="F419" s="120"/>
      <c r="G419" s="120"/>
      <c r="H419" s="120"/>
      <c r="I419" s="120"/>
      <c r="J419" s="120"/>
      <c r="K419" s="120"/>
      <c r="L419" s="120"/>
      <c r="M419" s="14"/>
      <c r="N419" s="14"/>
      <c r="O419" s="14"/>
      <c r="P419" s="44"/>
      <c r="Q419" s="44"/>
      <c r="Z419" s="78"/>
      <c r="AA419" s="78"/>
    </row>
    <row r="420" spans="1:27" ht="15">
      <c r="B420" s="41"/>
      <c r="C420" s="120" t="s">
        <v>217</v>
      </c>
      <c r="D420" s="120"/>
      <c r="E420" s="120"/>
      <c r="F420" s="120"/>
      <c r="G420" s="120"/>
      <c r="H420" s="120"/>
      <c r="I420" s="120"/>
      <c r="J420" s="120"/>
      <c r="K420" s="120"/>
      <c r="L420" s="120"/>
      <c r="M420" s="14"/>
      <c r="N420" s="14"/>
      <c r="O420" s="14"/>
      <c r="P420" s="44"/>
      <c r="Q420" s="44"/>
      <c r="Z420" s="78"/>
      <c r="AA420" s="78"/>
    </row>
    <row r="421" spans="1:27" ht="15">
      <c r="B421" s="120"/>
      <c r="C421" s="121"/>
      <c r="D421" s="121"/>
      <c r="E421" s="121"/>
      <c r="F421" s="121"/>
      <c r="G421" s="121"/>
      <c r="H421" s="121"/>
      <c r="I421" s="121"/>
      <c r="J421" s="121"/>
      <c r="K421" s="121"/>
      <c r="L421" s="121"/>
      <c r="M421" s="51"/>
      <c r="N421" s="51"/>
      <c r="O421" s="51"/>
    </row>
    <row r="422" spans="1:27" ht="15">
      <c r="A422" s="50" t="s">
        <v>218</v>
      </c>
      <c r="B422" s="120" t="s">
        <v>219</v>
      </c>
      <c r="C422" s="121"/>
      <c r="D422" s="121"/>
      <c r="E422" s="121"/>
      <c r="F422" s="121"/>
      <c r="G422" s="121"/>
      <c r="H422" s="121"/>
      <c r="I422" s="121"/>
      <c r="J422" s="121"/>
      <c r="K422" s="121"/>
      <c r="L422" s="121"/>
      <c r="M422" s="51"/>
      <c r="N422" s="51"/>
      <c r="O422" s="51"/>
    </row>
    <row r="424" spans="1:27">
      <c r="B424" s="125" t="s">
        <v>220</v>
      </c>
      <c r="C424" s="126"/>
      <c r="D424" s="126"/>
      <c r="E424" s="126"/>
      <c r="F424" s="126"/>
      <c r="G424" s="126"/>
      <c r="H424" s="126"/>
      <c r="I424" s="126"/>
      <c r="J424" s="126"/>
      <c r="K424" s="126"/>
      <c r="L424" s="127"/>
    </row>
  </sheetData>
  <mergeCells count="68">
    <mergeCell ref="B422:L422"/>
    <mergeCell ref="B424:L424"/>
    <mergeCell ref="B416:L416"/>
    <mergeCell ref="B417:L417"/>
    <mergeCell ref="B418:L418"/>
    <mergeCell ref="C419:L419"/>
    <mergeCell ref="C420:L420"/>
    <mergeCell ref="B421:L421"/>
    <mergeCell ref="B415:L415"/>
    <mergeCell ref="B404:L404"/>
    <mergeCell ref="B405:L405"/>
    <mergeCell ref="B406:L406"/>
    <mergeCell ref="B407:L407"/>
    <mergeCell ref="B408:L408"/>
    <mergeCell ref="B409:L409"/>
    <mergeCell ref="B410:L410"/>
    <mergeCell ref="B411:L411"/>
    <mergeCell ref="B412:L412"/>
    <mergeCell ref="B413:L413"/>
    <mergeCell ref="B414:L414"/>
    <mergeCell ref="B403:L403"/>
    <mergeCell ref="B392:L392"/>
    <mergeCell ref="B393:L393"/>
    <mergeCell ref="B394:L394"/>
    <mergeCell ref="B395:L395"/>
    <mergeCell ref="B396:L396"/>
    <mergeCell ref="B397:L397"/>
    <mergeCell ref="B398:L398"/>
    <mergeCell ref="B399:L399"/>
    <mergeCell ref="B400:L400"/>
    <mergeCell ref="B401:L401"/>
    <mergeCell ref="B402:L402"/>
    <mergeCell ref="B391:L391"/>
    <mergeCell ref="B25:L25"/>
    <mergeCell ref="U26:W26"/>
    <mergeCell ref="B382:L382"/>
    <mergeCell ref="B383:L383"/>
    <mergeCell ref="B384:L384"/>
    <mergeCell ref="B385:L385"/>
    <mergeCell ref="B386:L386"/>
    <mergeCell ref="B387:L387"/>
    <mergeCell ref="B388:L388"/>
    <mergeCell ref="B389:L389"/>
    <mergeCell ref="B390:L390"/>
    <mergeCell ref="B24:L24"/>
    <mergeCell ref="B13:L13"/>
    <mergeCell ref="B14:L14"/>
    <mergeCell ref="B15:L15"/>
    <mergeCell ref="B16:L16"/>
    <mergeCell ref="B17:L17"/>
    <mergeCell ref="B18:L18"/>
    <mergeCell ref="B19:L19"/>
    <mergeCell ref="B20:L20"/>
    <mergeCell ref="B21:L21"/>
    <mergeCell ref="B22:L22"/>
    <mergeCell ref="B23:L23"/>
    <mergeCell ref="B12:L12"/>
    <mergeCell ref="B1:L1"/>
    <mergeCell ref="B2:L2"/>
    <mergeCell ref="B3:L3"/>
    <mergeCell ref="B4:L4"/>
    <mergeCell ref="B5:L5"/>
    <mergeCell ref="B6:L6"/>
    <mergeCell ref="B7:L7"/>
    <mergeCell ref="B8:L8"/>
    <mergeCell ref="B9:L9"/>
    <mergeCell ref="B10:L10"/>
    <mergeCell ref="B11:L11"/>
  </mergeCells>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2"/>
  <sheetViews>
    <sheetView workbookViewId="0">
      <pane xSplit="1" ySplit="8" topLeftCell="B9" activePane="bottomRight" state="frozen"/>
      <selection pane="topRight" activeCell="B1" sqref="B1"/>
      <selection pane="bottomLeft" activeCell="A9" sqref="A9"/>
      <selection pane="bottomRight" activeCell="O34" sqref="O34"/>
    </sheetView>
  </sheetViews>
  <sheetFormatPr baseColWidth="10" defaultColWidth="8.83203125" defaultRowHeight="15" x14ac:dyDescent="0"/>
  <cols>
    <col min="2" max="2" width="10.5" bestFit="1" customWidth="1"/>
  </cols>
  <sheetData>
    <row r="1" spans="1:11">
      <c r="A1" s="9" t="s">
        <v>51</v>
      </c>
    </row>
    <row r="3" spans="1:11">
      <c r="A3" t="s">
        <v>52</v>
      </c>
      <c r="J3" t="s">
        <v>53</v>
      </c>
      <c r="K3" t="s">
        <v>54</v>
      </c>
    </row>
    <row r="4" spans="1:11">
      <c r="A4" t="s">
        <v>55</v>
      </c>
      <c r="J4" t="s">
        <v>56</v>
      </c>
    </row>
    <row r="5" spans="1:11">
      <c r="A5" s="10" t="s">
        <v>57</v>
      </c>
      <c r="J5" t="s">
        <v>58</v>
      </c>
    </row>
    <row r="6" spans="1:11">
      <c r="A6" s="10" t="s">
        <v>59</v>
      </c>
      <c r="J6" t="s">
        <v>60</v>
      </c>
    </row>
    <row r="8" spans="1:11" s="9" customFormat="1" ht="12">
      <c r="A8" s="9" t="s">
        <v>0</v>
      </c>
      <c r="B8" s="9" t="s">
        <v>2</v>
      </c>
    </row>
    <row r="9" spans="1:11">
      <c r="A9">
        <v>1700</v>
      </c>
      <c r="B9">
        <v>130</v>
      </c>
    </row>
    <row r="10" spans="1:11">
      <c r="A10">
        <v>1701</v>
      </c>
      <c r="B10">
        <v>141</v>
      </c>
    </row>
    <row r="11" spans="1:11">
      <c r="A11">
        <v>1702</v>
      </c>
      <c r="B11">
        <v>136</v>
      </c>
    </row>
    <row r="12" spans="1:11">
      <c r="A12">
        <v>1703</v>
      </c>
      <c r="B12">
        <v>118</v>
      </c>
    </row>
    <row r="13" spans="1:11">
      <c r="A13">
        <v>1704</v>
      </c>
      <c r="B13">
        <v>108</v>
      </c>
    </row>
    <row r="14" spans="1:11">
      <c r="A14">
        <v>1705</v>
      </c>
      <c r="B14">
        <v>104</v>
      </c>
    </row>
    <row r="15" spans="1:11">
      <c r="A15">
        <v>1706</v>
      </c>
      <c r="B15">
        <v>111</v>
      </c>
    </row>
    <row r="16" spans="1:11">
      <c r="A16">
        <v>1707</v>
      </c>
      <c r="B16">
        <v>119</v>
      </c>
    </row>
    <row r="17" spans="1:2">
      <c r="A17">
        <v>1708</v>
      </c>
      <c r="B17">
        <v>126</v>
      </c>
    </row>
    <row r="18" spans="1:2">
      <c r="A18">
        <v>1709</v>
      </c>
      <c r="B18">
        <v>116</v>
      </c>
    </row>
    <row r="19" spans="1:2">
      <c r="A19">
        <v>1710</v>
      </c>
      <c r="B19">
        <v>100</v>
      </c>
    </row>
    <row r="20" spans="1:2">
      <c r="A20">
        <v>1711</v>
      </c>
      <c r="B20">
        <v>105</v>
      </c>
    </row>
    <row r="21" spans="1:2">
      <c r="A21">
        <v>1712</v>
      </c>
      <c r="B21">
        <v>119</v>
      </c>
    </row>
    <row r="22" spans="1:2">
      <c r="A22">
        <v>1713</v>
      </c>
      <c r="B22">
        <v>128</v>
      </c>
    </row>
    <row r="23" spans="1:2">
      <c r="A23">
        <v>1714</v>
      </c>
      <c r="B23">
        <v>128</v>
      </c>
    </row>
    <row r="24" spans="1:2">
      <c r="A24">
        <v>1715</v>
      </c>
      <c r="B24">
        <v>88</v>
      </c>
    </row>
    <row r="25" spans="1:2">
      <c r="A25">
        <v>1716</v>
      </c>
      <c r="B25">
        <v>72</v>
      </c>
    </row>
    <row r="26" spans="1:2">
      <c r="A26">
        <v>1717</v>
      </c>
      <c r="B26">
        <v>76</v>
      </c>
    </row>
    <row r="27" spans="1:2">
      <c r="A27">
        <v>1718</v>
      </c>
      <c r="B27">
        <v>88</v>
      </c>
    </row>
    <row r="28" spans="1:2">
      <c r="A28">
        <v>1719</v>
      </c>
      <c r="B28">
        <v>92</v>
      </c>
    </row>
    <row r="29" spans="1:2">
      <c r="A29">
        <v>1720</v>
      </c>
      <c r="B29">
        <v>76</v>
      </c>
    </row>
    <row r="30" spans="1:2">
      <c r="A30">
        <v>1721</v>
      </c>
      <c r="B30">
        <v>71</v>
      </c>
    </row>
    <row r="31" spans="1:2">
      <c r="A31">
        <v>1722</v>
      </c>
      <c r="B31">
        <v>75</v>
      </c>
    </row>
    <row r="32" spans="1:2">
      <c r="A32">
        <v>1723</v>
      </c>
      <c r="B32">
        <v>76</v>
      </c>
    </row>
    <row r="33" spans="1:2">
      <c r="A33">
        <v>1724</v>
      </c>
      <c r="B33">
        <v>80</v>
      </c>
    </row>
    <row r="34" spans="1:2">
      <c r="A34">
        <v>1725</v>
      </c>
      <c r="B34">
        <v>95</v>
      </c>
    </row>
    <row r="35" spans="1:2">
      <c r="A35">
        <v>1726</v>
      </c>
      <c r="B35">
        <v>92</v>
      </c>
    </row>
    <row r="36" spans="1:2">
      <c r="A36">
        <v>1727</v>
      </c>
      <c r="B36">
        <v>86</v>
      </c>
    </row>
    <row r="37" spans="1:2">
      <c r="A37">
        <v>1728</v>
      </c>
      <c r="B37">
        <v>81</v>
      </c>
    </row>
    <row r="38" spans="1:2">
      <c r="A38">
        <v>1729</v>
      </c>
      <c r="B38">
        <v>80</v>
      </c>
    </row>
    <row r="39" spans="1:2">
      <c r="A39">
        <v>1730</v>
      </c>
      <c r="B39">
        <v>80</v>
      </c>
    </row>
    <row r="40" spans="1:2">
      <c r="A40">
        <v>1731</v>
      </c>
      <c r="B40">
        <v>71</v>
      </c>
    </row>
    <row r="41" spans="1:2">
      <c r="A41">
        <v>1732</v>
      </c>
      <c r="B41">
        <v>67</v>
      </c>
    </row>
    <row r="42" spans="1:2">
      <c r="A42">
        <v>1733</v>
      </c>
      <c r="B42">
        <v>66</v>
      </c>
    </row>
    <row r="43" spans="1:2">
      <c r="A43">
        <v>1734</v>
      </c>
      <c r="B43">
        <v>67</v>
      </c>
    </row>
    <row r="44" spans="1:2">
      <c r="A44">
        <v>1735</v>
      </c>
      <c r="B44">
        <v>68</v>
      </c>
    </row>
    <row r="45" spans="1:2">
      <c r="A45">
        <v>1736</v>
      </c>
      <c r="B45">
        <v>65</v>
      </c>
    </row>
    <row r="46" spans="1:2">
      <c r="A46">
        <v>1737</v>
      </c>
      <c r="B46">
        <v>66</v>
      </c>
    </row>
    <row r="47" spans="1:2">
      <c r="A47">
        <v>1738</v>
      </c>
      <c r="B47">
        <v>71</v>
      </c>
    </row>
    <row r="48" spans="1:2">
      <c r="A48">
        <v>1739</v>
      </c>
      <c r="B48">
        <v>63</v>
      </c>
    </row>
    <row r="49" spans="1:2">
      <c r="A49">
        <v>1740</v>
      </c>
      <c r="B49">
        <v>66</v>
      </c>
    </row>
    <row r="50" spans="1:2">
      <c r="A50">
        <v>1741</v>
      </c>
      <c r="B50">
        <v>91</v>
      </c>
    </row>
    <row r="51" spans="1:2">
      <c r="A51">
        <v>1742</v>
      </c>
      <c r="B51">
        <v>81</v>
      </c>
    </row>
    <row r="52" spans="1:2">
      <c r="A52">
        <v>1743</v>
      </c>
      <c r="B52">
        <v>71</v>
      </c>
    </row>
    <row r="53" spans="1:2">
      <c r="A53">
        <v>1744</v>
      </c>
      <c r="B53">
        <v>66</v>
      </c>
    </row>
    <row r="54" spans="1:2">
      <c r="A54">
        <v>1745</v>
      </c>
      <c r="B54">
        <v>64</v>
      </c>
    </row>
    <row r="55" spans="1:2">
      <c r="A55">
        <v>1746</v>
      </c>
      <c r="B55">
        <v>65</v>
      </c>
    </row>
    <row r="56" spans="1:2">
      <c r="A56">
        <v>1747</v>
      </c>
      <c r="B56">
        <v>71</v>
      </c>
    </row>
    <row r="57" spans="1:2">
      <c r="A57">
        <v>1748</v>
      </c>
      <c r="B57">
        <v>82</v>
      </c>
    </row>
    <row r="58" spans="1:2">
      <c r="A58">
        <v>1749</v>
      </c>
      <c r="B58">
        <v>84</v>
      </c>
    </row>
    <row r="59" spans="1:2">
      <c r="A59">
        <v>1750</v>
      </c>
      <c r="B59">
        <v>84</v>
      </c>
    </row>
    <row r="60" spans="1:2">
      <c r="A60">
        <v>1751</v>
      </c>
      <c r="B60">
        <v>85</v>
      </c>
    </row>
    <row r="61" spans="1:2">
      <c r="A61">
        <v>1752</v>
      </c>
      <c r="B61">
        <v>87</v>
      </c>
    </row>
    <row r="62" spans="1:2">
      <c r="A62">
        <v>1753</v>
      </c>
      <c r="B62">
        <v>84</v>
      </c>
    </row>
    <row r="63" spans="1:2">
      <c r="A63">
        <v>1754</v>
      </c>
      <c r="B63">
        <v>81</v>
      </c>
    </row>
    <row r="64" spans="1:2">
      <c r="A64">
        <v>1755</v>
      </c>
      <c r="B64">
        <v>79</v>
      </c>
    </row>
    <row r="65" spans="1:2">
      <c r="A65">
        <v>1756</v>
      </c>
      <c r="B65">
        <v>77</v>
      </c>
    </row>
    <row r="66" spans="1:2">
      <c r="A66">
        <v>1757</v>
      </c>
      <c r="B66">
        <v>81</v>
      </c>
    </row>
    <row r="67" spans="1:2">
      <c r="A67">
        <v>1758</v>
      </c>
      <c r="B67">
        <v>87</v>
      </c>
    </row>
    <row r="68" spans="1:2">
      <c r="A68">
        <v>1759</v>
      </c>
      <c r="B68">
        <v>99</v>
      </c>
    </row>
    <row r="69" spans="1:2">
      <c r="A69">
        <v>1760</v>
      </c>
      <c r="B69">
        <v>96</v>
      </c>
    </row>
    <row r="70" spans="1:2">
      <c r="A70">
        <v>1761</v>
      </c>
      <c r="B70">
        <v>90</v>
      </c>
    </row>
    <row r="71" spans="1:2">
      <c r="A71">
        <v>1762</v>
      </c>
      <c r="B71">
        <v>95</v>
      </c>
    </row>
    <row r="72" spans="1:2">
      <c r="A72">
        <v>1763</v>
      </c>
      <c r="B72">
        <v>95</v>
      </c>
    </row>
    <row r="73" spans="1:2">
      <c r="A73">
        <v>1764</v>
      </c>
      <c r="B73">
        <v>88</v>
      </c>
    </row>
    <row r="74" spans="1:2">
      <c r="A74">
        <v>1765</v>
      </c>
      <c r="B74">
        <v>89</v>
      </c>
    </row>
    <row r="75" spans="1:2">
      <c r="A75">
        <v>1766</v>
      </c>
      <c r="B75">
        <v>98</v>
      </c>
    </row>
    <row r="76" spans="1:2">
      <c r="A76">
        <v>1767</v>
      </c>
      <c r="B76">
        <v>95</v>
      </c>
    </row>
    <row r="77" spans="1:2">
      <c r="A77">
        <v>1768</v>
      </c>
      <c r="B77">
        <v>90</v>
      </c>
    </row>
    <row r="78" spans="1:2">
      <c r="A78">
        <v>1769</v>
      </c>
      <c r="B78">
        <v>93</v>
      </c>
    </row>
    <row r="79" spans="1:2">
      <c r="A79">
        <v>1770</v>
      </c>
      <c r="B79">
        <v>100</v>
      </c>
    </row>
    <row r="80" spans="1:2">
      <c r="A80">
        <v>1771</v>
      </c>
      <c r="B80">
        <v>96</v>
      </c>
    </row>
    <row r="81" spans="1:2">
      <c r="A81">
        <v>1772</v>
      </c>
      <c r="B81">
        <v>109</v>
      </c>
    </row>
    <row r="82" spans="1:2">
      <c r="A82">
        <v>1773</v>
      </c>
      <c r="B82">
        <v>101</v>
      </c>
    </row>
    <row r="83" spans="1:2">
      <c r="A83">
        <v>1774</v>
      </c>
      <c r="B83">
        <v>97</v>
      </c>
    </row>
    <row r="84" spans="1:2">
      <c r="A84">
        <v>1775</v>
      </c>
      <c r="B84">
        <v>92</v>
      </c>
    </row>
    <row r="85" spans="1:2">
      <c r="A85">
        <v>1776</v>
      </c>
      <c r="B85">
        <v>105</v>
      </c>
    </row>
    <row r="86" spans="1:2">
      <c r="A86">
        <v>1777</v>
      </c>
      <c r="B86">
        <v>128</v>
      </c>
    </row>
    <row r="87" spans="1:2">
      <c r="A87">
        <v>1778</v>
      </c>
      <c r="B87">
        <v>166</v>
      </c>
    </row>
    <row r="88" spans="1:2">
      <c r="A88">
        <v>1779</v>
      </c>
      <c r="B88">
        <v>147</v>
      </c>
    </row>
    <row r="89" spans="1:2">
      <c r="A89">
        <v>1780</v>
      </c>
      <c r="B89">
        <v>165</v>
      </c>
    </row>
    <row r="90" spans="1:2">
      <c r="A90">
        <v>1781</v>
      </c>
      <c r="B90">
        <v>133</v>
      </c>
    </row>
    <row r="91" spans="1:2">
      <c r="A91">
        <v>1782</v>
      </c>
      <c r="B91">
        <v>146</v>
      </c>
    </row>
    <row r="92" spans="1:2">
      <c r="A92">
        <v>1783</v>
      </c>
      <c r="B92">
        <v>128</v>
      </c>
    </row>
    <row r="93" spans="1:2">
      <c r="A93">
        <v>1784</v>
      </c>
      <c r="B93">
        <v>123</v>
      </c>
    </row>
    <row r="94" spans="1:2">
      <c r="A94">
        <v>1785</v>
      </c>
      <c r="B94">
        <v>117</v>
      </c>
    </row>
    <row r="95" spans="1:2">
      <c r="A95">
        <v>1786</v>
      </c>
      <c r="B95">
        <v>114</v>
      </c>
    </row>
    <row r="96" spans="1:2">
      <c r="A96">
        <v>1787</v>
      </c>
      <c r="B96">
        <v>112</v>
      </c>
    </row>
    <row r="97" spans="1:2">
      <c r="A97">
        <v>1788</v>
      </c>
      <c r="B97">
        <v>107</v>
      </c>
    </row>
    <row r="98" spans="1:2">
      <c r="A98">
        <v>1789</v>
      </c>
      <c r="B98">
        <v>106</v>
      </c>
    </row>
    <row r="99" spans="1:2">
      <c r="A99">
        <v>1790</v>
      </c>
      <c r="B99">
        <v>110</v>
      </c>
    </row>
    <row r="100" spans="1:2">
      <c r="A100">
        <v>1791</v>
      </c>
      <c r="B100">
        <v>113</v>
      </c>
    </row>
    <row r="101" spans="1:2">
      <c r="A101">
        <v>1792</v>
      </c>
      <c r="B101">
        <v>115</v>
      </c>
    </row>
    <row r="102" spans="1:2">
      <c r="A102">
        <v>1793</v>
      </c>
      <c r="B102">
        <v>119</v>
      </c>
    </row>
    <row r="103" spans="1:2">
      <c r="A103">
        <v>1794</v>
      </c>
      <c r="B103">
        <v>132</v>
      </c>
    </row>
    <row r="104" spans="1:2">
      <c r="A104">
        <v>1795</v>
      </c>
      <c r="B104">
        <v>151</v>
      </c>
    </row>
    <row r="105" spans="1:2">
      <c r="A105">
        <v>1796</v>
      </c>
      <c r="B105">
        <v>159</v>
      </c>
    </row>
    <row r="106" spans="1:2">
      <c r="A106">
        <v>1797</v>
      </c>
      <c r="B106">
        <v>153</v>
      </c>
    </row>
    <row r="107" spans="1:2">
      <c r="A107">
        <v>1798</v>
      </c>
      <c r="B107">
        <v>148</v>
      </c>
    </row>
    <row r="108" spans="1:2">
      <c r="A108">
        <v>1799</v>
      </c>
      <c r="B108">
        <v>148</v>
      </c>
    </row>
    <row r="109" spans="1:2">
      <c r="A109">
        <v>1800</v>
      </c>
      <c r="B109">
        <v>151</v>
      </c>
    </row>
    <row r="110" spans="1:2">
      <c r="A110">
        <v>1801</v>
      </c>
      <c r="B110">
        <v>153</v>
      </c>
    </row>
    <row r="111" spans="1:2">
      <c r="A111">
        <v>1802</v>
      </c>
      <c r="B111">
        <v>129</v>
      </c>
    </row>
    <row r="112" spans="1:2">
      <c r="A112">
        <v>1803</v>
      </c>
      <c r="B112">
        <v>136</v>
      </c>
    </row>
    <row r="113" spans="1:2">
      <c r="A113">
        <v>1804</v>
      </c>
      <c r="B113">
        <v>142</v>
      </c>
    </row>
    <row r="114" spans="1:2">
      <c r="A114">
        <v>1805</v>
      </c>
      <c r="B114">
        <v>141</v>
      </c>
    </row>
    <row r="115" spans="1:2">
      <c r="A115">
        <v>1806</v>
      </c>
      <c r="B115">
        <v>147</v>
      </c>
    </row>
    <row r="116" spans="1:2">
      <c r="A116">
        <v>1807</v>
      </c>
      <c r="B116">
        <v>139</v>
      </c>
    </row>
    <row r="117" spans="1:2">
      <c r="A117">
        <v>1808</v>
      </c>
      <c r="B117">
        <v>151</v>
      </c>
    </row>
    <row r="118" spans="1:2">
      <c r="A118">
        <v>1809</v>
      </c>
      <c r="B118">
        <v>148</v>
      </c>
    </row>
    <row r="119" spans="1:2">
      <c r="A119">
        <v>1810</v>
      </c>
      <c r="B119">
        <v>148</v>
      </c>
    </row>
    <row r="120" spans="1:2">
      <c r="A120">
        <v>1811</v>
      </c>
      <c r="B120">
        <v>158</v>
      </c>
    </row>
    <row r="121" spans="1:2">
      <c r="A121">
        <v>1812</v>
      </c>
      <c r="B121">
        <v>160</v>
      </c>
    </row>
    <row r="122" spans="1:2">
      <c r="A122">
        <v>1813</v>
      </c>
      <c r="B122">
        <v>192</v>
      </c>
    </row>
    <row r="123" spans="1:2">
      <c r="A123">
        <v>1814</v>
      </c>
      <c r="B123">
        <v>211</v>
      </c>
    </row>
    <row r="124" spans="1:2">
      <c r="A124">
        <v>1815</v>
      </c>
      <c r="B124">
        <v>185</v>
      </c>
    </row>
    <row r="125" spans="1:2">
      <c r="A125">
        <v>1816</v>
      </c>
      <c r="B125">
        <v>169</v>
      </c>
    </row>
    <row r="126" spans="1:2">
      <c r="A126">
        <v>1817</v>
      </c>
      <c r="B126">
        <v>160</v>
      </c>
    </row>
    <row r="127" spans="1:2">
      <c r="A127">
        <v>1818</v>
      </c>
      <c r="B127">
        <v>153</v>
      </c>
    </row>
    <row r="128" spans="1:2">
      <c r="A128">
        <v>1819</v>
      </c>
      <c r="B128">
        <v>153</v>
      </c>
    </row>
    <row r="129" spans="1:2">
      <c r="A129">
        <v>1820</v>
      </c>
      <c r="B129">
        <v>141</v>
      </c>
    </row>
    <row r="130" spans="1:2">
      <c r="A130">
        <v>1821</v>
      </c>
      <c r="B130">
        <v>136</v>
      </c>
    </row>
    <row r="131" spans="1:2">
      <c r="A131">
        <v>1822</v>
      </c>
      <c r="B131">
        <v>141</v>
      </c>
    </row>
    <row r="132" spans="1:2">
      <c r="A132">
        <v>1823</v>
      </c>
      <c r="B132">
        <v>126</v>
      </c>
    </row>
    <row r="133" spans="1:2">
      <c r="A133">
        <v>1824</v>
      </c>
      <c r="B133">
        <v>116</v>
      </c>
    </row>
    <row r="134" spans="1:2">
      <c r="A134">
        <v>1825</v>
      </c>
      <c r="B134">
        <v>119</v>
      </c>
    </row>
    <row r="135" spans="1:2">
      <c r="A135">
        <v>1826</v>
      </c>
      <c r="B135">
        <v>119</v>
      </c>
    </row>
    <row r="136" spans="1:2">
      <c r="A136">
        <v>1827</v>
      </c>
      <c r="B136">
        <v>120</v>
      </c>
    </row>
    <row r="137" spans="1:2">
      <c r="A137">
        <v>1828</v>
      </c>
      <c r="B137">
        <v>114</v>
      </c>
    </row>
    <row r="138" spans="1:2">
      <c r="A138">
        <v>1829</v>
      </c>
      <c r="B138">
        <v>112</v>
      </c>
    </row>
    <row r="139" spans="1:2">
      <c r="A139">
        <v>1830</v>
      </c>
      <c r="B139">
        <v>111</v>
      </c>
    </row>
    <row r="140" spans="1:2">
      <c r="A140">
        <v>1831</v>
      </c>
      <c r="B140">
        <v>104</v>
      </c>
    </row>
    <row r="141" spans="1:2">
      <c r="A141">
        <v>1832</v>
      </c>
      <c r="B141">
        <v>103</v>
      </c>
    </row>
    <row r="142" spans="1:2">
      <c r="A142">
        <v>1833</v>
      </c>
      <c r="B142">
        <v>101</v>
      </c>
    </row>
    <row r="143" spans="1:2">
      <c r="A143">
        <v>1834</v>
      </c>
      <c r="B143">
        <v>103</v>
      </c>
    </row>
    <row r="144" spans="1:2">
      <c r="A144">
        <v>1835</v>
      </c>
      <c r="B144">
        <v>106</v>
      </c>
    </row>
    <row r="145" spans="1:2">
      <c r="A145">
        <v>1836</v>
      </c>
      <c r="B145">
        <v>112</v>
      </c>
    </row>
    <row r="146" spans="1:2">
      <c r="A146">
        <v>1837</v>
      </c>
      <c r="B146">
        <v>115</v>
      </c>
    </row>
    <row r="147" spans="1:2">
      <c r="A147">
        <v>1838</v>
      </c>
      <c r="B147">
        <v>112</v>
      </c>
    </row>
    <row r="148" spans="1:2">
      <c r="A148">
        <v>1839</v>
      </c>
      <c r="B148">
        <v>112</v>
      </c>
    </row>
    <row r="149" spans="1:2">
      <c r="A149">
        <v>1840</v>
      </c>
      <c r="B149">
        <v>104</v>
      </c>
    </row>
    <row r="150" spans="1:2">
      <c r="A150">
        <v>1841</v>
      </c>
      <c r="B150">
        <v>105</v>
      </c>
    </row>
    <row r="151" spans="1:2">
      <c r="A151">
        <v>1842</v>
      </c>
      <c r="B151">
        <v>98</v>
      </c>
    </row>
    <row r="152" spans="1:2">
      <c r="A152">
        <v>1843</v>
      </c>
      <c r="B152">
        <v>89</v>
      </c>
    </row>
    <row r="153" spans="1:2">
      <c r="A153">
        <v>1844</v>
      </c>
      <c r="B153">
        <v>90</v>
      </c>
    </row>
    <row r="154" spans="1:2">
      <c r="A154">
        <v>1845</v>
      </c>
      <c r="B154">
        <v>91</v>
      </c>
    </row>
    <row r="155" spans="1:2">
      <c r="A155">
        <v>1846</v>
      </c>
      <c r="B155">
        <v>92</v>
      </c>
    </row>
    <row r="156" spans="1:2">
      <c r="A156">
        <v>1847</v>
      </c>
      <c r="B156">
        <v>99</v>
      </c>
    </row>
    <row r="157" spans="1:2">
      <c r="A157">
        <v>1848</v>
      </c>
      <c r="B157">
        <v>95</v>
      </c>
    </row>
    <row r="158" spans="1:2">
      <c r="A158">
        <v>1849</v>
      </c>
      <c r="B158">
        <v>92</v>
      </c>
    </row>
    <row r="159" spans="1:2">
      <c r="A159">
        <v>1850</v>
      </c>
      <c r="B159">
        <v>94</v>
      </c>
    </row>
    <row r="160" spans="1:2">
      <c r="A160">
        <v>1851</v>
      </c>
      <c r="B160">
        <v>92</v>
      </c>
    </row>
    <row r="161" spans="1:2">
      <c r="A161">
        <v>1852</v>
      </c>
      <c r="B161">
        <v>93</v>
      </c>
    </row>
    <row r="162" spans="1:2">
      <c r="A162">
        <v>1853</v>
      </c>
      <c r="B162">
        <v>93</v>
      </c>
    </row>
    <row r="163" spans="1:2">
      <c r="A163">
        <v>1854</v>
      </c>
      <c r="B163">
        <v>101</v>
      </c>
    </row>
    <row r="164" spans="1:2">
      <c r="A164">
        <v>1855</v>
      </c>
      <c r="B164">
        <v>104</v>
      </c>
    </row>
    <row r="165" spans="1:2">
      <c r="A165">
        <v>1856</v>
      </c>
      <c r="B165">
        <v>102</v>
      </c>
    </row>
    <row r="166" spans="1:2">
      <c r="A166">
        <v>1857</v>
      </c>
      <c r="B166">
        <v>105</v>
      </c>
    </row>
    <row r="167" spans="1:2">
      <c r="A167">
        <v>1858</v>
      </c>
      <c r="B167">
        <v>99</v>
      </c>
    </row>
    <row r="168" spans="1:2">
      <c r="A168">
        <v>1859</v>
      </c>
      <c r="B168">
        <v>100</v>
      </c>
    </row>
    <row r="169" spans="1:2">
      <c r="A169">
        <v>1860</v>
      </c>
      <c r="B169">
        <v>100</v>
      </c>
    </row>
    <row r="170" spans="1:2">
      <c r="A170">
        <v>1861</v>
      </c>
      <c r="B170">
        <v>106</v>
      </c>
    </row>
    <row r="171" spans="1:2">
      <c r="A171">
        <v>1862</v>
      </c>
      <c r="B171">
        <v>121</v>
      </c>
    </row>
    <row r="172" spans="1:2">
      <c r="A172">
        <v>1863</v>
      </c>
      <c r="B172">
        <v>151</v>
      </c>
    </row>
    <row r="173" spans="1:2">
      <c r="A173">
        <v>1864</v>
      </c>
      <c r="B173">
        <v>189</v>
      </c>
    </row>
    <row r="174" spans="1:2">
      <c r="A174">
        <v>1865</v>
      </c>
      <c r="B174">
        <v>196</v>
      </c>
    </row>
    <row r="175" spans="1:2">
      <c r="A175">
        <v>1866</v>
      </c>
      <c r="B175">
        <v>191</v>
      </c>
    </row>
    <row r="176" spans="1:2">
      <c r="A176">
        <v>1867</v>
      </c>
      <c r="B176">
        <v>178</v>
      </c>
    </row>
    <row r="177" spans="1:2">
      <c r="A177">
        <v>1868</v>
      </c>
      <c r="B177">
        <v>171</v>
      </c>
    </row>
    <row r="178" spans="1:2">
      <c r="A178">
        <v>1869</v>
      </c>
      <c r="B178">
        <v>164</v>
      </c>
    </row>
    <row r="179" spans="1:2">
      <c r="A179">
        <v>1870</v>
      </c>
      <c r="B179">
        <v>157</v>
      </c>
    </row>
    <row r="180" spans="1:2">
      <c r="A180">
        <v>1871</v>
      </c>
      <c r="B180">
        <v>147</v>
      </c>
    </row>
    <row r="181" spans="1:2">
      <c r="A181">
        <v>1872</v>
      </c>
      <c r="B181">
        <v>147</v>
      </c>
    </row>
    <row r="182" spans="1:2">
      <c r="A182">
        <v>1873</v>
      </c>
      <c r="B182">
        <v>144</v>
      </c>
    </row>
    <row r="183" spans="1:2">
      <c r="A183">
        <v>1874</v>
      </c>
      <c r="B183">
        <v>137</v>
      </c>
    </row>
    <row r="184" spans="1:2">
      <c r="A184">
        <v>1875</v>
      </c>
      <c r="B184">
        <v>132</v>
      </c>
    </row>
    <row r="185" spans="1:2">
      <c r="A185">
        <v>1876</v>
      </c>
      <c r="B185">
        <v>129</v>
      </c>
    </row>
    <row r="186" spans="1:2">
      <c r="A186">
        <v>1877</v>
      </c>
      <c r="B186">
        <v>126</v>
      </c>
    </row>
    <row r="187" spans="1:2">
      <c r="A187">
        <v>1878</v>
      </c>
      <c r="B187">
        <v>120</v>
      </c>
    </row>
    <row r="188" spans="1:2">
      <c r="A188">
        <v>1879</v>
      </c>
      <c r="B188">
        <v>120</v>
      </c>
    </row>
    <row r="189" spans="1:2">
      <c r="A189">
        <v>1880</v>
      </c>
      <c r="B189">
        <v>123</v>
      </c>
    </row>
    <row r="190" spans="1:2">
      <c r="A190">
        <v>1881</v>
      </c>
      <c r="B190">
        <v>123</v>
      </c>
    </row>
    <row r="191" spans="1:2">
      <c r="A191">
        <v>1882</v>
      </c>
      <c r="B191">
        <v>123</v>
      </c>
    </row>
    <row r="192" spans="1:2">
      <c r="A192">
        <v>1883</v>
      </c>
      <c r="B192">
        <v>121</v>
      </c>
    </row>
    <row r="193" spans="1:2">
      <c r="A193">
        <v>1884</v>
      </c>
      <c r="B193">
        <v>118</v>
      </c>
    </row>
    <row r="194" spans="1:2">
      <c r="A194">
        <v>1885</v>
      </c>
      <c r="B194">
        <v>116</v>
      </c>
    </row>
    <row r="195" spans="1:2">
      <c r="A195">
        <v>1886</v>
      </c>
      <c r="B195">
        <v>113</v>
      </c>
    </row>
    <row r="196" spans="1:2">
      <c r="A196">
        <v>1887</v>
      </c>
      <c r="B196">
        <v>114</v>
      </c>
    </row>
    <row r="197" spans="1:2">
      <c r="A197">
        <v>1888</v>
      </c>
      <c r="B197">
        <v>114</v>
      </c>
    </row>
    <row r="198" spans="1:2">
      <c r="A198">
        <v>1889</v>
      </c>
      <c r="B198">
        <v>111</v>
      </c>
    </row>
    <row r="199" spans="1:2">
      <c r="A199">
        <v>1890</v>
      </c>
      <c r="B199">
        <v>109</v>
      </c>
    </row>
    <row r="200" spans="1:2">
      <c r="A200">
        <v>1891</v>
      </c>
      <c r="B200">
        <v>109</v>
      </c>
    </row>
    <row r="201" spans="1:2">
      <c r="A201">
        <v>1892</v>
      </c>
      <c r="B201">
        <v>109</v>
      </c>
    </row>
    <row r="202" spans="1:2">
      <c r="A202">
        <v>1893</v>
      </c>
      <c r="B202">
        <v>108</v>
      </c>
    </row>
    <row r="203" spans="1:2">
      <c r="A203">
        <v>1894</v>
      </c>
      <c r="B203">
        <v>103</v>
      </c>
    </row>
    <row r="204" spans="1:2">
      <c r="A204">
        <v>1895</v>
      </c>
      <c r="B204">
        <v>101</v>
      </c>
    </row>
    <row r="205" spans="1:2">
      <c r="A205">
        <v>1896</v>
      </c>
      <c r="B205">
        <v>101</v>
      </c>
    </row>
    <row r="206" spans="1:2">
      <c r="A206">
        <v>1897</v>
      </c>
      <c r="B206">
        <v>100</v>
      </c>
    </row>
    <row r="207" spans="1:2">
      <c r="A207">
        <v>1898</v>
      </c>
      <c r="B207">
        <v>100</v>
      </c>
    </row>
    <row r="208" spans="1:2">
      <c r="A208">
        <v>1899</v>
      </c>
      <c r="B208">
        <v>100</v>
      </c>
    </row>
    <row r="209" spans="1:3">
      <c r="A209">
        <v>1900</v>
      </c>
      <c r="B209">
        <v>101</v>
      </c>
    </row>
    <row r="210" spans="1:3">
      <c r="A210">
        <v>1901</v>
      </c>
      <c r="B210">
        <v>102</v>
      </c>
    </row>
    <row r="211" spans="1:3">
      <c r="A211">
        <v>1902</v>
      </c>
      <c r="B211">
        <v>103</v>
      </c>
    </row>
    <row r="212" spans="1:3">
      <c r="A212">
        <v>1903</v>
      </c>
      <c r="B212">
        <v>106</v>
      </c>
    </row>
    <row r="213" spans="1:3">
      <c r="A213">
        <v>1904</v>
      </c>
      <c r="B213">
        <v>107</v>
      </c>
    </row>
    <row r="214" spans="1:3">
      <c r="A214">
        <v>1905</v>
      </c>
      <c r="B214">
        <v>106</v>
      </c>
    </row>
    <row r="215" spans="1:3">
      <c r="A215">
        <v>1906</v>
      </c>
      <c r="B215">
        <v>108</v>
      </c>
    </row>
    <row r="216" spans="1:3">
      <c r="A216">
        <v>1907</v>
      </c>
      <c r="B216">
        <v>113</v>
      </c>
    </row>
    <row r="217" spans="1:3">
      <c r="A217">
        <v>1908</v>
      </c>
      <c r="B217">
        <v>111</v>
      </c>
    </row>
    <row r="218" spans="1:3">
      <c r="A218">
        <v>1909</v>
      </c>
      <c r="B218">
        <v>109</v>
      </c>
    </row>
    <row r="219" spans="1:3">
      <c r="A219">
        <v>1910</v>
      </c>
      <c r="B219">
        <v>114</v>
      </c>
    </row>
    <row r="220" spans="1:3">
      <c r="A220">
        <v>1911</v>
      </c>
      <c r="B220">
        <v>114</v>
      </c>
    </row>
    <row r="221" spans="1:3">
      <c r="A221">
        <v>1912</v>
      </c>
      <c r="B221">
        <v>117</v>
      </c>
    </row>
    <row r="222" spans="1:3">
      <c r="A222">
        <v>1913</v>
      </c>
      <c r="B222">
        <v>119</v>
      </c>
      <c r="C222" s="11"/>
    </row>
    <row r="223" spans="1:3">
      <c r="A223">
        <v>1914</v>
      </c>
      <c r="B223">
        <v>120</v>
      </c>
      <c r="C223" s="11"/>
    </row>
    <row r="224" spans="1:3">
      <c r="A224">
        <v>1915</v>
      </c>
      <c r="B224">
        <v>121</v>
      </c>
      <c r="C224" s="11"/>
    </row>
    <row r="225" spans="1:3">
      <c r="A225">
        <v>1916</v>
      </c>
      <c r="B225">
        <v>130</v>
      </c>
      <c r="C225" s="11"/>
    </row>
    <row r="226" spans="1:3">
      <c r="A226">
        <v>1917</v>
      </c>
      <c r="B226">
        <v>153</v>
      </c>
      <c r="C226" s="11"/>
    </row>
    <row r="227" spans="1:3">
      <c r="A227">
        <v>1918</v>
      </c>
      <c r="B227">
        <v>180</v>
      </c>
      <c r="C227" s="11"/>
    </row>
    <row r="228" spans="1:3">
      <c r="A228">
        <v>1919</v>
      </c>
      <c r="B228">
        <v>207</v>
      </c>
      <c r="C228" s="11"/>
    </row>
    <row r="229" spans="1:3">
      <c r="A229">
        <v>1920</v>
      </c>
      <c r="B229">
        <v>240</v>
      </c>
      <c r="C229" s="11"/>
    </row>
    <row r="230" spans="1:3">
      <c r="A230">
        <v>1921</v>
      </c>
      <c r="B230">
        <v>214</v>
      </c>
      <c r="C230" s="11"/>
    </row>
    <row r="231" spans="1:3">
      <c r="A231">
        <v>1922</v>
      </c>
      <c r="B231">
        <v>200</v>
      </c>
      <c r="C231" s="11"/>
    </row>
    <row r="232" spans="1:3">
      <c r="A232">
        <v>1923</v>
      </c>
      <c r="B232">
        <v>204</v>
      </c>
      <c r="C232" s="11"/>
    </row>
    <row r="233" spans="1:3">
      <c r="A233">
        <v>1924</v>
      </c>
      <c r="B233">
        <v>204</v>
      </c>
      <c r="C233" s="11"/>
    </row>
    <row r="234" spans="1:3">
      <c r="A234">
        <v>1925</v>
      </c>
      <c r="B234">
        <v>210</v>
      </c>
      <c r="C234" s="11"/>
    </row>
    <row r="235" spans="1:3">
      <c r="A235">
        <v>1926</v>
      </c>
      <c r="B235">
        <v>211</v>
      </c>
      <c r="C235" s="11"/>
    </row>
    <row r="236" spans="1:3">
      <c r="A236">
        <v>1927</v>
      </c>
      <c r="B236">
        <v>208</v>
      </c>
      <c r="C236" s="11"/>
    </row>
    <row r="237" spans="1:3">
      <c r="A237">
        <v>1928</v>
      </c>
      <c r="B237">
        <v>205</v>
      </c>
      <c r="C237" s="11"/>
    </row>
    <row r="238" spans="1:3">
      <c r="A238">
        <v>1929</v>
      </c>
      <c r="B238">
        <v>205</v>
      </c>
      <c r="C238" s="11"/>
    </row>
    <row r="239" spans="1:3">
      <c r="A239">
        <v>1930</v>
      </c>
      <c r="B239">
        <v>200</v>
      </c>
      <c r="C239" s="11"/>
    </row>
    <row r="240" spans="1:3">
      <c r="A240">
        <v>1931</v>
      </c>
      <c r="B240">
        <v>182</v>
      </c>
      <c r="C240" s="11"/>
    </row>
    <row r="241" spans="1:3">
      <c r="A241">
        <v>1932</v>
      </c>
      <c r="B241">
        <v>163</v>
      </c>
      <c r="C241" s="11"/>
    </row>
    <row r="242" spans="1:3">
      <c r="A242">
        <v>1933</v>
      </c>
      <c r="B242">
        <v>155</v>
      </c>
      <c r="C242" s="11"/>
    </row>
    <row r="243" spans="1:3">
      <c r="A243">
        <v>1934</v>
      </c>
      <c r="B243">
        <v>160</v>
      </c>
      <c r="C243" s="11"/>
    </row>
    <row r="244" spans="1:3">
      <c r="A244">
        <v>1935</v>
      </c>
      <c r="B244">
        <v>164</v>
      </c>
      <c r="C244" s="11"/>
    </row>
    <row r="245" spans="1:3">
      <c r="A245">
        <v>1936</v>
      </c>
      <c r="B245">
        <v>166</v>
      </c>
      <c r="C245" s="11"/>
    </row>
    <row r="246" spans="1:3">
      <c r="A246">
        <v>1937</v>
      </c>
      <c r="B246">
        <v>172</v>
      </c>
      <c r="C246" s="11"/>
    </row>
    <row r="247" spans="1:3">
      <c r="A247">
        <v>1938</v>
      </c>
      <c r="B247">
        <v>169</v>
      </c>
      <c r="C247" s="11"/>
    </row>
    <row r="248" spans="1:3">
      <c r="A248">
        <v>1939</v>
      </c>
      <c r="B248">
        <v>166</v>
      </c>
      <c r="C248" s="12"/>
    </row>
    <row r="249" spans="1:3">
      <c r="A249">
        <v>1940</v>
      </c>
      <c r="B249">
        <v>168</v>
      </c>
      <c r="C249" s="12"/>
    </row>
    <row r="250" spans="1:3">
      <c r="A250">
        <v>1941</v>
      </c>
      <c r="B250">
        <v>176</v>
      </c>
      <c r="C250" s="12"/>
    </row>
    <row r="251" spans="1:3">
      <c r="A251">
        <v>1942</v>
      </c>
      <c r="B251">
        <v>195</v>
      </c>
      <c r="C251" s="12"/>
    </row>
    <row r="252" spans="1:3">
      <c r="A252">
        <v>1943</v>
      </c>
      <c r="B252">
        <v>207</v>
      </c>
      <c r="C252" s="12"/>
    </row>
    <row r="253" spans="1:3">
      <c r="A253">
        <v>1944</v>
      </c>
      <c r="B253">
        <v>210</v>
      </c>
      <c r="C253" s="12"/>
    </row>
    <row r="254" spans="1:3">
      <c r="A254">
        <v>1945</v>
      </c>
      <c r="B254">
        <v>215</v>
      </c>
      <c r="C254" s="12"/>
    </row>
    <row r="255" spans="1:3">
      <c r="A255">
        <v>1946</v>
      </c>
      <c r="B255">
        <v>233</v>
      </c>
      <c r="C255" s="12"/>
    </row>
    <row r="256" spans="1:3">
      <c r="A256">
        <v>1947</v>
      </c>
      <c r="B256">
        <v>267</v>
      </c>
      <c r="C256" s="12"/>
    </row>
    <row r="257" spans="1:3">
      <c r="A257">
        <v>1948</v>
      </c>
      <c r="B257">
        <v>288</v>
      </c>
      <c r="C257" s="12"/>
    </row>
    <row r="258" spans="1:3">
      <c r="A258">
        <v>1949</v>
      </c>
      <c r="B258">
        <v>285</v>
      </c>
      <c r="C258" s="12"/>
    </row>
    <row r="259" spans="1:3">
      <c r="A259">
        <v>1950</v>
      </c>
      <c r="B259">
        <v>288</v>
      </c>
      <c r="C259" s="12"/>
    </row>
    <row r="260" spans="1:3">
      <c r="A260">
        <v>1951</v>
      </c>
      <c r="B260">
        <v>310</v>
      </c>
      <c r="C260" s="12"/>
    </row>
    <row r="261" spans="1:3">
      <c r="A261">
        <v>1952</v>
      </c>
      <c r="B261">
        <v>317</v>
      </c>
      <c r="C261" s="12"/>
    </row>
    <row r="262" spans="1:3">
      <c r="A262">
        <v>1953</v>
      </c>
      <c r="B262">
        <v>320</v>
      </c>
      <c r="C262" s="12"/>
    </row>
    <row r="263" spans="1:3">
      <c r="A263">
        <v>1954</v>
      </c>
      <c r="B263">
        <v>321</v>
      </c>
      <c r="C263" s="12"/>
    </row>
    <row r="264" spans="1:3">
      <c r="A264">
        <v>1955</v>
      </c>
      <c r="B264">
        <v>320</v>
      </c>
      <c r="C264" s="12"/>
    </row>
    <row r="265" spans="1:3">
      <c r="A265">
        <v>1956</v>
      </c>
      <c r="B265">
        <v>325</v>
      </c>
      <c r="C265" s="12"/>
    </row>
    <row r="266" spans="1:3">
      <c r="A266">
        <v>1957</v>
      </c>
      <c r="B266">
        <v>336</v>
      </c>
      <c r="C266" s="12"/>
    </row>
    <row r="267" spans="1:3">
      <c r="A267">
        <v>1958</v>
      </c>
      <c r="B267">
        <v>346</v>
      </c>
      <c r="C267" s="12"/>
    </row>
    <row r="268" spans="1:3">
      <c r="A268">
        <v>1959</v>
      </c>
      <c r="B268">
        <v>348</v>
      </c>
      <c r="C268" s="12"/>
    </row>
    <row r="269" spans="1:3">
      <c r="A269">
        <v>1960</v>
      </c>
      <c r="B269">
        <v>354</v>
      </c>
      <c r="C269" s="12"/>
    </row>
    <row r="270" spans="1:3">
      <c r="A270">
        <v>1961</v>
      </c>
      <c r="B270">
        <v>358</v>
      </c>
      <c r="C270" s="12"/>
    </row>
    <row r="271" spans="1:3">
      <c r="A271">
        <v>1962</v>
      </c>
      <c r="B271">
        <v>362</v>
      </c>
      <c r="C271" s="12"/>
    </row>
    <row r="272" spans="1:3">
      <c r="A272">
        <v>1963</v>
      </c>
      <c r="B272">
        <v>366</v>
      </c>
      <c r="C272" s="12"/>
    </row>
    <row r="273" spans="1:3">
      <c r="A273">
        <v>1964</v>
      </c>
      <c r="B273">
        <v>371</v>
      </c>
      <c r="C273" s="12"/>
    </row>
    <row r="274" spans="1:3">
      <c r="A274">
        <v>1965</v>
      </c>
      <c r="B274">
        <v>377</v>
      </c>
      <c r="C274" s="12"/>
    </row>
    <row r="275" spans="1:3">
      <c r="A275">
        <v>1966</v>
      </c>
      <c r="B275">
        <v>388</v>
      </c>
      <c r="C275" s="12"/>
    </row>
    <row r="276" spans="1:3">
      <c r="A276">
        <v>1967</v>
      </c>
      <c r="B276">
        <v>399</v>
      </c>
      <c r="C276" s="12"/>
    </row>
    <row r="277" spans="1:3">
      <c r="A277">
        <v>1968</v>
      </c>
      <c r="B277">
        <v>416</v>
      </c>
      <c r="C277" s="12"/>
    </row>
    <row r="278" spans="1:3">
      <c r="A278">
        <v>1969</v>
      </c>
      <c r="B278">
        <v>438</v>
      </c>
      <c r="C278" s="12"/>
    </row>
    <row r="279" spans="1:3">
      <c r="A279">
        <v>1970</v>
      </c>
      <c r="B279">
        <v>464</v>
      </c>
      <c r="C279" s="12"/>
    </row>
    <row r="280" spans="1:3">
      <c r="A280">
        <v>1971</v>
      </c>
      <c r="B280">
        <v>484</v>
      </c>
      <c r="C280" s="12"/>
    </row>
    <row r="281" spans="1:3">
      <c r="A281">
        <v>1972</v>
      </c>
      <c r="B281">
        <v>500</v>
      </c>
      <c r="C281" s="12"/>
    </row>
    <row r="282" spans="1:3">
      <c r="A282">
        <v>1973</v>
      </c>
      <c r="B282">
        <v>531</v>
      </c>
      <c r="C282" s="12"/>
    </row>
    <row r="283" spans="1:3">
      <c r="A283">
        <v>1974</v>
      </c>
      <c r="B283">
        <v>590</v>
      </c>
      <c r="C283" s="12"/>
    </row>
    <row r="284" spans="1:3">
      <c r="A284">
        <v>1975</v>
      </c>
      <c r="B284">
        <v>643</v>
      </c>
      <c r="C284" s="12"/>
    </row>
    <row r="285" spans="1:3">
      <c r="A285">
        <v>1976</v>
      </c>
      <c r="B285">
        <v>680</v>
      </c>
      <c r="C285" s="12"/>
    </row>
    <row r="286" spans="1:3">
      <c r="A286">
        <v>1977</v>
      </c>
      <c r="B286">
        <v>725</v>
      </c>
      <c r="C286" s="12"/>
    </row>
    <row r="287" spans="1:3">
      <c r="A287">
        <v>1978</v>
      </c>
      <c r="B287">
        <v>780</v>
      </c>
      <c r="C287" s="12"/>
    </row>
    <row r="288" spans="1:3">
      <c r="A288">
        <v>1979</v>
      </c>
      <c r="B288">
        <v>868</v>
      </c>
      <c r="C288" s="12"/>
    </row>
    <row r="289" spans="1:7">
      <c r="A289">
        <v>1980</v>
      </c>
      <c r="B289">
        <v>985</v>
      </c>
      <c r="C289" s="12"/>
    </row>
    <row r="290" spans="1:7">
      <c r="A290">
        <v>1981</v>
      </c>
      <c r="B290">
        <v>1087</v>
      </c>
      <c r="C290" s="12"/>
    </row>
    <row r="291" spans="1:7">
      <c r="A291">
        <v>1982</v>
      </c>
      <c r="B291">
        <v>1154</v>
      </c>
      <c r="C291" s="12"/>
    </row>
    <row r="292" spans="1:7">
      <c r="A292">
        <v>1983</v>
      </c>
      <c r="B292">
        <v>1191</v>
      </c>
      <c r="C292" s="12"/>
    </row>
    <row r="293" spans="1:7">
      <c r="A293">
        <v>1984</v>
      </c>
      <c r="B293">
        <v>1243</v>
      </c>
      <c r="C293" s="12"/>
    </row>
    <row r="294" spans="1:7">
      <c r="A294">
        <v>1985</v>
      </c>
      <c r="B294">
        <v>1287</v>
      </c>
      <c r="C294" s="12"/>
    </row>
    <row r="295" spans="1:7">
      <c r="A295">
        <v>1986</v>
      </c>
      <c r="B295">
        <v>1311</v>
      </c>
      <c r="C295" s="12"/>
    </row>
    <row r="296" spans="1:7">
      <c r="A296">
        <v>1987</v>
      </c>
      <c r="B296">
        <v>1359</v>
      </c>
      <c r="C296" s="12"/>
    </row>
    <row r="297" spans="1:7">
      <c r="A297">
        <v>1988</v>
      </c>
      <c r="B297">
        <v>1415</v>
      </c>
      <c r="C297" s="12"/>
    </row>
    <row r="298" spans="1:7">
      <c r="A298">
        <v>1989</v>
      </c>
      <c r="B298">
        <v>1483</v>
      </c>
      <c r="C298" s="12"/>
    </row>
    <row r="299" spans="1:7">
      <c r="A299">
        <v>1990</v>
      </c>
      <c r="B299">
        <v>1563</v>
      </c>
      <c r="C299" s="12"/>
    </row>
    <row r="300" spans="1:7">
      <c r="A300">
        <v>1991</v>
      </c>
      <c r="B300">
        <v>1629</v>
      </c>
      <c r="C300" s="12"/>
    </row>
    <row r="301" spans="1:7">
      <c r="A301">
        <v>1992</v>
      </c>
      <c r="B301" s="13">
        <v>1678.0374449339208</v>
      </c>
      <c r="C301" s="12"/>
      <c r="G301" s="13"/>
    </row>
    <row r="302" spans="1:7">
      <c r="A302">
        <v>1993</v>
      </c>
      <c r="B302" s="13">
        <v>1728.2709251101323</v>
      </c>
      <c r="C302" s="12"/>
      <c r="G302" s="13"/>
    </row>
    <row r="303" spans="1:7">
      <c r="A303">
        <v>1994</v>
      </c>
      <c r="B303" s="13">
        <v>1772.5242290748899</v>
      </c>
      <c r="C303" s="12"/>
      <c r="G303" s="13"/>
    </row>
    <row r="304" spans="1:7">
      <c r="A304">
        <v>1995</v>
      </c>
      <c r="B304" s="13">
        <v>1822.7577092511017</v>
      </c>
      <c r="C304" s="12"/>
      <c r="G304" s="13"/>
    </row>
    <row r="305" spans="1:7">
      <c r="A305">
        <v>1996</v>
      </c>
      <c r="B305" s="13">
        <v>1876.5792951541853</v>
      </c>
      <c r="C305" s="11"/>
      <c r="G305" s="13"/>
    </row>
    <row r="306" spans="1:7">
      <c r="A306">
        <v>1997</v>
      </c>
      <c r="B306" s="13">
        <v>1919.6365638766522</v>
      </c>
      <c r="G306" s="13"/>
    </row>
    <row r="307" spans="1:7">
      <c r="A307">
        <v>1998</v>
      </c>
      <c r="B307" s="13">
        <v>1949.5374449339206</v>
      </c>
      <c r="C307" s="11"/>
      <c r="G307" s="13"/>
    </row>
    <row r="308" spans="1:7">
      <c r="A308">
        <v>1999</v>
      </c>
      <c r="B308" s="13">
        <v>1992.5947136563875</v>
      </c>
      <c r="C308" s="11"/>
    </row>
    <row r="309" spans="1:7">
      <c r="A309">
        <v>2000</v>
      </c>
      <c r="B309" s="13">
        <v>2059.5726872246696</v>
      </c>
      <c r="C309" s="11"/>
    </row>
    <row r="310" spans="1:7">
      <c r="A310">
        <v>2001</v>
      </c>
      <c r="B310" s="13">
        <v>2118.1784140969162</v>
      </c>
      <c r="C310" s="11"/>
    </row>
    <row r="311" spans="1:7">
      <c r="A311">
        <v>2002</v>
      </c>
      <c r="B311" s="13">
        <v>2151.6674008810578</v>
      </c>
      <c r="C311" s="11"/>
    </row>
    <row r="312" spans="1:7">
      <c r="A312">
        <v>2003</v>
      </c>
      <c r="B312" s="13">
        <v>2200.7048458149779</v>
      </c>
      <c r="C312" s="11"/>
    </row>
  </sheetData>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19"/>
  <sheetViews>
    <sheetView workbookViewId="0">
      <selection activeCell="O36" sqref="O36"/>
    </sheetView>
  </sheetViews>
  <sheetFormatPr baseColWidth="10" defaultColWidth="9.1640625" defaultRowHeight="10" x14ac:dyDescent="0"/>
  <cols>
    <col min="1" max="1" width="5.6640625" style="40" customWidth="1"/>
    <col min="2" max="2" width="11" style="18" customWidth="1"/>
    <col min="3" max="3" width="10.5" style="18" customWidth="1"/>
    <col min="4" max="8" width="7.6640625" style="18" customWidth="1"/>
    <col min="9" max="9" width="8.5" style="18" customWidth="1"/>
    <col min="10" max="13" width="9.1640625" style="18"/>
    <col min="14" max="14" width="9.83203125" style="18" customWidth="1"/>
    <col min="15" max="15" width="9.1640625" style="18"/>
    <col min="16" max="18" width="9.6640625" style="18" customWidth="1"/>
    <col min="19" max="19" width="10.5" style="18" customWidth="1"/>
    <col min="20" max="20" width="13" style="18" customWidth="1"/>
    <col min="21" max="22" width="12.5" style="18" customWidth="1"/>
    <col min="23" max="23" width="15.1640625" style="18" customWidth="1"/>
    <col min="24" max="16384" width="9.1640625" style="18"/>
  </cols>
  <sheetData>
    <row r="1" spans="1:23" ht="27" customHeight="1">
      <c r="A1" s="15"/>
      <c r="B1" s="130" t="s">
        <v>61</v>
      </c>
      <c r="C1" s="131"/>
      <c r="D1" s="131"/>
      <c r="E1" s="131"/>
      <c r="F1" s="131"/>
      <c r="G1" s="131"/>
      <c r="H1" s="131"/>
      <c r="I1" s="131"/>
      <c r="J1" s="131"/>
      <c r="K1" s="131"/>
      <c r="L1" s="131"/>
      <c r="M1" s="14"/>
      <c r="N1" s="14"/>
      <c r="O1" s="14"/>
      <c r="P1" s="16"/>
      <c r="Q1" s="16"/>
      <c r="R1" s="16"/>
      <c r="S1" s="16"/>
      <c r="T1" s="17"/>
      <c r="U1" s="17"/>
      <c r="V1" s="17"/>
      <c r="W1" s="17"/>
    </row>
    <row r="2" spans="1:23" ht="15">
      <c r="A2" s="15"/>
      <c r="B2" s="105"/>
      <c r="C2" s="114"/>
      <c r="D2" s="114"/>
      <c r="E2" s="114"/>
      <c r="F2" s="114"/>
      <c r="G2" s="114"/>
      <c r="H2" s="114"/>
      <c r="I2" s="114"/>
      <c r="J2" s="114"/>
      <c r="K2" s="114"/>
      <c r="L2" s="114"/>
      <c r="M2" s="16"/>
      <c r="N2" s="16"/>
      <c r="O2" s="16"/>
      <c r="P2" s="16"/>
      <c r="Q2" s="16"/>
      <c r="R2" s="16"/>
      <c r="S2" s="16"/>
      <c r="T2" s="17"/>
      <c r="U2" s="17"/>
      <c r="V2" s="17"/>
      <c r="W2" s="17"/>
    </row>
    <row r="3" spans="1:23" ht="36" customHeight="1">
      <c r="A3" s="15"/>
      <c r="B3" s="132" t="s">
        <v>62</v>
      </c>
      <c r="C3" s="133"/>
      <c r="D3" s="133"/>
      <c r="E3" s="133"/>
      <c r="F3" s="133"/>
      <c r="G3" s="133"/>
      <c r="H3" s="133"/>
      <c r="I3" s="133"/>
      <c r="J3" s="133"/>
      <c r="K3" s="133"/>
      <c r="L3" s="134"/>
      <c r="M3" s="19"/>
      <c r="N3" s="19"/>
      <c r="O3" s="19"/>
      <c r="P3" s="19"/>
      <c r="Q3" s="19"/>
      <c r="R3" s="19"/>
      <c r="S3" s="20"/>
      <c r="T3" s="17"/>
      <c r="U3" s="17"/>
      <c r="V3" s="17"/>
      <c r="W3" s="17"/>
    </row>
    <row r="4" spans="1:23" ht="15">
      <c r="A4" s="15"/>
      <c r="B4" s="105"/>
      <c r="C4" s="114"/>
      <c r="D4" s="114"/>
      <c r="E4" s="114"/>
      <c r="F4" s="114"/>
      <c r="G4" s="114"/>
      <c r="H4" s="114"/>
      <c r="I4" s="114"/>
      <c r="J4" s="114"/>
      <c r="K4" s="114"/>
      <c r="L4" s="114"/>
      <c r="M4" s="16"/>
      <c r="N4" s="16"/>
      <c r="O4" s="16"/>
      <c r="P4" s="16"/>
      <c r="Q4" s="16"/>
      <c r="R4" s="16"/>
      <c r="S4" s="16"/>
      <c r="T4" s="17"/>
      <c r="U4" s="17"/>
      <c r="V4" s="17"/>
      <c r="W4" s="17"/>
    </row>
    <row r="5" spans="1:23" ht="37.5" customHeight="1">
      <c r="A5" s="15"/>
      <c r="B5" s="132" t="s">
        <v>63</v>
      </c>
      <c r="C5" s="135"/>
      <c r="D5" s="135"/>
      <c r="E5" s="135"/>
      <c r="F5" s="135"/>
      <c r="G5" s="135"/>
      <c r="H5" s="135"/>
      <c r="I5" s="135"/>
      <c r="J5" s="135"/>
      <c r="K5" s="135"/>
      <c r="L5" s="136"/>
      <c r="M5" s="16"/>
      <c r="N5" s="16"/>
      <c r="O5" s="16"/>
      <c r="P5" s="16"/>
      <c r="Q5" s="16"/>
      <c r="R5" s="16"/>
      <c r="S5" s="16"/>
      <c r="T5" s="17"/>
      <c r="U5" s="17"/>
      <c r="V5" s="17"/>
      <c r="W5" s="17"/>
    </row>
    <row r="6" spans="1:23" ht="15">
      <c r="A6" s="15"/>
      <c r="B6" s="130" t="s">
        <v>64</v>
      </c>
      <c r="C6" s="137"/>
      <c r="D6" s="137"/>
      <c r="E6" s="137"/>
      <c r="F6" s="137"/>
      <c r="G6" s="137"/>
      <c r="H6" s="137"/>
      <c r="I6" s="137"/>
      <c r="J6" s="137"/>
      <c r="K6" s="137"/>
      <c r="L6" s="137"/>
      <c r="M6" s="16"/>
      <c r="N6" s="16"/>
      <c r="O6" s="16"/>
      <c r="P6" s="16"/>
      <c r="Q6" s="16"/>
      <c r="R6" s="16"/>
      <c r="S6" s="16"/>
      <c r="T6" s="17"/>
      <c r="U6" s="17"/>
      <c r="V6" s="17"/>
      <c r="W6" s="17"/>
    </row>
    <row r="7" spans="1:23" ht="15">
      <c r="A7" s="15"/>
      <c r="B7" s="128" t="s">
        <v>65</v>
      </c>
      <c r="C7" s="129"/>
      <c r="D7" s="129"/>
      <c r="E7" s="129"/>
      <c r="F7" s="129"/>
      <c r="G7" s="129"/>
      <c r="H7" s="129"/>
      <c r="I7" s="129"/>
      <c r="J7" s="129"/>
      <c r="K7" s="129"/>
      <c r="L7" s="129"/>
      <c r="M7" s="21"/>
      <c r="N7" s="21"/>
      <c r="O7" s="21"/>
      <c r="P7" s="16"/>
      <c r="Q7" s="16"/>
      <c r="R7" s="16"/>
      <c r="S7" s="16"/>
      <c r="T7" s="17"/>
      <c r="U7" s="17"/>
      <c r="V7" s="17"/>
      <c r="W7" s="17"/>
    </row>
    <row r="8" spans="1:23" ht="15">
      <c r="A8" s="15"/>
      <c r="B8" s="128" t="s">
        <v>66</v>
      </c>
      <c r="C8" s="129"/>
      <c r="D8" s="129"/>
      <c r="E8" s="129"/>
      <c r="F8" s="129"/>
      <c r="G8" s="129"/>
      <c r="H8" s="129"/>
      <c r="I8" s="129"/>
      <c r="J8" s="129"/>
      <c r="K8" s="129"/>
      <c r="L8" s="129"/>
      <c r="M8" s="16"/>
      <c r="N8" s="16"/>
      <c r="O8" s="16"/>
      <c r="P8" s="16"/>
      <c r="Q8" s="16"/>
      <c r="R8" s="16"/>
      <c r="S8" s="16"/>
      <c r="T8" s="17"/>
      <c r="U8" s="17"/>
      <c r="V8" s="17"/>
      <c r="W8" s="17"/>
    </row>
    <row r="9" spans="1:23" ht="15">
      <c r="A9" s="15"/>
      <c r="B9" s="128" t="s">
        <v>67</v>
      </c>
      <c r="C9" s="129"/>
      <c r="D9" s="129"/>
      <c r="E9" s="129"/>
      <c r="F9" s="129"/>
      <c r="G9" s="129"/>
      <c r="H9" s="129"/>
      <c r="I9" s="129"/>
      <c r="J9" s="129"/>
      <c r="K9" s="129"/>
      <c r="L9" s="129"/>
      <c r="M9" s="16"/>
      <c r="N9" s="16"/>
      <c r="O9" s="16"/>
      <c r="P9" s="16"/>
      <c r="Q9" s="16"/>
      <c r="R9" s="16"/>
      <c r="S9" s="16"/>
      <c r="T9" s="17"/>
      <c r="U9" s="17"/>
      <c r="V9" s="17"/>
      <c r="W9" s="17"/>
    </row>
    <row r="10" spans="1:23" ht="15">
      <c r="A10" s="15"/>
      <c r="B10" s="128" t="s">
        <v>68</v>
      </c>
      <c r="C10" s="129"/>
      <c r="D10" s="129"/>
      <c r="E10" s="129"/>
      <c r="F10" s="129"/>
      <c r="G10" s="129"/>
      <c r="H10" s="129"/>
      <c r="I10" s="129"/>
      <c r="J10" s="129"/>
      <c r="K10" s="129"/>
      <c r="L10" s="129"/>
      <c r="M10" s="16"/>
      <c r="N10" s="16"/>
      <c r="O10" s="16"/>
      <c r="P10" s="16"/>
      <c r="Q10" s="16"/>
      <c r="R10" s="16"/>
      <c r="S10" s="16"/>
      <c r="T10" s="17"/>
      <c r="U10" s="17"/>
      <c r="V10" s="17"/>
      <c r="W10" s="17"/>
    </row>
    <row r="11" spans="1:23" ht="15">
      <c r="A11" s="15"/>
      <c r="B11" s="128" t="s">
        <v>69</v>
      </c>
      <c r="C11" s="129"/>
      <c r="D11" s="129"/>
      <c r="E11" s="129"/>
      <c r="F11" s="129"/>
      <c r="G11" s="129"/>
      <c r="H11" s="129"/>
      <c r="I11" s="129"/>
      <c r="J11" s="129"/>
      <c r="K11" s="129"/>
      <c r="L11" s="129"/>
      <c r="M11" s="16"/>
      <c r="N11" s="16"/>
      <c r="O11" s="16"/>
      <c r="P11" s="16"/>
      <c r="Q11" s="16"/>
      <c r="R11" s="16"/>
      <c r="S11" s="16"/>
      <c r="T11" s="17"/>
      <c r="U11" s="17"/>
      <c r="V11" s="17"/>
      <c r="W11" s="17"/>
    </row>
    <row r="12" spans="1:23" ht="15">
      <c r="A12" s="15"/>
      <c r="B12" s="128" t="s">
        <v>70</v>
      </c>
      <c r="C12" s="129"/>
      <c r="D12" s="129"/>
      <c r="E12" s="129"/>
      <c r="F12" s="129"/>
      <c r="G12" s="129"/>
      <c r="H12" s="129"/>
      <c r="I12" s="129"/>
      <c r="J12" s="129"/>
      <c r="K12" s="129"/>
      <c r="L12" s="129"/>
      <c r="M12" s="16"/>
      <c r="N12" s="16"/>
      <c r="O12" s="16"/>
      <c r="P12" s="16"/>
      <c r="Q12" s="16"/>
      <c r="R12" s="16"/>
      <c r="S12" s="16"/>
      <c r="T12" s="17"/>
      <c r="U12" s="17"/>
      <c r="V12" s="17"/>
      <c r="W12" s="17"/>
    </row>
    <row r="13" spans="1:23" ht="15">
      <c r="A13" s="15"/>
      <c r="B13" s="138" t="s">
        <v>71</v>
      </c>
      <c r="C13" s="139"/>
      <c r="D13" s="139"/>
      <c r="E13" s="139"/>
      <c r="F13" s="139"/>
      <c r="G13" s="139"/>
      <c r="H13" s="139"/>
      <c r="I13" s="139"/>
      <c r="J13" s="139"/>
      <c r="K13" s="139"/>
      <c r="L13" s="139"/>
      <c r="M13" s="16"/>
      <c r="N13" s="16"/>
      <c r="O13" s="16"/>
      <c r="P13" s="16"/>
      <c r="Q13" s="16"/>
      <c r="R13" s="16"/>
      <c r="S13" s="16"/>
      <c r="T13" s="17"/>
      <c r="U13" s="17"/>
      <c r="V13" s="17"/>
      <c r="W13" s="17"/>
    </row>
    <row r="14" spans="1:23" ht="15">
      <c r="A14" s="15"/>
      <c r="B14" s="128" t="s">
        <v>72</v>
      </c>
      <c r="C14" s="129"/>
      <c r="D14" s="129"/>
      <c r="E14" s="129"/>
      <c r="F14" s="129"/>
      <c r="G14" s="129"/>
      <c r="H14" s="129"/>
      <c r="I14" s="129"/>
      <c r="J14" s="129"/>
      <c r="K14" s="129"/>
      <c r="L14" s="129"/>
      <c r="M14" s="16"/>
      <c r="N14" s="16"/>
      <c r="O14" s="16"/>
      <c r="P14" s="16"/>
      <c r="Q14" s="16"/>
      <c r="R14" s="16"/>
      <c r="S14" s="16"/>
      <c r="T14" s="17"/>
      <c r="U14" s="17"/>
      <c r="V14" s="17"/>
      <c r="W14" s="17"/>
    </row>
    <row r="15" spans="1:23" ht="12" customHeight="1">
      <c r="A15" s="15"/>
      <c r="B15" s="128" t="s">
        <v>73</v>
      </c>
      <c r="C15" s="129"/>
      <c r="D15" s="129"/>
      <c r="E15" s="129"/>
      <c r="F15" s="129"/>
      <c r="G15" s="129"/>
      <c r="H15" s="129"/>
      <c r="I15" s="129"/>
      <c r="J15" s="129"/>
      <c r="K15" s="129"/>
      <c r="L15" s="129"/>
      <c r="M15" s="16"/>
      <c r="N15" s="16"/>
      <c r="O15" s="16"/>
      <c r="P15" s="16"/>
      <c r="Q15" s="16"/>
      <c r="R15" s="16"/>
      <c r="S15" s="16"/>
      <c r="T15" s="17"/>
      <c r="U15" s="17"/>
      <c r="V15" s="17"/>
      <c r="W15" s="17"/>
    </row>
    <row r="16" spans="1:23" ht="12" customHeight="1">
      <c r="A16" s="15"/>
      <c r="B16" s="128" t="s">
        <v>74</v>
      </c>
      <c r="C16" s="129"/>
      <c r="D16" s="129"/>
      <c r="E16" s="129"/>
      <c r="F16" s="129"/>
      <c r="G16" s="129"/>
      <c r="H16" s="129"/>
      <c r="I16" s="129"/>
      <c r="J16" s="129"/>
      <c r="K16" s="129"/>
      <c r="L16" s="129"/>
      <c r="M16" s="16"/>
      <c r="N16" s="16"/>
      <c r="O16" s="16"/>
      <c r="P16" s="16"/>
      <c r="Q16" s="16"/>
      <c r="R16" s="16"/>
      <c r="S16" s="16"/>
      <c r="T16" s="17"/>
      <c r="U16" s="17"/>
      <c r="V16" s="17"/>
      <c r="W16" s="17"/>
    </row>
    <row r="17" spans="1:23" ht="36" customHeight="1">
      <c r="A17" s="15"/>
      <c r="B17" s="140" t="s">
        <v>75</v>
      </c>
      <c r="C17" s="133"/>
      <c r="D17" s="133"/>
      <c r="E17" s="133"/>
      <c r="F17" s="133"/>
      <c r="G17" s="133"/>
      <c r="H17" s="133"/>
      <c r="I17" s="133"/>
      <c r="J17" s="133"/>
      <c r="K17" s="133"/>
      <c r="L17" s="134"/>
      <c r="M17" s="14"/>
      <c r="N17" s="14"/>
      <c r="O17" s="14"/>
      <c r="P17" s="16"/>
      <c r="Q17" s="16"/>
      <c r="R17" s="16"/>
      <c r="S17" s="16"/>
      <c r="T17" s="17"/>
      <c r="U17" s="17"/>
      <c r="V17" s="17"/>
      <c r="W17" s="17"/>
    </row>
    <row r="18" spans="1:23" ht="12" customHeight="1">
      <c r="A18" s="15"/>
      <c r="B18" s="105" t="s">
        <v>76</v>
      </c>
      <c r="C18" s="114"/>
      <c r="D18" s="114"/>
      <c r="E18" s="114"/>
      <c r="F18" s="114"/>
      <c r="G18" s="114"/>
      <c r="H18" s="114"/>
      <c r="I18" s="114"/>
      <c r="J18" s="114"/>
      <c r="K18" s="114"/>
      <c r="L18" s="114"/>
      <c r="M18" s="16"/>
      <c r="N18" s="16"/>
      <c r="O18" s="16"/>
      <c r="P18" s="20"/>
      <c r="Q18" s="20"/>
      <c r="R18" s="20"/>
      <c r="S18" s="20"/>
      <c r="T18" s="17"/>
      <c r="U18" s="17"/>
      <c r="V18" s="17"/>
      <c r="W18" s="17"/>
    </row>
    <row r="19" spans="1:23" ht="36" customHeight="1">
      <c r="A19" s="15"/>
      <c r="B19" s="141" t="s">
        <v>77</v>
      </c>
      <c r="C19" s="142"/>
      <c r="D19" s="142"/>
      <c r="E19" s="142"/>
      <c r="F19" s="142"/>
      <c r="G19" s="142"/>
      <c r="H19" s="142"/>
      <c r="I19" s="142"/>
      <c r="J19" s="142"/>
      <c r="K19" s="142"/>
      <c r="L19" s="142"/>
      <c r="M19" s="22"/>
      <c r="N19" s="22"/>
      <c r="O19" s="22"/>
      <c r="P19" s="16"/>
      <c r="Q19" s="16"/>
      <c r="R19" s="16"/>
      <c r="S19" s="23"/>
      <c r="T19" s="17"/>
      <c r="U19" s="17"/>
      <c r="V19" s="17"/>
      <c r="W19" s="17"/>
    </row>
    <row r="20" spans="1:23" ht="18" customHeight="1">
      <c r="A20" s="15"/>
      <c r="B20" s="130" t="s">
        <v>78</v>
      </c>
      <c r="C20" s="137"/>
      <c r="D20" s="137"/>
      <c r="E20" s="137"/>
      <c r="F20" s="137"/>
      <c r="G20" s="137"/>
      <c r="H20" s="137"/>
      <c r="I20" s="137"/>
      <c r="J20" s="137"/>
      <c r="K20" s="137"/>
      <c r="L20" s="137"/>
      <c r="M20" s="22"/>
      <c r="N20" s="22"/>
      <c r="O20" s="22"/>
      <c r="P20" s="16"/>
      <c r="Q20" s="16"/>
      <c r="R20" s="16"/>
      <c r="S20" s="23"/>
      <c r="T20" s="17"/>
      <c r="U20" s="17"/>
      <c r="V20" s="17"/>
      <c r="W20" s="17"/>
    </row>
    <row r="21" spans="1:23" ht="15" customHeight="1">
      <c r="A21" s="15"/>
      <c r="B21" s="143" t="s">
        <v>79</v>
      </c>
      <c r="C21" s="144"/>
      <c r="D21" s="144"/>
      <c r="E21" s="144"/>
      <c r="F21" s="144"/>
      <c r="G21" s="144"/>
      <c r="H21" s="144"/>
      <c r="I21" s="144"/>
      <c r="J21" s="144"/>
      <c r="K21" s="144"/>
      <c r="L21" s="144"/>
      <c r="M21" s="22"/>
      <c r="N21" s="22"/>
      <c r="O21" s="22"/>
      <c r="P21" s="16"/>
      <c r="Q21" s="16"/>
      <c r="R21" s="16"/>
      <c r="S21" s="23"/>
      <c r="T21" s="17"/>
      <c r="U21" s="17"/>
      <c r="V21" s="17"/>
      <c r="W21" s="17"/>
    </row>
    <row r="22" spans="1:23" ht="12.75" customHeight="1">
      <c r="A22" s="15"/>
      <c r="B22" s="115"/>
      <c r="C22" s="145"/>
      <c r="D22" s="145"/>
      <c r="E22" s="145"/>
      <c r="F22" s="145"/>
      <c r="G22" s="145"/>
      <c r="H22" s="145"/>
      <c r="I22" s="145"/>
      <c r="J22" s="145"/>
      <c r="K22" s="145"/>
      <c r="L22" s="145"/>
      <c r="M22" s="22"/>
      <c r="N22" s="22"/>
      <c r="O22" s="22"/>
      <c r="P22" s="16"/>
      <c r="Q22" s="16"/>
      <c r="R22" s="16"/>
      <c r="S22" s="23"/>
      <c r="T22" s="17"/>
      <c r="U22" s="17"/>
      <c r="V22" s="17"/>
      <c r="W22" s="17"/>
    </row>
    <row r="23" spans="1:23" ht="37.5" customHeight="1">
      <c r="A23" s="15"/>
      <c r="B23" s="146" t="s">
        <v>80</v>
      </c>
      <c r="C23" s="147"/>
      <c r="D23" s="147"/>
      <c r="E23" s="147"/>
      <c r="F23" s="147"/>
      <c r="G23" s="147"/>
      <c r="H23" s="147"/>
      <c r="I23" s="147"/>
      <c r="J23" s="147"/>
      <c r="K23" s="147"/>
      <c r="L23" s="148"/>
      <c r="M23" s="22"/>
      <c r="N23" s="22"/>
      <c r="O23" s="22"/>
      <c r="P23" s="16"/>
      <c r="Q23" s="16"/>
      <c r="R23" s="16"/>
      <c r="S23" s="23"/>
      <c r="T23" s="17"/>
      <c r="U23" s="17"/>
      <c r="V23" s="17"/>
      <c r="W23" s="17"/>
    </row>
    <row r="24" spans="1:23" ht="12" customHeight="1">
      <c r="A24" s="15"/>
      <c r="B24" s="115"/>
      <c r="C24" s="145"/>
      <c r="D24" s="145"/>
      <c r="E24" s="145"/>
      <c r="F24" s="145"/>
      <c r="G24" s="145"/>
      <c r="H24" s="145"/>
      <c r="I24" s="145"/>
      <c r="J24" s="145"/>
      <c r="K24" s="145"/>
      <c r="L24" s="145"/>
      <c r="M24" s="22"/>
      <c r="N24" s="22"/>
      <c r="O24" s="22"/>
      <c r="P24" s="16"/>
      <c r="Q24" s="16"/>
      <c r="R24" s="16"/>
      <c r="S24" s="23"/>
      <c r="T24" s="17"/>
      <c r="U24" s="17"/>
      <c r="V24" s="17"/>
      <c r="W24" s="17"/>
    </row>
    <row r="25" spans="1:23" ht="57" customHeight="1">
      <c r="A25" s="15"/>
      <c r="B25" s="149" t="s">
        <v>81</v>
      </c>
      <c r="C25" s="139"/>
      <c r="D25" s="139"/>
      <c r="E25" s="139"/>
      <c r="F25" s="139"/>
      <c r="G25" s="139"/>
      <c r="H25" s="139"/>
      <c r="I25" s="139"/>
      <c r="J25" s="139"/>
      <c r="K25" s="139"/>
      <c r="L25" s="139"/>
      <c r="M25" s="22"/>
      <c r="N25" s="22"/>
      <c r="O25" s="22"/>
      <c r="P25" s="16"/>
      <c r="Q25" s="16"/>
      <c r="R25" s="16"/>
      <c r="S25" s="23"/>
      <c r="T25" s="17"/>
      <c r="U25" s="17"/>
      <c r="V25" s="17"/>
      <c r="W25" s="17"/>
    </row>
    <row r="26" spans="1:23" ht="12" customHeight="1">
      <c r="A26" s="15"/>
      <c r="B26" s="115" t="s">
        <v>82</v>
      </c>
      <c r="C26" s="113"/>
      <c r="D26" s="113"/>
      <c r="E26" s="113"/>
      <c r="F26" s="113"/>
      <c r="G26" s="113"/>
      <c r="H26" s="113"/>
      <c r="I26" s="113"/>
      <c r="J26" s="113"/>
      <c r="K26" s="113"/>
      <c r="L26" s="113"/>
      <c r="M26" s="22"/>
      <c r="N26" s="22"/>
      <c r="O26" s="22"/>
      <c r="P26" s="16"/>
      <c r="Q26" s="16"/>
      <c r="R26" s="16"/>
      <c r="S26" s="23"/>
      <c r="T26" s="17"/>
      <c r="U26" s="17"/>
      <c r="V26" s="17"/>
      <c r="W26" s="17"/>
    </row>
    <row r="27" spans="1:23" s="27" customFormat="1" ht="30">
      <c r="A27" s="24"/>
      <c r="B27" s="25" t="s">
        <v>83</v>
      </c>
      <c r="C27" s="25" t="s">
        <v>84</v>
      </c>
      <c r="D27" s="25" t="s">
        <v>85</v>
      </c>
      <c r="E27" s="25" t="s">
        <v>86</v>
      </c>
      <c r="F27" s="25" t="s">
        <v>87</v>
      </c>
      <c r="G27" s="25" t="s">
        <v>88</v>
      </c>
      <c r="H27" s="25" t="s">
        <v>89</v>
      </c>
      <c r="I27" s="25" t="s">
        <v>90</v>
      </c>
      <c r="J27" s="25" t="s">
        <v>91</v>
      </c>
      <c r="K27" s="25" t="s">
        <v>92</v>
      </c>
      <c r="L27" s="25" t="s">
        <v>93</v>
      </c>
      <c r="M27" s="25" t="s">
        <v>94</v>
      </c>
      <c r="N27" s="25" t="s">
        <v>95</v>
      </c>
      <c r="O27" s="25" t="s">
        <v>96</v>
      </c>
      <c r="P27" s="25" t="s">
        <v>97</v>
      </c>
      <c r="Q27" s="25" t="s">
        <v>98</v>
      </c>
      <c r="R27" s="25" t="s">
        <v>99</v>
      </c>
      <c r="S27" s="25" t="s">
        <v>100</v>
      </c>
      <c r="T27" s="25" t="s">
        <v>101</v>
      </c>
      <c r="U27" s="26" t="s">
        <v>102</v>
      </c>
      <c r="V27" s="26" t="s">
        <v>103</v>
      </c>
      <c r="W27" s="26" t="s">
        <v>104</v>
      </c>
    </row>
    <row r="28" spans="1:23" s="34" customFormat="1" ht="12.75" customHeight="1">
      <c r="A28" s="28">
        <v>1774</v>
      </c>
      <c r="B28" s="29">
        <v>8.4000000000000005E-2</v>
      </c>
      <c r="C28" s="29">
        <v>8.1000000000000003E-2</v>
      </c>
      <c r="D28" s="30">
        <v>5.2999999999999999E-2</v>
      </c>
      <c r="E28" s="29">
        <v>5.1999999999999998E-2</v>
      </c>
      <c r="F28" s="30">
        <v>0.05</v>
      </c>
      <c r="G28" s="29">
        <v>0.05</v>
      </c>
      <c r="H28" s="30">
        <v>4.9000000000000002E-2</v>
      </c>
      <c r="I28" s="29">
        <v>4.7E-2</v>
      </c>
      <c r="J28" s="29">
        <v>4.5999999999999999E-2</v>
      </c>
      <c r="K28" s="29">
        <v>4.4999999999999998E-2</v>
      </c>
      <c r="L28" s="29">
        <v>4.3999999999999997E-2</v>
      </c>
      <c r="M28" s="29">
        <v>4.2999999999999997E-2</v>
      </c>
      <c r="N28" s="29">
        <v>4.1000000000000002E-2</v>
      </c>
      <c r="O28" s="31">
        <v>0.04</v>
      </c>
      <c r="P28" s="31">
        <v>3.9E-2</v>
      </c>
      <c r="Q28" s="31">
        <v>3.7999999999999999E-2</v>
      </c>
      <c r="R28" s="31">
        <v>3.7999999999999999E-2</v>
      </c>
      <c r="S28" s="31"/>
      <c r="T28" s="31"/>
      <c r="U28" s="32"/>
      <c r="V28" s="33"/>
      <c r="W28" s="33"/>
    </row>
    <row r="29" spans="1:23" s="34" customFormat="1" ht="12.75" customHeight="1">
      <c r="A29" s="28">
        <v>1775</v>
      </c>
      <c r="B29" s="29">
        <v>0.08</v>
      </c>
      <c r="C29" s="29">
        <v>7.6999999999999999E-2</v>
      </c>
      <c r="D29" s="30">
        <v>5.0999999999999997E-2</v>
      </c>
      <c r="E29" s="29">
        <v>4.9000000000000002E-2</v>
      </c>
      <c r="F29" s="30">
        <v>4.8000000000000001E-2</v>
      </c>
      <c r="G29" s="29">
        <v>4.7E-2</v>
      </c>
      <c r="H29" s="30">
        <v>4.5999999999999999E-2</v>
      </c>
      <c r="I29" s="29">
        <v>4.4999999999999998E-2</v>
      </c>
      <c r="J29" s="29">
        <v>4.2999999999999997E-2</v>
      </c>
      <c r="K29" s="29">
        <v>4.2999999999999997E-2</v>
      </c>
      <c r="L29" s="29">
        <v>4.2000000000000003E-2</v>
      </c>
      <c r="M29" s="29">
        <v>4.1000000000000002E-2</v>
      </c>
      <c r="N29" s="29">
        <v>3.9E-2</v>
      </c>
      <c r="O29" s="31">
        <v>3.7999999999999999E-2</v>
      </c>
      <c r="P29" s="31">
        <v>3.6999999999999998E-2</v>
      </c>
      <c r="Q29" s="31">
        <v>3.5999999999999997E-2</v>
      </c>
      <c r="R29" s="31">
        <v>3.5999999999999997E-2</v>
      </c>
      <c r="S29" s="35"/>
      <c r="T29" s="33"/>
      <c r="U29" s="32">
        <v>-4.9000000000000004</v>
      </c>
      <c r="V29" s="33"/>
      <c r="W29" s="33"/>
    </row>
    <row r="30" spans="1:23" s="34" customFormat="1" ht="12.75" customHeight="1">
      <c r="A30" s="28">
        <v>1776</v>
      </c>
      <c r="B30" s="29">
        <v>9.0999999999999998E-2</v>
      </c>
      <c r="C30" s="29">
        <v>8.6999999999999994E-2</v>
      </c>
      <c r="D30" s="30">
        <v>5.7000000000000002E-2</v>
      </c>
      <c r="E30" s="29">
        <v>5.5E-2</v>
      </c>
      <c r="F30" s="30">
        <v>5.3999999999999999E-2</v>
      </c>
      <c r="G30" s="29">
        <v>5.2999999999999999E-2</v>
      </c>
      <c r="H30" s="30">
        <v>5.1999999999999998E-2</v>
      </c>
      <c r="I30" s="29">
        <v>5.0999999999999997E-2</v>
      </c>
      <c r="J30" s="29">
        <v>4.9000000000000002E-2</v>
      </c>
      <c r="K30" s="29">
        <v>4.8000000000000001E-2</v>
      </c>
      <c r="L30" s="29">
        <v>4.7E-2</v>
      </c>
      <c r="M30" s="29">
        <v>4.5999999999999999E-2</v>
      </c>
      <c r="N30" s="29">
        <v>4.4999999999999998E-2</v>
      </c>
      <c r="O30" s="31">
        <v>4.2999999999999997E-2</v>
      </c>
      <c r="P30" s="31">
        <v>4.2000000000000003E-2</v>
      </c>
      <c r="Q30" s="31">
        <v>0.04</v>
      </c>
      <c r="R30" s="31">
        <v>4.1000000000000002E-2</v>
      </c>
      <c r="S30" s="35"/>
      <c r="T30" s="33"/>
      <c r="U30" s="32">
        <v>13</v>
      </c>
      <c r="V30" s="33"/>
      <c r="W30" s="33"/>
    </row>
    <row r="31" spans="1:23" s="34" customFormat="1" ht="12.75" customHeight="1">
      <c r="A31" s="28">
        <v>1777</v>
      </c>
      <c r="B31" s="29">
        <v>0.111</v>
      </c>
      <c r="C31" s="29">
        <v>0.106</v>
      </c>
      <c r="D31" s="30">
        <v>7.0000000000000007E-2</v>
      </c>
      <c r="E31" s="29">
        <v>6.8000000000000005E-2</v>
      </c>
      <c r="F31" s="30">
        <v>6.6000000000000003E-2</v>
      </c>
      <c r="G31" s="29">
        <v>6.5000000000000002E-2</v>
      </c>
      <c r="H31" s="30">
        <v>6.4000000000000001E-2</v>
      </c>
      <c r="I31" s="29">
        <v>6.2E-2</v>
      </c>
      <c r="J31" s="29">
        <v>0.06</v>
      </c>
      <c r="K31" s="29">
        <v>5.8999999999999997E-2</v>
      </c>
      <c r="L31" s="29">
        <v>5.8000000000000003E-2</v>
      </c>
      <c r="M31" s="29">
        <v>5.6000000000000001E-2</v>
      </c>
      <c r="N31" s="29">
        <v>5.3999999999999999E-2</v>
      </c>
      <c r="O31" s="31">
        <v>5.2999999999999999E-2</v>
      </c>
      <c r="P31" s="31">
        <v>5.0999999999999997E-2</v>
      </c>
      <c r="Q31" s="31">
        <v>4.9000000000000002E-2</v>
      </c>
      <c r="R31" s="31">
        <v>0.05</v>
      </c>
      <c r="S31" s="35"/>
      <c r="T31" s="33"/>
      <c r="U31" s="32">
        <v>21.8</v>
      </c>
      <c r="V31" s="33"/>
      <c r="W31" s="33"/>
    </row>
    <row r="32" spans="1:23" s="34" customFormat="1" ht="12.75" customHeight="1">
      <c r="A32" s="28">
        <v>1778</v>
      </c>
      <c r="B32" s="29">
        <v>0.14399999999999999</v>
      </c>
      <c r="C32" s="29">
        <v>0.13800000000000001</v>
      </c>
      <c r="D32" s="30">
        <v>9.0999999999999998E-2</v>
      </c>
      <c r="E32" s="29">
        <v>8.7999999999999995E-2</v>
      </c>
      <c r="F32" s="30">
        <v>8.5999999999999993E-2</v>
      </c>
      <c r="G32" s="29">
        <v>8.5000000000000006E-2</v>
      </c>
      <c r="H32" s="30">
        <v>8.3000000000000004E-2</v>
      </c>
      <c r="I32" s="29">
        <v>0.08</v>
      </c>
      <c r="J32" s="29">
        <v>7.8E-2</v>
      </c>
      <c r="K32" s="29">
        <v>7.6999999999999999E-2</v>
      </c>
      <c r="L32" s="29">
        <v>7.4999999999999997E-2</v>
      </c>
      <c r="M32" s="29">
        <v>7.2999999999999995E-2</v>
      </c>
      <c r="N32" s="29">
        <v>7.0999999999999994E-2</v>
      </c>
      <c r="O32" s="31">
        <v>6.8000000000000005E-2</v>
      </c>
      <c r="P32" s="31">
        <v>6.7000000000000004E-2</v>
      </c>
      <c r="Q32" s="31">
        <v>6.4000000000000001E-2</v>
      </c>
      <c r="R32" s="31">
        <v>6.5000000000000002E-2</v>
      </c>
      <c r="S32" s="35"/>
      <c r="T32" s="33"/>
      <c r="U32" s="32">
        <v>30.2</v>
      </c>
      <c r="V32" s="33"/>
      <c r="W32" s="33"/>
    </row>
    <row r="33" spans="1:23" s="34" customFormat="1" ht="12.75" customHeight="1">
      <c r="A33" s="28">
        <v>1779</v>
      </c>
      <c r="B33" s="29">
        <v>0.127</v>
      </c>
      <c r="C33" s="29">
        <v>0.122</v>
      </c>
      <c r="D33" s="30">
        <v>0.08</v>
      </c>
      <c r="E33" s="29">
        <v>7.8E-2</v>
      </c>
      <c r="F33" s="30">
        <v>7.5999999999999998E-2</v>
      </c>
      <c r="G33" s="29">
        <v>7.4999999999999997E-2</v>
      </c>
      <c r="H33" s="30">
        <v>7.2999999999999995E-2</v>
      </c>
      <c r="I33" s="29">
        <v>7.0999999999999994E-2</v>
      </c>
      <c r="J33" s="29">
        <v>6.9000000000000006E-2</v>
      </c>
      <c r="K33" s="29">
        <v>6.8000000000000005E-2</v>
      </c>
      <c r="L33" s="29">
        <v>6.6000000000000003E-2</v>
      </c>
      <c r="M33" s="29">
        <v>6.5000000000000002E-2</v>
      </c>
      <c r="N33" s="29">
        <v>6.2E-2</v>
      </c>
      <c r="O33" s="31">
        <v>6.0999999999999999E-2</v>
      </c>
      <c r="P33" s="31">
        <v>5.8999999999999997E-2</v>
      </c>
      <c r="Q33" s="31">
        <v>5.7000000000000002E-2</v>
      </c>
      <c r="R33" s="31">
        <v>5.7000000000000002E-2</v>
      </c>
      <c r="S33" s="35"/>
      <c r="T33" s="33"/>
      <c r="U33" s="32">
        <v>-11.6</v>
      </c>
      <c r="V33" s="33"/>
      <c r="W33" s="33"/>
    </row>
    <row r="34" spans="1:23" s="34" customFormat="1" ht="12.75" customHeight="1">
      <c r="A34" s="28">
        <v>1780</v>
      </c>
      <c r="B34" s="29">
        <v>0.14299999999999999</v>
      </c>
      <c r="C34" s="29">
        <v>0.13700000000000001</v>
      </c>
      <c r="D34" s="30">
        <v>0.09</v>
      </c>
      <c r="E34" s="29">
        <v>8.6999999999999994E-2</v>
      </c>
      <c r="F34" s="30">
        <v>8.5000000000000006E-2</v>
      </c>
      <c r="G34" s="29">
        <v>8.4000000000000005E-2</v>
      </c>
      <c r="H34" s="30">
        <v>8.2000000000000003E-2</v>
      </c>
      <c r="I34" s="29">
        <v>0.08</v>
      </c>
      <c r="J34" s="29">
        <v>7.6999999999999999E-2</v>
      </c>
      <c r="K34" s="29">
        <v>7.5999999999999998E-2</v>
      </c>
      <c r="L34" s="29">
        <v>7.3999999999999996E-2</v>
      </c>
      <c r="M34" s="29">
        <v>7.2999999999999995E-2</v>
      </c>
      <c r="N34" s="29">
        <v>7.0000000000000007E-2</v>
      </c>
      <c r="O34" s="31">
        <v>6.8000000000000005E-2</v>
      </c>
      <c r="P34" s="31">
        <v>6.6000000000000003E-2</v>
      </c>
      <c r="Q34" s="31">
        <v>6.4000000000000001E-2</v>
      </c>
      <c r="R34" s="31">
        <v>6.4000000000000001E-2</v>
      </c>
      <c r="S34" s="35"/>
      <c r="T34" s="33"/>
      <c r="U34" s="32">
        <v>12.3</v>
      </c>
      <c r="V34" s="33"/>
      <c r="W34" s="33"/>
    </row>
    <row r="35" spans="1:23" s="34" customFormat="1" ht="12.75" customHeight="1">
      <c r="A35" s="28">
        <v>1781</v>
      </c>
      <c r="B35" s="29">
        <v>0.115</v>
      </c>
      <c r="C35" s="29">
        <v>0.111</v>
      </c>
      <c r="D35" s="30">
        <v>7.2999999999999995E-2</v>
      </c>
      <c r="E35" s="29">
        <v>7.0999999999999994E-2</v>
      </c>
      <c r="F35" s="30">
        <v>6.9000000000000006E-2</v>
      </c>
      <c r="G35" s="29">
        <v>6.8000000000000005E-2</v>
      </c>
      <c r="H35" s="30">
        <v>6.7000000000000004E-2</v>
      </c>
      <c r="I35" s="29">
        <v>6.4000000000000001E-2</v>
      </c>
      <c r="J35" s="29">
        <v>6.3E-2</v>
      </c>
      <c r="K35" s="29">
        <v>6.2E-2</v>
      </c>
      <c r="L35" s="29">
        <v>0.06</v>
      </c>
      <c r="M35" s="29">
        <v>5.8999999999999997E-2</v>
      </c>
      <c r="N35" s="29">
        <v>5.7000000000000002E-2</v>
      </c>
      <c r="O35" s="31">
        <v>5.5E-2</v>
      </c>
      <c r="P35" s="31">
        <v>5.3999999999999999E-2</v>
      </c>
      <c r="Q35" s="31">
        <v>5.1999999999999998E-2</v>
      </c>
      <c r="R35" s="31">
        <v>5.1999999999999998E-2</v>
      </c>
      <c r="S35" s="35"/>
      <c r="T35" s="33"/>
      <c r="U35" s="32">
        <v>-19</v>
      </c>
      <c r="V35" s="33"/>
      <c r="W35" s="33"/>
    </row>
    <row r="36" spans="1:23" s="34" customFormat="1" ht="12.75" customHeight="1">
      <c r="A36" s="28">
        <v>1782</v>
      </c>
      <c r="B36" s="29">
        <v>0.127</v>
      </c>
      <c r="C36" s="29">
        <v>0.121</v>
      </c>
      <c r="D36" s="30">
        <v>7.9000000000000001E-2</v>
      </c>
      <c r="E36" s="29">
        <v>7.6999999999999999E-2</v>
      </c>
      <c r="F36" s="30">
        <v>7.4999999999999997E-2</v>
      </c>
      <c r="G36" s="29">
        <v>7.3999999999999996E-2</v>
      </c>
      <c r="H36" s="30">
        <v>7.2999999999999995E-2</v>
      </c>
      <c r="I36" s="29">
        <v>7.0000000000000007E-2</v>
      </c>
      <c r="J36" s="29">
        <v>6.8000000000000005E-2</v>
      </c>
      <c r="K36" s="29">
        <v>6.7000000000000004E-2</v>
      </c>
      <c r="L36" s="29">
        <v>6.6000000000000003E-2</v>
      </c>
      <c r="M36" s="29">
        <v>6.4000000000000001E-2</v>
      </c>
      <c r="N36" s="29">
        <v>6.2E-2</v>
      </c>
      <c r="O36" s="31">
        <v>0.06</v>
      </c>
      <c r="P36" s="31">
        <v>5.8000000000000003E-2</v>
      </c>
      <c r="Q36" s="31">
        <v>5.6000000000000001E-2</v>
      </c>
      <c r="R36" s="31">
        <v>5.7000000000000002E-2</v>
      </c>
      <c r="S36" s="35"/>
      <c r="T36" s="33"/>
      <c r="U36" s="32">
        <v>9</v>
      </c>
      <c r="V36" s="33"/>
      <c r="W36" s="33"/>
    </row>
    <row r="37" spans="1:23" s="34" customFormat="1" ht="12.75" customHeight="1">
      <c r="A37" s="28">
        <v>1783</v>
      </c>
      <c r="B37" s="29">
        <v>0.111</v>
      </c>
      <c r="C37" s="29">
        <v>0.106</v>
      </c>
      <c r="D37" s="30">
        <v>7.0000000000000007E-2</v>
      </c>
      <c r="E37" s="29">
        <v>6.8000000000000005E-2</v>
      </c>
      <c r="F37" s="30">
        <v>6.6000000000000003E-2</v>
      </c>
      <c r="G37" s="29">
        <v>6.5000000000000002E-2</v>
      </c>
      <c r="H37" s="30">
        <v>6.4000000000000001E-2</v>
      </c>
      <c r="I37" s="29">
        <v>6.2E-2</v>
      </c>
      <c r="J37" s="29">
        <v>0.06</v>
      </c>
      <c r="K37" s="29">
        <v>5.8999999999999997E-2</v>
      </c>
      <c r="L37" s="29">
        <v>5.8000000000000003E-2</v>
      </c>
      <c r="M37" s="29">
        <v>5.6000000000000001E-2</v>
      </c>
      <c r="N37" s="29">
        <v>5.3999999999999999E-2</v>
      </c>
      <c r="O37" s="31">
        <v>5.2999999999999999E-2</v>
      </c>
      <c r="P37" s="31">
        <v>5.0999999999999997E-2</v>
      </c>
      <c r="Q37" s="31">
        <v>4.9000000000000002E-2</v>
      </c>
      <c r="R37" s="31">
        <v>0.05</v>
      </c>
      <c r="S37" s="35"/>
      <c r="T37" s="33"/>
      <c r="U37" s="32">
        <v>-12.4</v>
      </c>
      <c r="V37" s="33"/>
      <c r="W37" s="33"/>
    </row>
    <row r="38" spans="1:23" s="34" customFormat="1" ht="12.75" customHeight="1">
      <c r="A38" s="28">
        <v>1784</v>
      </c>
      <c r="B38" s="29">
        <v>0.107</v>
      </c>
      <c r="C38" s="29">
        <v>0.10199999999999999</v>
      </c>
      <c r="D38" s="30">
        <v>6.7000000000000004E-2</v>
      </c>
      <c r="E38" s="29">
        <v>6.5000000000000002E-2</v>
      </c>
      <c r="F38" s="30">
        <v>6.4000000000000001E-2</v>
      </c>
      <c r="G38" s="29">
        <v>6.3E-2</v>
      </c>
      <c r="H38" s="30">
        <v>6.0999999999999999E-2</v>
      </c>
      <c r="I38" s="29">
        <v>5.8999999999999997E-2</v>
      </c>
      <c r="J38" s="29">
        <v>5.8000000000000003E-2</v>
      </c>
      <c r="K38" s="29">
        <v>5.7000000000000002E-2</v>
      </c>
      <c r="L38" s="29">
        <v>5.5E-2</v>
      </c>
      <c r="M38" s="29">
        <v>5.3999999999999999E-2</v>
      </c>
      <c r="N38" s="29">
        <v>5.1999999999999998E-2</v>
      </c>
      <c r="O38" s="31">
        <v>5.0999999999999997E-2</v>
      </c>
      <c r="P38" s="31">
        <v>4.9000000000000002E-2</v>
      </c>
      <c r="Q38" s="31">
        <v>4.7E-2</v>
      </c>
      <c r="R38" s="31">
        <v>4.8000000000000001E-2</v>
      </c>
      <c r="S38" s="35"/>
      <c r="T38" s="33"/>
      <c r="U38" s="32">
        <v>-3.8</v>
      </c>
      <c r="V38" s="33"/>
      <c r="W38" s="33"/>
    </row>
    <row r="39" spans="1:23" s="34" customFormat="1" ht="12.75" customHeight="1">
      <c r="A39" s="28">
        <v>1785</v>
      </c>
      <c r="B39" s="29">
        <v>0.10100000000000001</v>
      </c>
      <c r="C39" s="29">
        <v>9.7000000000000003E-2</v>
      </c>
      <c r="D39" s="30">
        <v>6.4000000000000001E-2</v>
      </c>
      <c r="E39" s="29">
        <v>6.2E-2</v>
      </c>
      <c r="F39" s="30">
        <v>0.06</v>
      </c>
      <c r="G39" s="29">
        <v>0.06</v>
      </c>
      <c r="H39" s="30">
        <v>5.8000000000000003E-2</v>
      </c>
      <c r="I39" s="29">
        <v>5.6000000000000001E-2</v>
      </c>
      <c r="J39" s="29">
        <v>5.5E-2</v>
      </c>
      <c r="K39" s="29">
        <v>5.3999999999999999E-2</v>
      </c>
      <c r="L39" s="29">
        <v>5.2999999999999999E-2</v>
      </c>
      <c r="M39" s="29">
        <v>5.0999999999999997E-2</v>
      </c>
      <c r="N39" s="29">
        <v>0.05</v>
      </c>
      <c r="O39" s="31">
        <v>4.8000000000000001E-2</v>
      </c>
      <c r="P39" s="31">
        <v>4.7E-2</v>
      </c>
      <c r="Q39" s="31">
        <v>4.4999999999999998E-2</v>
      </c>
      <c r="R39" s="31">
        <v>4.4999999999999998E-2</v>
      </c>
      <c r="S39" s="35"/>
      <c r="T39" s="33"/>
      <c r="U39" s="32">
        <v>-4.9000000000000004</v>
      </c>
      <c r="V39" s="33"/>
      <c r="W39" s="33"/>
    </row>
    <row r="40" spans="1:23" s="34" customFormat="1" ht="12.75" customHeight="1">
      <c r="A40" s="28">
        <v>1786</v>
      </c>
      <c r="B40" s="29">
        <v>9.9000000000000005E-2</v>
      </c>
      <c r="C40" s="29">
        <v>9.5000000000000001E-2</v>
      </c>
      <c r="D40" s="30">
        <v>6.2E-2</v>
      </c>
      <c r="E40" s="29">
        <v>6.0999999999999999E-2</v>
      </c>
      <c r="F40" s="30">
        <v>5.8999999999999997E-2</v>
      </c>
      <c r="G40" s="29">
        <v>5.8000000000000003E-2</v>
      </c>
      <c r="H40" s="30">
        <v>5.7000000000000002E-2</v>
      </c>
      <c r="I40" s="29">
        <v>5.5E-2</v>
      </c>
      <c r="J40" s="29">
        <v>5.3999999999999999E-2</v>
      </c>
      <c r="K40" s="29">
        <v>5.2999999999999999E-2</v>
      </c>
      <c r="L40" s="29">
        <v>5.1999999999999998E-2</v>
      </c>
      <c r="M40" s="29">
        <v>0.05</v>
      </c>
      <c r="N40" s="29">
        <v>4.9000000000000002E-2</v>
      </c>
      <c r="O40" s="31">
        <v>4.7E-2</v>
      </c>
      <c r="P40" s="31">
        <v>4.5999999999999999E-2</v>
      </c>
      <c r="Q40" s="31">
        <v>4.3999999999999997E-2</v>
      </c>
      <c r="R40" s="31">
        <v>4.3999999999999997E-2</v>
      </c>
      <c r="S40" s="35"/>
      <c r="T40" s="33"/>
      <c r="U40" s="32">
        <v>-2.1</v>
      </c>
      <c r="V40" s="33"/>
      <c r="W40" s="33"/>
    </row>
    <row r="41" spans="1:23" s="34" customFormat="1" ht="12.75" customHeight="1">
      <c r="A41" s="28">
        <v>1787</v>
      </c>
      <c r="B41" s="29">
        <v>9.7000000000000003E-2</v>
      </c>
      <c r="C41" s="29">
        <v>9.2999999999999999E-2</v>
      </c>
      <c r="D41" s="30">
        <v>6.0999999999999999E-2</v>
      </c>
      <c r="E41" s="29">
        <v>5.8999999999999997E-2</v>
      </c>
      <c r="F41" s="30">
        <v>5.8000000000000003E-2</v>
      </c>
      <c r="G41" s="29">
        <v>5.7000000000000002E-2</v>
      </c>
      <c r="H41" s="30">
        <v>5.6000000000000001E-2</v>
      </c>
      <c r="I41" s="29">
        <v>5.3999999999999999E-2</v>
      </c>
      <c r="J41" s="29">
        <v>5.2999999999999999E-2</v>
      </c>
      <c r="K41" s="29">
        <v>5.1999999999999998E-2</v>
      </c>
      <c r="L41" s="29">
        <v>5.0999999999999997E-2</v>
      </c>
      <c r="M41" s="29">
        <v>4.9000000000000002E-2</v>
      </c>
      <c r="N41" s="29">
        <v>4.8000000000000001E-2</v>
      </c>
      <c r="O41" s="31">
        <v>4.5999999999999999E-2</v>
      </c>
      <c r="P41" s="31">
        <v>4.4999999999999998E-2</v>
      </c>
      <c r="Q41" s="31">
        <v>4.2999999999999997E-2</v>
      </c>
      <c r="R41" s="31">
        <v>4.2999999999999997E-2</v>
      </c>
      <c r="S41" s="35"/>
      <c r="T41" s="33"/>
      <c r="U41" s="32">
        <v>-2.1</v>
      </c>
      <c r="V41" s="33"/>
      <c r="W41" s="33"/>
    </row>
    <row r="42" spans="1:23" s="34" customFormat="1" ht="12.75" customHeight="1">
      <c r="A42" s="28">
        <v>1788</v>
      </c>
      <c r="B42" s="29">
        <v>9.2999999999999999E-2</v>
      </c>
      <c r="C42" s="29">
        <v>8.8999999999999996E-2</v>
      </c>
      <c r="D42" s="30">
        <v>5.8000000000000003E-2</v>
      </c>
      <c r="E42" s="29">
        <v>5.7000000000000002E-2</v>
      </c>
      <c r="F42" s="30">
        <v>5.5E-2</v>
      </c>
      <c r="G42" s="29">
        <v>5.5E-2</v>
      </c>
      <c r="H42" s="30">
        <v>5.2999999999999999E-2</v>
      </c>
      <c r="I42" s="29">
        <v>5.1999999999999998E-2</v>
      </c>
      <c r="J42" s="29">
        <v>0.05</v>
      </c>
      <c r="K42" s="29">
        <v>4.9000000000000002E-2</v>
      </c>
      <c r="L42" s="29">
        <v>4.8000000000000001E-2</v>
      </c>
      <c r="M42" s="29">
        <v>4.7E-2</v>
      </c>
      <c r="N42" s="29">
        <v>4.5999999999999999E-2</v>
      </c>
      <c r="O42" s="31">
        <v>4.3999999999999997E-2</v>
      </c>
      <c r="P42" s="31">
        <v>4.2999999999999997E-2</v>
      </c>
      <c r="Q42" s="31">
        <v>4.1000000000000002E-2</v>
      </c>
      <c r="R42" s="31">
        <v>4.2000000000000003E-2</v>
      </c>
      <c r="S42" s="35"/>
      <c r="T42" s="33"/>
      <c r="U42" s="32">
        <v>-4.3</v>
      </c>
      <c r="V42" s="33"/>
      <c r="W42" s="33"/>
    </row>
    <row r="43" spans="1:23" s="34" customFormat="1" ht="12.75" customHeight="1">
      <c r="A43" s="28">
        <v>1789</v>
      </c>
      <c r="B43" s="29">
        <v>9.1999999999999998E-2</v>
      </c>
      <c r="C43" s="29">
        <v>8.7999999999999995E-2</v>
      </c>
      <c r="D43" s="30">
        <v>5.8000000000000003E-2</v>
      </c>
      <c r="E43" s="29">
        <v>5.6000000000000001E-2</v>
      </c>
      <c r="F43" s="30">
        <v>5.5E-2</v>
      </c>
      <c r="G43" s="29">
        <v>5.3999999999999999E-2</v>
      </c>
      <c r="H43" s="30">
        <v>5.2999999999999999E-2</v>
      </c>
      <c r="I43" s="29">
        <v>5.0999999999999997E-2</v>
      </c>
      <c r="J43" s="29">
        <v>0.05</v>
      </c>
      <c r="K43" s="29">
        <v>4.9000000000000002E-2</v>
      </c>
      <c r="L43" s="29">
        <v>4.8000000000000001E-2</v>
      </c>
      <c r="M43" s="29">
        <v>4.7E-2</v>
      </c>
      <c r="N43" s="29">
        <v>4.4999999999999998E-2</v>
      </c>
      <c r="O43" s="31">
        <v>4.3999999999999997E-2</v>
      </c>
      <c r="P43" s="31">
        <v>4.2000000000000003E-2</v>
      </c>
      <c r="Q43" s="31">
        <v>4.1000000000000002E-2</v>
      </c>
      <c r="R43" s="31">
        <v>4.1000000000000002E-2</v>
      </c>
      <c r="S43" s="35"/>
      <c r="T43" s="33"/>
      <c r="U43" s="32">
        <v>-1.1000000000000001</v>
      </c>
      <c r="V43" s="33"/>
      <c r="W43" s="33"/>
    </row>
    <row r="44" spans="1:23" s="34" customFormat="1" ht="12.75" customHeight="1">
      <c r="A44" s="28">
        <v>1790</v>
      </c>
      <c r="B44" s="29">
        <v>9.5000000000000001E-2</v>
      </c>
      <c r="C44" s="29">
        <v>9.1999999999999998E-2</v>
      </c>
      <c r="D44" s="30">
        <v>0.06</v>
      </c>
      <c r="E44" s="29">
        <v>5.8999999999999997E-2</v>
      </c>
      <c r="F44" s="30">
        <v>5.7000000000000002E-2</v>
      </c>
      <c r="G44" s="29">
        <v>5.6000000000000001E-2</v>
      </c>
      <c r="H44" s="30">
        <v>5.5E-2</v>
      </c>
      <c r="I44" s="29">
        <v>5.2999999999999999E-2</v>
      </c>
      <c r="J44" s="29">
        <v>5.1999999999999998E-2</v>
      </c>
      <c r="K44" s="29">
        <v>5.0999999999999997E-2</v>
      </c>
      <c r="L44" s="29">
        <v>0.05</v>
      </c>
      <c r="M44" s="29">
        <v>4.9000000000000002E-2</v>
      </c>
      <c r="N44" s="29">
        <v>4.7E-2</v>
      </c>
      <c r="O44" s="31">
        <v>4.5999999999999999E-2</v>
      </c>
      <c r="P44" s="31">
        <v>4.3999999999999997E-2</v>
      </c>
      <c r="Q44" s="31">
        <v>4.2999999999999997E-2</v>
      </c>
      <c r="R44" s="31">
        <v>4.2999999999999997E-2</v>
      </c>
      <c r="S44" s="35"/>
      <c r="T44" s="33"/>
      <c r="U44" s="32">
        <v>4.5</v>
      </c>
      <c r="V44" s="33"/>
      <c r="W44" s="33"/>
    </row>
    <row r="45" spans="1:23" s="34" customFormat="1" ht="12.75" customHeight="1">
      <c r="A45" s="28">
        <v>1791</v>
      </c>
      <c r="B45" s="29">
        <v>9.8000000000000004E-2</v>
      </c>
      <c r="C45" s="29">
        <v>9.4E-2</v>
      </c>
      <c r="D45" s="30">
        <v>6.2E-2</v>
      </c>
      <c r="E45" s="29">
        <v>0.06</v>
      </c>
      <c r="F45" s="30">
        <v>5.8999999999999997E-2</v>
      </c>
      <c r="G45" s="29">
        <v>5.8000000000000003E-2</v>
      </c>
      <c r="H45" s="30">
        <v>5.6000000000000001E-2</v>
      </c>
      <c r="I45" s="29">
        <v>5.5E-2</v>
      </c>
      <c r="J45" s="29">
        <v>5.2999999999999999E-2</v>
      </c>
      <c r="K45" s="29">
        <v>5.1999999999999998E-2</v>
      </c>
      <c r="L45" s="29">
        <v>5.0999999999999997E-2</v>
      </c>
      <c r="M45" s="29">
        <v>0.05</v>
      </c>
      <c r="N45" s="29">
        <v>4.8000000000000001E-2</v>
      </c>
      <c r="O45" s="31">
        <v>4.7E-2</v>
      </c>
      <c r="P45" s="31">
        <v>4.4999999999999998E-2</v>
      </c>
      <c r="Q45" s="31">
        <v>4.3999999999999997E-2</v>
      </c>
      <c r="R45" s="31">
        <v>4.3999999999999997E-2</v>
      </c>
      <c r="S45" s="35"/>
      <c r="T45" s="33"/>
      <c r="U45" s="32">
        <v>2.2000000000000002</v>
      </c>
      <c r="V45" s="33"/>
      <c r="W45" s="33"/>
    </row>
    <row r="46" spans="1:23" s="34" customFormat="1" ht="12.75" customHeight="1">
      <c r="A46" s="28">
        <v>1792</v>
      </c>
      <c r="B46" s="29">
        <v>0.1</v>
      </c>
      <c r="C46" s="29">
        <v>9.6000000000000002E-2</v>
      </c>
      <c r="D46" s="30">
        <v>6.3E-2</v>
      </c>
      <c r="E46" s="29">
        <v>6.0999999999999999E-2</v>
      </c>
      <c r="F46" s="30">
        <v>0.06</v>
      </c>
      <c r="G46" s="29">
        <v>5.8999999999999997E-2</v>
      </c>
      <c r="H46" s="30">
        <v>5.8000000000000003E-2</v>
      </c>
      <c r="I46" s="29">
        <v>5.6000000000000001E-2</v>
      </c>
      <c r="J46" s="29">
        <v>5.3999999999999999E-2</v>
      </c>
      <c r="K46" s="29">
        <v>5.2999999999999999E-2</v>
      </c>
      <c r="L46" s="29">
        <v>5.1999999999999998E-2</v>
      </c>
      <c r="M46" s="29">
        <v>5.0999999999999997E-2</v>
      </c>
      <c r="N46" s="29">
        <v>4.9000000000000002E-2</v>
      </c>
      <c r="O46" s="31">
        <v>4.8000000000000001E-2</v>
      </c>
      <c r="P46" s="31">
        <v>4.5999999999999999E-2</v>
      </c>
      <c r="Q46" s="31">
        <v>4.4999999999999998E-2</v>
      </c>
      <c r="R46" s="31">
        <v>4.4999999999999998E-2</v>
      </c>
      <c r="S46" s="35"/>
      <c r="T46" s="33"/>
      <c r="U46" s="32">
        <v>2.1</v>
      </c>
      <c r="V46" s="33"/>
      <c r="W46" s="33"/>
    </row>
    <row r="47" spans="1:23" s="34" customFormat="1" ht="12.75" customHeight="1">
      <c r="A47" s="28">
        <v>1793</v>
      </c>
      <c r="B47" s="29">
        <v>0.10299999999999999</v>
      </c>
      <c r="C47" s="29">
        <v>9.9000000000000005E-2</v>
      </c>
      <c r="D47" s="30">
        <v>6.5000000000000002E-2</v>
      </c>
      <c r="E47" s="29">
        <v>6.3E-2</v>
      </c>
      <c r="F47" s="30">
        <v>6.2E-2</v>
      </c>
      <c r="G47" s="29">
        <v>6.0999999999999999E-2</v>
      </c>
      <c r="H47" s="30">
        <v>5.8999999999999997E-2</v>
      </c>
      <c r="I47" s="29">
        <v>5.7000000000000002E-2</v>
      </c>
      <c r="J47" s="29">
        <v>5.6000000000000001E-2</v>
      </c>
      <c r="K47" s="29">
        <v>5.5E-2</v>
      </c>
      <c r="L47" s="29">
        <v>5.3999999999999999E-2</v>
      </c>
      <c r="M47" s="29">
        <v>5.1999999999999998E-2</v>
      </c>
      <c r="N47" s="29">
        <v>5.0999999999999997E-2</v>
      </c>
      <c r="O47" s="31">
        <v>4.9000000000000002E-2</v>
      </c>
      <c r="P47" s="31">
        <v>4.8000000000000001E-2</v>
      </c>
      <c r="Q47" s="31">
        <v>4.5999999999999999E-2</v>
      </c>
      <c r="R47" s="31">
        <v>4.5999999999999999E-2</v>
      </c>
      <c r="S47" s="35"/>
      <c r="T47" s="33"/>
      <c r="U47" s="32">
        <v>3.1</v>
      </c>
      <c r="V47" s="33"/>
      <c r="W47" s="33"/>
    </row>
    <row r="48" spans="1:23" s="34" customFormat="1" ht="12.75" customHeight="1">
      <c r="A48" s="28">
        <v>1794</v>
      </c>
      <c r="B48" s="29">
        <v>0.114</v>
      </c>
      <c r="C48" s="29">
        <v>0.11</v>
      </c>
      <c r="D48" s="30">
        <v>7.1999999999999995E-2</v>
      </c>
      <c r="E48" s="29">
        <v>7.0000000000000007E-2</v>
      </c>
      <c r="F48" s="30">
        <v>6.9000000000000006E-2</v>
      </c>
      <c r="G48" s="29">
        <v>6.7000000000000004E-2</v>
      </c>
      <c r="H48" s="30">
        <v>6.6000000000000003E-2</v>
      </c>
      <c r="I48" s="29">
        <v>6.4000000000000001E-2</v>
      </c>
      <c r="J48" s="29">
        <v>6.2E-2</v>
      </c>
      <c r="K48" s="29">
        <v>6.0999999999999999E-2</v>
      </c>
      <c r="L48" s="29">
        <v>0.06</v>
      </c>
      <c r="M48" s="29">
        <v>5.8000000000000003E-2</v>
      </c>
      <c r="N48" s="29">
        <v>5.6000000000000001E-2</v>
      </c>
      <c r="O48" s="31">
        <v>5.5E-2</v>
      </c>
      <c r="P48" s="31">
        <v>5.2999999999999999E-2</v>
      </c>
      <c r="Q48" s="31">
        <v>5.0999999999999997E-2</v>
      </c>
      <c r="R48" s="31">
        <v>5.0999999999999997E-2</v>
      </c>
      <c r="S48" s="35"/>
      <c r="T48" s="33"/>
      <c r="U48" s="32">
        <v>11.1</v>
      </c>
      <c r="V48" s="33"/>
      <c r="W48" s="33"/>
    </row>
    <row r="49" spans="1:23" s="34" customFormat="1" ht="12.75" customHeight="1">
      <c r="A49" s="28">
        <v>1795</v>
      </c>
      <c r="B49" s="29">
        <v>0.13100000000000001</v>
      </c>
      <c r="C49" s="29">
        <v>0.126</v>
      </c>
      <c r="D49" s="30">
        <v>8.3000000000000004E-2</v>
      </c>
      <c r="E49" s="29">
        <v>0.08</v>
      </c>
      <c r="F49" s="30">
        <v>7.9000000000000001E-2</v>
      </c>
      <c r="G49" s="29">
        <v>7.6999999999999999E-2</v>
      </c>
      <c r="H49" s="30">
        <v>7.5999999999999998E-2</v>
      </c>
      <c r="I49" s="29">
        <v>7.2999999999999995E-2</v>
      </c>
      <c r="J49" s="29">
        <v>7.0999999999999994E-2</v>
      </c>
      <c r="K49" s="29">
        <v>7.0000000000000007E-2</v>
      </c>
      <c r="L49" s="29">
        <v>6.8000000000000005E-2</v>
      </c>
      <c r="M49" s="29">
        <v>6.7000000000000004E-2</v>
      </c>
      <c r="N49" s="29">
        <v>6.5000000000000002E-2</v>
      </c>
      <c r="O49" s="31">
        <v>6.3E-2</v>
      </c>
      <c r="P49" s="31">
        <v>6.0999999999999999E-2</v>
      </c>
      <c r="Q49" s="31">
        <v>5.8999999999999997E-2</v>
      </c>
      <c r="R49" s="31">
        <v>5.8999999999999997E-2</v>
      </c>
      <c r="S49" s="35"/>
      <c r="T49" s="33"/>
      <c r="U49" s="32">
        <v>14.5</v>
      </c>
      <c r="V49" s="33"/>
      <c r="W49" s="33"/>
    </row>
    <row r="50" spans="1:23" s="34" customFormat="1" ht="12.75" customHeight="1">
      <c r="A50" s="28">
        <v>1796</v>
      </c>
      <c r="B50" s="29">
        <v>0.13800000000000001</v>
      </c>
      <c r="C50" s="29">
        <v>0.13200000000000001</v>
      </c>
      <c r="D50" s="30">
        <v>8.6999999999999994E-2</v>
      </c>
      <c r="E50" s="29">
        <v>8.4000000000000005E-2</v>
      </c>
      <c r="F50" s="30">
        <v>8.2000000000000003E-2</v>
      </c>
      <c r="G50" s="29">
        <v>8.1000000000000003E-2</v>
      </c>
      <c r="H50" s="30">
        <v>7.9000000000000001E-2</v>
      </c>
      <c r="I50" s="29">
        <v>7.6999999999999999E-2</v>
      </c>
      <c r="J50" s="29">
        <v>7.4999999999999997E-2</v>
      </c>
      <c r="K50" s="29">
        <v>7.2999999999999995E-2</v>
      </c>
      <c r="L50" s="29">
        <v>7.1999999999999995E-2</v>
      </c>
      <c r="M50" s="29">
        <v>7.0000000000000007E-2</v>
      </c>
      <c r="N50" s="29">
        <v>6.8000000000000005E-2</v>
      </c>
      <c r="O50" s="31">
        <v>6.5000000000000002E-2</v>
      </c>
      <c r="P50" s="31">
        <v>6.4000000000000001E-2</v>
      </c>
      <c r="Q50" s="31">
        <v>6.0999999999999999E-2</v>
      </c>
      <c r="R50" s="31">
        <v>6.2E-2</v>
      </c>
      <c r="S50" s="35"/>
      <c r="T50" s="33"/>
      <c r="U50" s="32">
        <v>4.8</v>
      </c>
      <c r="V50" s="33"/>
      <c r="W50" s="33"/>
    </row>
    <row r="51" spans="1:23" s="34" customFormat="1" ht="12.75" customHeight="1">
      <c r="A51" s="28">
        <v>1797</v>
      </c>
      <c r="B51" s="29">
        <v>0.13300000000000001</v>
      </c>
      <c r="C51" s="29">
        <v>0.127</v>
      </c>
      <c r="D51" s="30">
        <v>8.3000000000000004E-2</v>
      </c>
      <c r="E51" s="29">
        <v>8.1000000000000003E-2</v>
      </c>
      <c r="F51" s="30">
        <v>7.9000000000000001E-2</v>
      </c>
      <c r="G51" s="29">
        <v>7.8E-2</v>
      </c>
      <c r="H51" s="30">
        <v>7.5999999999999998E-2</v>
      </c>
      <c r="I51" s="29">
        <v>7.3999999999999996E-2</v>
      </c>
      <c r="J51" s="29">
        <v>7.1999999999999995E-2</v>
      </c>
      <c r="K51" s="29">
        <v>7.0999999999999994E-2</v>
      </c>
      <c r="L51" s="29">
        <v>6.9000000000000006E-2</v>
      </c>
      <c r="M51" s="29">
        <v>6.7000000000000004E-2</v>
      </c>
      <c r="N51" s="29">
        <v>6.5000000000000002E-2</v>
      </c>
      <c r="O51" s="31">
        <v>6.3E-2</v>
      </c>
      <c r="P51" s="31">
        <v>6.0999999999999999E-2</v>
      </c>
      <c r="Q51" s="31">
        <v>5.8999999999999997E-2</v>
      </c>
      <c r="R51" s="31">
        <v>5.8999999999999997E-2</v>
      </c>
      <c r="S51" s="35"/>
      <c r="T51" s="33"/>
      <c r="U51" s="32">
        <v>-3.8</v>
      </c>
      <c r="V51" s="33"/>
      <c r="W51" s="33"/>
    </row>
    <row r="52" spans="1:23" s="34" customFormat="1" ht="12.75" customHeight="1">
      <c r="A52" s="28">
        <v>1798</v>
      </c>
      <c r="B52" s="29">
        <v>0.128</v>
      </c>
      <c r="C52" s="29">
        <v>0.123</v>
      </c>
      <c r="D52" s="30">
        <v>8.1000000000000003E-2</v>
      </c>
      <c r="E52" s="29">
        <v>7.8E-2</v>
      </c>
      <c r="F52" s="30">
        <v>7.6999999999999999E-2</v>
      </c>
      <c r="G52" s="29">
        <v>7.4999999999999997E-2</v>
      </c>
      <c r="H52" s="30">
        <v>7.3999999999999996E-2</v>
      </c>
      <c r="I52" s="29">
        <v>7.0999999999999994E-2</v>
      </c>
      <c r="J52" s="29">
        <v>6.9000000000000006E-2</v>
      </c>
      <c r="K52" s="29">
        <v>6.8000000000000005E-2</v>
      </c>
      <c r="L52" s="29">
        <v>6.7000000000000004E-2</v>
      </c>
      <c r="M52" s="29">
        <v>6.5000000000000002E-2</v>
      </c>
      <c r="N52" s="29">
        <v>6.3E-2</v>
      </c>
      <c r="O52" s="31">
        <v>6.0999999999999999E-2</v>
      </c>
      <c r="P52" s="31">
        <v>5.8999999999999997E-2</v>
      </c>
      <c r="Q52" s="31">
        <v>5.7000000000000002E-2</v>
      </c>
      <c r="R52" s="31">
        <v>5.8000000000000003E-2</v>
      </c>
      <c r="S52" s="35"/>
      <c r="T52" s="33"/>
      <c r="U52" s="32">
        <v>-3.1</v>
      </c>
      <c r="V52" s="33"/>
      <c r="W52" s="33"/>
    </row>
    <row r="53" spans="1:23" s="34" customFormat="1" ht="12.75" customHeight="1">
      <c r="A53" s="28">
        <v>1799</v>
      </c>
      <c r="B53" s="29">
        <v>0.128</v>
      </c>
      <c r="C53" s="29">
        <v>0.123</v>
      </c>
      <c r="D53" s="30">
        <v>8.1000000000000003E-2</v>
      </c>
      <c r="E53" s="29">
        <v>7.8E-2</v>
      </c>
      <c r="F53" s="30">
        <v>7.6999999999999999E-2</v>
      </c>
      <c r="G53" s="29">
        <v>7.4999999999999997E-2</v>
      </c>
      <c r="H53" s="30">
        <v>7.3999999999999996E-2</v>
      </c>
      <c r="I53" s="29">
        <v>7.0999999999999994E-2</v>
      </c>
      <c r="J53" s="29">
        <v>6.9000000000000006E-2</v>
      </c>
      <c r="K53" s="29">
        <v>6.8000000000000005E-2</v>
      </c>
      <c r="L53" s="29">
        <v>6.7000000000000004E-2</v>
      </c>
      <c r="M53" s="29">
        <v>6.5000000000000002E-2</v>
      </c>
      <c r="N53" s="29">
        <v>6.3E-2</v>
      </c>
      <c r="O53" s="31">
        <v>6.0999999999999999E-2</v>
      </c>
      <c r="P53" s="31">
        <v>5.8999999999999997E-2</v>
      </c>
      <c r="Q53" s="31">
        <v>5.7000000000000002E-2</v>
      </c>
      <c r="R53" s="31">
        <v>5.8000000000000003E-2</v>
      </c>
      <c r="S53" s="35"/>
      <c r="T53" s="33"/>
      <c r="U53" s="32">
        <v>0</v>
      </c>
      <c r="V53" s="33"/>
      <c r="W53" s="33"/>
    </row>
    <row r="54" spans="1:23" s="34" customFormat="1" ht="12.75" customHeight="1">
      <c r="A54" s="28">
        <v>1800</v>
      </c>
      <c r="B54" s="29">
        <v>0.13100000000000001</v>
      </c>
      <c r="C54" s="29">
        <v>0.126</v>
      </c>
      <c r="D54" s="30">
        <v>8.3000000000000004E-2</v>
      </c>
      <c r="E54" s="29">
        <v>0.08</v>
      </c>
      <c r="F54" s="30">
        <v>7.9000000000000001E-2</v>
      </c>
      <c r="G54" s="29">
        <v>7.6999999999999999E-2</v>
      </c>
      <c r="H54" s="30">
        <v>7.5999999999999998E-2</v>
      </c>
      <c r="I54" s="29">
        <v>7.2999999999999995E-2</v>
      </c>
      <c r="J54" s="29">
        <v>7.0999999999999994E-2</v>
      </c>
      <c r="K54" s="29">
        <v>7.0000000000000007E-2</v>
      </c>
      <c r="L54" s="29">
        <v>6.8000000000000005E-2</v>
      </c>
      <c r="M54" s="29">
        <v>6.7000000000000004E-2</v>
      </c>
      <c r="N54" s="29">
        <v>6.5000000000000002E-2</v>
      </c>
      <c r="O54" s="31">
        <v>6.3E-2</v>
      </c>
      <c r="P54" s="31">
        <v>6.0999999999999999E-2</v>
      </c>
      <c r="Q54" s="31">
        <v>5.8999999999999997E-2</v>
      </c>
      <c r="R54" s="31">
        <v>5.8999999999999997E-2</v>
      </c>
      <c r="S54" s="35"/>
      <c r="U54" s="32">
        <v>2.4</v>
      </c>
    </row>
    <row r="55" spans="1:23" s="34" customFormat="1" ht="12.75" customHeight="1">
      <c r="A55" s="28">
        <v>1801</v>
      </c>
      <c r="B55" s="29">
        <v>0.13300000000000001</v>
      </c>
      <c r="C55" s="29">
        <v>0.127</v>
      </c>
      <c r="D55" s="30">
        <v>8.3000000000000004E-2</v>
      </c>
      <c r="E55" s="29">
        <v>8.1000000000000003E-2</v>
      </c>
      <c r="F55" s="30">
        <v>7.9000000000000001E-2</v>
      </c>
      <c r="G55" s="29">
        <v>7.8E-2</v>
      </c>
      <c r="H55" s="30">
        <v>7.5999999999999998E-2</v>
      </c>
      <c r="I55" s="29">
        <v>7.3999999999999996E-2</v>
      </c>
      <c r="J55" s="29">
        <v>7.1999999999999995E-2</v>
      </c>
      <c r="K55" s="29">
        <v>7.0999999999999994E-2</v>
      </c>
      <c r="L55" s="29">
        <v>6.9000000000000006E-2</v>
      </c>
      <c r="M55" s="29">
        <v>6.7000000000000004E-2</v>
      </c>
      <c r="N55" s="29">
        <v>6.5000000000000002E-2</v>
      </c>
      <c r="O55" s="31">
        <v>6.3E-2</v>
      </c>
      <c r="P55" s="31">
        <v>6.0999999999999999E-2</v>
      </c>
      <c r="Q55" s="31">
        <v>5.8999999999999997E-2</v>
      </c>
      <c r="R55" s="31">
        <v>5.8999999999999997E-2</v>
      </c>
      <c r="S55" s="35"/>
      <c r="U55" s="32">
        <v>0.8</v>
      </c>
      <c r="V55" s="28"/>
      <c r="W55" s="28"/>
    </row>
    <row r="56" spans="1:23" s="34" customFormat="1" ht="12.75" customHeight="1">
      <c r="A56" s="28">
        <v>1802</v>
      </c>
      <c r="B56" s="29">
        <v>0.112</v>
      </c>
      <c r="C56" s="29">
        <v>0.107</v>
      </c>
      <c r="D56" s="30">
        <v>7.0000000000000007E-2</v>
      </c>
      <c r="E56" s="29">
        <v>6.8000000000000005E-2</v>
      </c>
      <c r="F56" s="30">
        <v>6.7000000000000004E-2</v>
      </c>
      <c r="G56" s="29">
        <v>6.6000000000000003E-2</v>
      </c>
      <c r="H56" s="30">
        <v>6.4000000000000001E-2</v>
      </c>
      <c r="I56" s="29">
        <v>6.2E-2</v>
      </c>
      <c r="J56" s="29">
        <v>0.06</v>
      </c>
      <c r="K56" s="29">
        <v>5.8999999999999997E-2</v>
      </c>
      <c r="L56" s="29">
        <v>5.8000000000000003E-2</v>
      </c>
      <c r="M56" s="29">
        <v>5.7000000000000002E-2</v>
      </c>
      <c r="N56" s="29">
        <v>5.5E-2</v>
      </c>
      <c r="O56" s="31">
        <v>5.2999999999999999E-2</v>
      </c>
      <c r="P56" s="31">
        <v>5.1999999999999998E-2</v>
      </c>
      <c r="Q56" s="31">
        <v>0.05</v>
      </c>
      <c r="R56" s="31">
        <v>0.05</v>
      </c>
      <c r="S56" s="35"/>
      <c r="U56" s="32">
        <v>-15.7</v>
      </c>
      <c r="V56" s="28"/>
      <c r="W56" s="28"/>
    </row>
    <row r="57" spans="1:23" s="34" customFormat="1" ht="12.75" customHeight="1">
      <c r="A57" s="28">
        <v>1803</v>
      </c>
      <c r="B57" s="29">
        <v>0.11799999999999999</v>
      </c>
      <c r="C57" s="29">
        <v>0.113</v>
      </c>
      <c r="D57" s="30">
        <v>7.3999999999999996E-2</v>
      </c>
      <c r="E57" s="29">
        <v>7.1999999999999995E-2</v>
      </c>
      <c r="F57" s="30">
        <v>7.0000000000000007E-2</v>
      </c>
      <c r="G57" s="29">
        <v>6.9000000000000006E-2</v>
      </c>
      <c r="H57" s="30">
        <v>6.8000000000000005E-2</v>
      </c>
      <c r="I57" s="29">
        <v>6.6000000000000003E-2</v>
      </c>
      <c r="J57" s="29">
        <v>6.4000000000000001E-2</v>
      </c>
      <c r="K57" s="29">
        <v>6.3E-2</v>
      </c>
      <c r="L57" s="29">
        <v>6.0999999999999999E-2</v>
      </c>
      <c r="M57" s="29">
        <v>0.06</v>
      </c>
      <c r="N57" s="29">
        <v>5.8000000000000003E-2</v>
      </c>
      <c r="O57" s="31">
        <v>5.6000000000000001E-2</v>
      </c>
      <c r="P57" s="31">
        <v>5.3999999999999999E-2</v>
      </c>
      <c r="Q57" s="31">
        <v>5.1999999999999998E-2</v>
      </c>
      <c r="R57" s="31">
        <v>5.2999999999999999E-2</v>
      </c>
      <c r="S57" s="35"/>
      <c r="U57" s="32">
        <v>5.6</v>
      </c>
      <c r="V57" s="28"/>
      <c r="W57" s="28"/>
    </row>
    <row r="58" spans="1:23" s="34" customFormat="1" ht="12.75" customHeight="1">
      <c r="A58" s="28">
        <v>1804</v>
      </c>
      <c r="B58" s="29">
        <v>0.123</v>
      </c>
      <c r="C58" s="29">
        <v>0.11799999999999999</v>
      </c>
      <c r="D58" s="30">
        <v>7.6999999999999999E-2</v>
      </c>
      <c r="E58" s="29">
        <v>7.4999999999999997E-2</v>
      </c>
      <c r="F58" s="30">
        <v>7.3999999999999996E-2</v>
      </c>
      <c r="G58" s="29">
        <v>7.1999999999999995E-2</v>
      </c>
      <c r="H58" s="30">
        <v>7.0999999999999994E-2</v>
      </c>
      <c r="I58" s="29">
        <v>6.9000000000000006E-2</v>
      </c>
      <c r="J58" s="29">
        <v>6.7000000000000004E-2</v>
      </c>
      <c r="K58" s="29">
        <v>6.6000000000000003E-2</v>
      </c>
      <c r="L58" s="29">
        <v>6.4000000000000001E-2</v>
      </c>
      <c r="M58" s="29">
        <v>6.2E-2</v>
      </c>
      <c r="N58" s="29">
        <v>0.06</v>
      </c>
      <c r="O58" s="31">
        <v>5.8999999999999997E-2</v>
      </c>
      <c r="P58" s="31">
        <v>5.7000000000000002E-2</v>
      </c>
      <c r="Q58" s="31">
        <v>5.5E-2</v>
      </c>
      <c r="R58" s="31">
        <v>5.5E-2</v>
      </c>
      <c r="S58" s="35"/>
      <c r="U58" s="32">
        <v>4.4000000000000004</v>
      </c>
      <c r="V58" s="28"/>
      <c r="W58" s="28"/>
    </row>
    <row r="59" spans="1:23" s="34" customFormat="1" ht="12.75" customHeight="1">
      <c r="A59" s="28">
        <v>1805</v>
      </c>
      <c r="B59" s="29">
        <v>0.122</v>
      </c>
      <c r="C59" s="29">
        <v>0.11700000000000001</v>
      </c>
      <c r="D59" s="30">
        <v>7.6999999999999999E-2</v>
      </c>
      <c r="E59" s="29">
        <v>7.4999999999999997E-2</v>
      </c>
      <c r="F59" s="30">
        <v>7.2999999999999995E-2</v>
      </c>
      <c r="G59" s="29">
        <v>7.1999999999999995E-2</v>
      </c>
      <c r="H59" s="30">
        <v>7.0000000000000007E-2</v>
      </c>
      <c r="I59" s="29">
        <v>6.8000000000000005E-2</v>
      </c>
      <c r="J59" s="29">
        <v>6.6000000000000003E-2</v>
      </c>
      <c r="K59" s="29">
        <v>6.5000000000000002E-2</v>
      </c>
      <c r="L59" s="29">
        <v>6.4000000000000001E-2</v>
      </c>
      <c r="M59" s="29">
        <v>6.2E-2</v>
      </c>
      <c r="N59" s="29">
        <v>0.06</v>
      </c>
      <c r="O59" s="31">
        <v>5.8000000000000003E-2</v>
      </c>
      <c r="P59" s="31">
        <v>5.6000000000000001E-2</v>
      </c>
      <c r="Q59" s="31">
        <v>5.3999999999999999E-2</v>
      </c>
      <c r="R59" s="31">
        <v>5.5E-2</v>
      </c>
      <c r="S59" s="35"/>
      <c r="U59" s="32">
        <v>-0.8</v>
      </c>
      <c r="V59" s="28"/>
      <c r="W59" s="28"/>
    </row>
    <row r="60" spans="1:23" s="34" customFormat="1" ht="12.75" customHeight="1">
      <c r="A60" s="28">
        <v>1806</v>
      </c>
      <c r="B60" s="29">
        <v>0.127</v>
      </c>
      <c r="C60" s="29">
        <v>0.122</v>
      </c>
      <c r="D60" s="30">
        <v>0.08</v>
      </c>
      <c r="E60" s="29">
        <v>7.8E-2</v>
      </c>
      <c r="F60" s="30">
        <v>7.5999999999999998E-2</v>
      </c>
      <c r="G60" s="29">
        <v>7.4999999999999997E-2</v>
      </c>
      <c r="H60" s="30">
        <v>7.2999999999999995E-2</v>
      </c>
      <c r="I60" s="29">
        <v>7.0999999999999994E-2</v>
      </c>
      <c r="J60" s="29">
        <v>6.9000000000000006E-2</v>
      </c>
      <c r="K60" s="29">
        <v>6.8000000000000005E-2</v>
      </c>
      <c r="L60" s="29">
        <v>6.6000000000000003E-2</v>
      </c>
      <c r="M60" s="29">
        <v>6.5000000000000002E-2</v>
      </c>
      <c r="N60" s="29">
        <v>6.2E-2</v>
      </c>
      <c r="O60" s="31">
        <v>6.0999999999999999E-2</v>
      </c>
      <c r="P60" s="31">
        <v>5.8999999999999997E-2</v>
      </c>
      <c r="Q60" s="31">
        <v>5.7000000000000002E-2</v>
      </c>
      <c r="R60" s="31">
        <v>5.7000000000000002E-2</v>
      </c>
      <c r="S60" s="35"/>
      <c r="U60" s="32">
        <v>4.3</v>
      </c>
      <c r="V60" s="28"/>
      <c r="W60" s="28"/>
    </row>
    <row r="61" spans="1:23" s="34" customFormat="1" ht="12.75" customHeight="1">
      <c r="A61" s="28">
        <v>1807</v>
      </c>
      <c r="B61" s="29">
        <v>0.12</v>
      </c>
      <c r="C61" s="29">
        <v>0.11600000000000001</v>
      </c>
      <c r="D61" s="30">
        <v>7.5999999999999998E-2</v>
      </c>
      <c r="E61" s="29">
        <v>7.3999999999999996E-2</v>
      </c>
      <c r="F61" s="30">
        <v>7.1999999999999995E-2</v>
      </c>
      <c r="G61" s="29">
        <v>7.0999999999999994E-2</v>
      </c>
      <c r="H61" s="30">
        <v>7.0000000000000007E-2</v>
      </c>
      <c r="I61" s="29">
        <v>6.7000000000000004E-2</v>
      </c>
      <c r="J61" s="29">
        <v>6.5000000000000002E-2</v>
      </c>
      <c r="K61" s="29">
        <v>6.4000000000000001E-2</v>
      </c>
      <c r="L61" s="29">
        <v>6.3E-2</v>
      </c>
      <c r="M61" s="29">
        <v>6.0999999999999999E-2</v>
      </c>
      <c r="N61" s="29">
        <v>5.8999999999999997E-2</v>
      </c>
      <c r="O61" s="31">
        <v>5.8000000000000003E-2</v>
      </c>
      <c r="P61" s="31">
        <v>5.6000000000000001E-2</v>
      </c>
      <c r="Q61" s="31">
        <v>5.3999999999999999E-2</v>
      </c>
      <c r="R61" s="31">
        <v>5.3999999999999999E-2</v>
      </c>
      <c r="S61" s="35"/>
      <c r="U61" s="32">
        <v>-4.9000000000000004</v>
      </c>
      <c r="V61" s="28"/>
      <c r="W61" s="28"/>
    </row>
    <row r="62" spans="1:23" s="34" customFormat="1" ht="12.75" customHeight="1">
      <c r="A62" s="28">
        <v>1808</v>
      </c>
      <c r="B62" s="29">
        <v>0.13100000000000001</v>
      </c>
      <c r="C62" s="29">
        <v>0.126</v>
      </c>
      <c r="D62" s="30">
        <v>8.3000000000000004E-2</v>
      </c>
      <c r="E62" s="29">
        <v>0.08</v>
      </c>
      <c r="F62" s="30">
        <v>7.9000000000000001E-2</v>
      </c>
      <c r="G62" s="29">
        <v>7.6999999999999999E-2</v>
      </c>
      <c r="H62" s="30">
        <v>7.5999999999999998E-2</v>
      </c>
      <c r="I62" s="29">
        <v>7.2999999999999995E-2</v>
      </c>
      <c r="J62" s="29">
        <v>7.0999999999999994E-2</v>
      </c>
      <c r="K62" s="29">
        <v>7.0000000000000007E-2</v>
      </c>
      <c r="L62" s="29">
        <v>6.8000000000000005E-2</v>
      </c>
      <c r="M62" s="29">
        <v>6.7000000000000004E-2</v>
      </c>
      <c r="N62" s="29">
        <v>6.5000000000000002E-2</v>
      </c>
      <c r="O62" s="31">
        <v>6.3E-2</v>
      </c>
      <c r="P62" s="31">
        <v>6.0999999999999999E-2</v>
      </c>
      <c r="Q62" s="31">
        <v>5.8999999999999997E-2</v>
      </c>
      <c r="R62" s="31">
        <v>5.8999999999999997E-2</v>
      </c>
      <c r="S62" s="35"/>
      <c r="U62" s="32">
        <v>8.6</v>
      </c>
      <c r="V62" s="28"/>
      <c r="W62" s="28"/>
    </row>
    <row r="63" spans="1:23" s="34" customFormat="1" ht="12.75" customHeight="1">
      <c r="A63" s="28">
        <v>1809</v>
      </c>
      <c r="B63" s="29">
        <v>0.128</v>
      </c>
      <c r="C63" s="29">
        <v>0.123</v>
      </c>
      <c r="D63" s="30">
        <v>8.1000000000000003E-2</v>
      </c>
      <c r="E63" s="29">
        <v>7.8E-2</v>
      </c>
      <c r="F63" s="30">
        <v>7.6999999999999999E-2</v>
      </c>
      <c r="G63" s="29">
        <v>7.4999999999999997E-2</v>
      </c>
      <c r="H63" s="30">
        <v>7.3999999999999996E-2</v>
      </c>
      <c r="I63" s="29">
        <v>7.0999999999999994E-2</v>
      </c>
      <c r="J63" s="29">
        <v>6.9000000000000006E-2</v>
      </c>
      <c r="K63" s="29">
        <v>6.8000000000000005E-2</v>
      </c>
      <c r="L63" s="29">
        <v>6.7000000000000004E-2</v>
      </c>
      <c r="M63" s="29">
        <v>6.5000000000000002E-2</v>
      </c>
      <c r="N63" s="29">
        <v>6.3E-2</v>
      </c>
      <c r="O63" s="31">
        <v>6.0999999999999999E-2</v>
      </c>
      <c r="P63" s="31">
        <v>5.8999999999999997E-2</v>
      </c>
      <c r="Q63" s="31">
        <v>5.7000000000000002E-2</v>
      </c>
      <c r="R63" s="31">
        <v>5.8000000000000003E-2</v>
      </c>
      <c r="S63" s="35"/>
      <c r="U63" s="32">
        <v>-2.4</v>
      </c>
      <c r="V63" s="28"/>
      <c r="W63" s="28"/>
    </row>
    <row r="64" spans="1:23" s="34" customFormat="1" ht="12.75" customHeight="1">
      <c r="A64" s="28">
        <v>1810</v>
      </c>
      <c r="B64" s="29">
        <v>0.128</v>
      </c>
      <c r="C64" s="29">
        <v>0.123</v>
      </c>
      <c r="D64" s="30">
        <v>8.1000000000000003E-2</v>
      </c>
      <c r="E64" s="29">
        <v>7.8E-2</v>
      </c>
      <c r="F64" s="30">
        <v>7.6999999999999999E-2</v>
      </c>
      <c r="G64" s="29">
        <v>7.4999999999999997E-2</v>
      </c>
      <c r="H64" s="30">
        <v>7.3999999999999996E-2</v>
      </c>
      <c r="I64" s="29">
        <v>7.0999999999999994E-2</v>
      </c>
      <c r="J64" s="29">
        <v>6.9000000000000006E-2</v>
      </c>
      <c r="K64" s="29">
        <v>6.8000000000000005E-2</v>
      </c>
      <c r="L64" s="29">
        <v>6.7000000000000004E-2</v>
      </c>
      <c r="M64" s="29">
        <v>6.5000000000000002E-2</v>
      </c>
      <c r="N64" s="29">
        <v>6.3E-2</v>
      </c>
      <c r="O64" s="31">
        <v>6.0999999999999999E-2</v>
      </c>
      <c r="P64" s="31">
        <v>5.8999999999999997E-2</v>
      </c>
      <c r="Q64" s="31">
        <v>5.7000000000000002E-2</v>
      </c>
      <c r="R64" s="31">
        <v>5.8000000000000003E-2</v>
      </c>
      <c r="S64" s="35"/>
      <c r="U64" s="32">
        <v>0</v>
      </c>
      <c r="V64" s="28"/>
      <c r="W64" s="28"/>
    </row>
    <row r="65" spans="1:23" s="34" customFormat="1" ht="12.75" customHeight="1">
      <c r="A65" s="28">
        <v>1811</v>
      </c>
      <c r="B65" s="29">
        <v>0.13700000000000001</v>
      </c>
      <c r="C65" s="29">
        <v>0.13100000000000001</v>
      </c>
      <c r="D65" s="30">
        <v>8.5999999999999993E-2</v>
      </c>
      <c r="E65" s="29">
        <v>8.3000000000000004E-2</v>
      </c>
      <c r="F65" s="30">
        <v>8.2000000000000003E-2</v>
      </c>
      <c r="G65" s="29">
        <v>0.08</v>
      </c>
      <c r="H65" s="30">
        <v>7.9000000000000001E-2</v>
      </c>
      <c r="I65" s="29">
        <v>7.5999999999999998E-2</v>
      </c>
      <c r="J65" s="29">
        <v>7.3999999999999996E-2</v>
      </c>
      <c r="K65" s="29">
        <v>7.2999999999999995E-2</v>
      </c>
      <c r="L65" s="29">
        <v>7.0999999999999994E-2</v>
      </c>
      <c r="M65" s="29">
        <v>6.9000000000000006E-2</v>
      </c>
      <c r="N65" s="29">
        <v>6.7000000000000004E-2</v>
      </c>
      <c r="O65" s="31">
        <v>6.5000000000000002E-2</v>
      </c>
      <c r="P65" s="31">
        <v>6.3E-2</v>
      </c>
      <c r="Q65" s="31">
        <v>6.0999999999999999E-2</v>
      </c>
      <c r="R65" s="31">
        <v>6.0999999999999999E-2</v>
      </c>
      <c r="S65" s="35"/>
      <c r="U65" s="32">
        <v>6.5</v>
      </c>
      <c r="V65" s="28"/>
      <c r="W65" s="28"/>
    </row>
    <row r="66" spans="1:23" s="34" customFormat="1" ht="12.75" customHeight="1">
      <c r="A66" s="28">
        <v>1812</v>
      </c>
      <c r="B66" s="29">
        <v>0.13900000000000001</v>
      </c>
      <c r="C66" s="29">
        <v>0.13300000000000001</v>
      </c>
      <c r="D66" s="30">
        <v>8.6999999999999994E-2</v>
      </c>
      <c r="E66" s="29">
        <v>8.5000000000000006E-2</v>
      </c>
      <c r="F66" s="30">
        <v>8.3000000000000004E-2</v>
      </c>
      <c r="G66" s="29">
        <v>8.2000000000000003E-2</v>
      </c>
      <c r="H66" s="30">
        <v>0.08</v>
      </c>
      <c r="I66" s="29">
        <v>7.6999999999999999E-2</v>
      </c>
      <c r="J66" s="29">
        <v>7.4999999999999997E-2</v>
      </c>
      <c r="K66" s="29">
        <v>7.3999999999999996E-2</v>
      </c>
      <c r="L66" s="29">
        <v>7.1999999999999995E-2</v>
      </c>
      <c r="M66" s="29">
        <v>7.0000000000000007E-2</v>
      </c>
      <c r="N66" s="29">
        <v>6.8000000000000005E-2</v>
      </c>
      <c r="O66" s="31">
        <v>6.6000000000000003E-2</v>
      </c>
      <c r="P66" s="31">
        <v>6.4000000000000001E-2</v>
      </c>
      <c r="Q66" s="31">
        <v>6.2E-2</v>
      </c>
      <c r="R66" s="31">
        <v>6.2E-2</v>
      </c>
      <c r="S66" s="35"/>
      <c r="U66" s="32">
        <v>1.5</v>
      </c>
      <c r="V66" s="28"/>
      <c r="W66" s="28"/>
    </row>
    <row r="67" spans="1:23" s="34" customFormat="1" ht="12.75" customHeight="1">
      <c r="A67" s="28">
        <v>1813</v>
      </c>
      <c r="B67" s="29">
        <v>0.16600000000000001</v>
      </c>
      <c r="C67" s="29">
        <v>0.16</v>
      </c>
      <c r="D67" s="30">
        <v>0.105</v>
      </c>
      <c r="E67" s="29">
        <v>0.10199999999999999</v>
      </c>
      <c r="F67" s="30">
        <v>0.1</v>
      </c>
      <c r="G67" s="29">
        <v>9.8000000000000004E-2</v>
      </c>
      <c r="H67" s="30">
        <v>9.6000000000000002E-2</v>
      </c>
      <c r="I67" s="29">
        <v>9.2999999999999999E-2</v>
      </c>
      <c r="J67" s="29">
        <v>0.09</v>
      </c>
      <c r="K67" s="29">
        <v>8.8999999999999996E-2</v>
      </c>
      <c r="L67" s="29">
        <v>8.6999999999999994E-2</v>
      </c>
      <c r="M67" s="29">
        <v>8.5000000000000006E-2</v>
      </c>
      <c r="N67" s="29">
        <v>8.2000000000000003E-2</v>
      </c>
      <c r="O67" s="31">
        <v>7.9000000000000001E-2</v>
      </c>
      <c r="P67" s="31">
        <v>7.6999999999999999E-2</v>
      </c>
      <c r="Q67" s="31">
        <v>7.3999999999999996E-2</v>
      </c>
      <c r="R67" s="31">
        <v>7.4999999999999997E-2</v>
      </c>
      <c r="S67" s="35"/>
      <c r="U67" s="32">
        <v>20.3</v>
      </c>
      <c r="V67" s="28"/>
      <c r="W67" s="28"/>
    </row>
    <row r="68" spans="1:23" s="34" customFormat="1" ht="12.75" customHeight="1">
      <c r="A68" s="28">
        <v>1814</v>
      </c>
      <c r="B68" s="29">
        <v>0.183</v>
      </c>
      <c r="C68" s="29">
        <v>0.17599999999999999</v>
      </c>
      <c r="D68" s="30">
        <v>0.115</v>
      </c>
      <c r="E68" s="29">
        <v>0.112</v>
      </c>
      <c r="F68" s="30">
        <v>0.11</v>
      </c>
      <c r="G68" s="29">
        <v>0.108</v>
      </c>
      <c r="H68" s="30">
        <v>0.106</v>
      </c>
      <c r="I68" s="29">
        <v>0.10199999999999999</v>
      </c>
      <c r="J68" s="29">
        <v>9.9000000000000005E-2</v>
      </c>
      <c r="K68" s="29">
        <v>9.8000000000000004E-2</v>
      </c>
      <c r="L68" s="29">
        <v>9.6000000000000002E-2</v>
      </c>
      <c r="M68" s="29">
        <v>9.2999999999999999E-2</v>
      </c>
      <c r="N68" s="29">
        <v>0.09</v>
      </c>
      <c r="O68" s="31">
        <v>8.6999999999999994E-2</v>
      </c>
      <c r="P68" s="31">
        <v>8.5000000000000006E-2</v>
      </c>
      <c r="Q68" s="31">
        <v>8.2000000000000003E-2</v>
      </c>
      <c r="R68" s="31">
        <v>8.2000000000000003E-2</v>
      </c>
      <c r="S68" s="35"/>
      <c r="U68" s="32">
        <v>10</v>
      </c>
      <c r="V68" s="28"/>
      <c r="W68" s="28"/>
    </row>
    <row r="69" spans="1:23" s="34" customFormat="1" ht="12.75" customHeight="1">
      <c r="A69" s="28">
        <v>1815</v>
      </c>
      <c r="B69" s="29">
        <v>0.16</v>
      </c>
      <c r="C69" s="29">
        <v>0.154</v>
      </c>
      <c r="D69" s="30">
        <v>0.10100000000000001</v>
      </c>
      <c r="E69" s="29">
        <v>9.8000000000000004E-2</v>
      </c>
      <c r="F69" s="30">
        <v>9.6000000000000002E-2</v>
      </c>
      <c r="G69" s="29">
        <v>9.4E-2</v>
      </c>
      <c r="H69" s="30">
        <v>9.1999999999999998E-2</v>
      </c>
      <c r="I69" s="29">
        <v>8.8999999999999996E-2</v>
      </c>
      <c r="J69" s="29">
        <v>8.6999999999999994E-2</v>
      </c>
      <c r="K69" s="29">
        <v>8.5999999999999993E-2</v>
      </c>
      <c r="L69" s="29">
        <v>8.4000000000000005E-2</v>
      </c>
      <c r="M69" s="29">
        <v>8.2000000000000003E-2</v>
      </c>
      <c r="N69" s="29">
        <v>7.9000000000000001E-2</v>
      </c>
      <c r="O69" s="31">
        <v>7.5999999999999998E-2</v>
      </c>
      <c r="P69" s="31">
        <v>7.3999999999999996E-2</v>
      </c>
      <c r="Q69" s="31">
        <v>7.1999999999999995E-2</v>
      </c>
      <c r="R69" s="31">
        <v>7.1999999999999995E-2</v>
      </c>
      <c r="S69" s="35"/>
      <c r="U69" s="32">
        <v>-12.5</v>
      </c>
      <c r="V69" s="28"/>
      <c r="W69" s="28"/>
    </row>
    <row r="70" spans="1:23" s="34" customFormat="1" ht="12.75" customHeight="1">
      <c r="A70" s="28">
        <v>1816</v>
      </c>
      <c r="B70" s="29">
        <v>0.14599999999999999</v>
      </c>
      <c r="C70" s="29">
        <v>0.14099999999999999</v>
      </c>
      <c r="D70" s="30">
        <v>9.2999999999999999E-2</v>
      </c>
      <c r="E70" s="29">
        <v>0.09</v>
      </c>
      <c r="F70" s="30">
        <v>8.7999999999999995E-2</v>
      </c>
      <c r="G70" s="29">
        <v>8.6999999999999994E-2</v>
      </c>
      <c r="H70" s="30">
        <v>8.5000000000000006E-2</v>
      </c>
      <c r="I70" s="29">
        <v>8.2000000000000003E-2</v>
      </c>
      <c r="J70" s="29">
        <v>0.08</v>
      </c>
      <c r="K70" s="29">
        <v>7.8E-2</v>
      </c>
      <c r="L70" s="29">
        <v>7.6999999999999999E-2</v>
      </c>
      <c r="M70" s="29">
        <v>7.4999999999999997E-2</v>
      </c>
      <c r="N70" s="29">
        <v>7.1999999999999995E-2</v>
      </c>
      <c r="O70" s="31">
        <v>7.0000000000000007E-2</v>
      </c>
      <c r="P70" s="31">
        <v>6.8000000000000005E-2</v>
      </c>
      <c r="Q70" s="31">
        <v>6.5000000000000002E-2</v>
      </c>
      <c r="R70" s="31">
        <v>6.6000000000000003E-2</v>
      </c>
      <c r="S70" s="35"/>
      <c r="U70" s="32">
        <v>-8.4</v>
      </c>
      <c r="V70" s="28"/>
      <c r="W70" s="28"/>
    </row>
    <row r="71" spans="1:23" s="34" customFormat="1" ht="12.75" customHeight="1">
      <c r="A71" s="28">
        <v>1817</v>
      </c>
      <c r="B71" s="29">
        <v>0.13900000000000001</v>
      </c>
      <c r="C71" s="29">
        <v>0.13300000000000001</v>
      </c>
      <c r="D71" s="30">
        <v>8.6999999999999994E-2</v>
      </c>
      <c r="E71" s="29">
        <v>8.5000000000000006E-2</v>
      </c>
      <c r="F71" s="30">
        <v>8.3000000000000004E-2</v>
      </c>
      <c r="G71" s="29">
        <v>8.2000000000000003E-2</v>
      </c>
      <c r="H71" s="30">
        <v>0.08</v>
      </c>
      <c r="I71" s="29">
        <v>7.6999999999999999E-2</v>
      </c>
      <c r="J71" s="29">
        <v>7.4999999999999997E-2</v>
      </c>
      <c r="K71" s="29">
        <v>7.3999999999999996E-2</v>
      </c>
      <c r="L71" s="29">
        <v>7.1999999999999995E-2</v>
      </c>
      <c r="M71" s="29">
        <v>7.0000000000000007E-2</v>
      </c>
      <c r="N71" s="29">
        <v>6.8000000000000005E-2</v>
      </c>
      <c r="O71" s="31">
        <v>6.6000000000000003E-2</v>
      </c>
      <c r="P71" s="31">
        <v>6.4000000000000001E-2</v>
      </c>
      <c r="Q71" s="31">
        <v>6.2E-2</v>
      </c>
      <c r="R71" s="31">
        <v>6.2E-2</v>
      </c>
      <c r="S71" s="35"/>
      <c r="U71" s="32">
        <v>-5.7</v>
      </c>
      <c r="V71" s="28"/>
      <c r="W71" s="28"/>
    </row>
    <row r="72" spans="1:23" s="34" customFormat="1" ht="12.75" customHeight="1">
      <c r="A72" s="28">
        <v>1818</v>
      </c>
      <c r="B72" s="29">
        <v>0.13300000000000001</v>
      </c>
      <c r="C72" s="29">
        <v>0.127</v>
      </c>
      <c r="D72" s="30">
        <v>8.3000000000000004E-2</v>
      </c>
      <c r="E72" s="29">
        <v>8.1000000000000003E-2</v>
      </c>
      <c r="F72" s="30">
        <v>7.9000000000000001E-2</v>
      </c>
      <c r="G72" s="29">
        <v>7.8E-2</v>
      </c>
      <c r="H72" s="30">
        <v>7.5999999999999998E-2</v>
      </c>
      <c r="I72" s="29">
        <v>7.3999999999999996E-2</v>
      </c>
      <c r="J72" s="29">
        <v>7.1999999999999995E-2</v>
      </c>
      <c r="K72" s="29">
        <v>7.0999999999999994E-2</v>
      </c>
      <c r="L72" s="29">
        <v>6.9000000000000006E-2</v>
      </c>
      <c r="M72" s="29">
        <v>6.7000000000000004E-2</v>
      </c>
      <c r="N72" s="29">
        <v>6.5000000000000002E-2</v>
      </c>
      <c r="O72" s="31">
        <v>6.3E-2</v>
      </c>
      <c r="P72" s="31">
        <v>6.0999999999999999E-2</v>
      </c>
      <c r="Q72" s="31">
        <v>5.8999999999999997E-2</v>
      </c>
      <c r="R72" s="31">
        <v>5.8999999999999997E-2</v>
      </c>
      <c r="S72" s="35"/>
      <c r="U72" s="32">
        <v>-4.5</v>
      </c>
      <c r="V72" s="28"/>
      <c r="W72" s="28"/>
    </row>
    <row r="73" spans="1:23" s="34" customFormat="1" ht="12.75" customHeight="1">
      <c r="A73" s="28">
        <v>1819</v>
      </c>
      <c r="B73" s="29">
        <v>0.13300000000000001</v>
      </c>
      <c r="C73" s="29">
        <v>0.127</v>
      </c>
      <c r="D73" s="30">
        <v>8.3000000000000004E-2</v>
      </c>
      <c r="E73" s="29">
        <v>8.1000000000000003E-2</v>
      </c>
      <c r="F73" s="30">
        <v>7.9000000000000001E-2</v>
      </c>
      <c r="G73" s="29">
        <v>7.8E-2</v>
      </c>
      <c r="H73" s="30">
        <v>7.5999999999999998E-2</v>
      </c>
      <c r="I73" s="29">
        <v>7.3999999999999996E-2</v>
      </c>
      <c r="J73" s="29">
        <v>7.1999999999999995E-2</v>
      </c>
      <c r="K73" s="29">
        <v>7.0999999999999994E-2</v>
      </c>
      <c r="L73" s="29">
        <v>6.9000000000000006E-2</v>
      </c>
      <c r="M73" s="29">
        <v>6.7000000000000004E-2</v>
      </c>
      <c r="N73" s="29">
        <v>6.5000000000000002E-2</v>
      </c>
      <c r="O73" s="31">
        <v>6.3E-2</v>
      </c>
      <c r="P73" s="31">
        <v>6.0999999999999999E-2</v>
      </c>
      <c r="Q73" s="31">
        <v>5.8999999999999997E-2</v>
      </c>
      <c r="R73" s="31">
        <v>5.8999999999999997E-2</v>
      </c>
      <c r="S73" s="35"/>
      <c r="U73" s="32">
        <v>0</v>
      </c>
      <c r="V73" s="28"/>
      <c r="W73" s="28"/>
    </row>
    <row r="74" spans="1:23" s="34" customFormat="1" ht="12.75" customHeight="1">
      <c r="A74" s="28">
        <v>1820</v>
      </c>
      <c r="B74" s="29">
        <v>0.122</v>
      </c>
      <c r="C74" s="29">
        <v>0.11700000000000001</v>
      </c>
      <c r="D74" s="30">
        <v>7.6999999999999999E-2</v>
      </c>
      <c r="E74" s="29">
        <v>7.4999999999999997E-2</v>
      </c>
      <c r="F74" s="30">
        <v>7.2999999999999995E-2</v>
      </c>
      <c r="G74" s="29">
        <v>7.1999999999999995E-2</v>
      </c>
      <c r="H74" s="30">
        <v>7.0000000000000007E-2</v>
      </c>
      <c r="I74" s="29">
        <v>6.8000000000000005E-2</v>
      </c>
      <c r="J74" s="29">
        <v>6.6000000000000003E-2</v>
      </c>
      <c r="K74" s="29">
        <v>6.5000000000000002E-2</v>
      </c>
      <c r="L74" s="29">
        <v>6.4000000000000001E-2</v>
      </c>
      <c r="M74" s="29">
        <v>6.2E-2</v>
      </c>
      <c r="N74" s="29">
        <v>0.06</v>
      </c>
      <c r="O74" s="31">
        <v>5.8000000000000003E-2</v>
      </c>
      <c r="P74" s="31">
        <v>5.6000000000000001E-2</v>
      </c>
      <c r="Q74" s="31">
        <v>5.3999999999999999E-2</v>
      </c>
      <c r="R74" s="31">
        <v>5.5E-2</v>
      </c>
      <c r="S74" s="35"/>
      <c r="U74" s="32">
        <v>-7.9</v>
      </c>
      <c r="V74" s="28"/>
      <c r="W74" s="28"/>
    </row>
    <row r="75" spans="1:23" s="34" customFormat="1" ht="12.75" customHeight="1">
      <c r="A75" s="28">
        <v>1821</v>
      </c>
      <c r="B75" s="29">
        <v>0.11799999999999999</v>
      </c>
      <c r="C75" s="29">
        <v>0.113</v>
      </c>
      <c r="D75" s="30">
        <v>7.3999999999999996E-2</v>
      </c>
      <c r="E75" s="29">
        <v>7.1999999999999995E-2</v>
      </c>
      <c r="F75" s="30">
        <v>7.0000000000000007E-2</v>
      </c>
      <c r="G75" s="29">
        <v>6.9000000000000006E-2</v>
      </c>
      <c r="H75" s="30">
        <v>6.8000000000000005E-2</v>
      </c>
      <c r="I75" s="29">
        <v>6.6000000000000003E-2</v>
      </c>
      <c r="J75" s="29">
        <v>6.4000000000000001E-2</v>
      </c>
      <c r="K75" s="29">
        <v>6.3E-2</v>
      </c>
      <c r="L75" s="29">
        <v>6.0999999999999999E-2</v>
      </c>
      <c r="M75" s="29">
        <v>0.06</v>
      </c>
      <c r="N75" s="29">
        <v>5.8000000000000003E-2</v>
      </c>
      <c r="O75" s="31">
        <v>5.6000000000000001E-2</v>
      </c>
      <c r="P75" s="31">
        <v>5.3999999999999999E-2</v>
      </c>
      <c r="Q75" s="31">
        <v>5.1999999999999998E-2</v>
      </c>
      <c r="R75" s="31">
        <v>5.2999999999999999E-2</v>
      </c>
      <c r="S75" s="35"/>
      <c r="U75" s="32">
        <v>-3.4</v>
      </c>
      <c r="V75" s="28"/>
      <c r="W75" s="28"/>
    </row>
    <row r="76" spans="1:23" s="34" customFormat="1" ht="12.75" customHeight="1">
      <c r="A76" s="28">
        <v>1822</v>
      </c>
      <c r="B76" s="29">
        <v>0.122</v>
      </c>
      <c r="C76" s="29">
        <v>0.11700000000000001</v>
      </c>
      <c r="D76" s="30">
        <v>7.6999999999999999E-2</v>
      </c>
      <c r="E76" s="29">
        <v>7.4999999999999997E-2</v>
      </c>
      <c r="F76" s="30">
        <v>7.2999999999999995E-2</v>
      </c>
      <c r="G76" s="29">
        <v>7.1999999999999995E-2</v>
      </c>
      <c r="H76" s="30">
        <v>7.0000000000000007E-2</v>
      </c>
      <c r="I76" s="29">
        <v>6.8000000000000005E-2</v>
      </c>
      <c r="J76" s="29">
        <v>6.6000000000000003E-2</v>
      </c>
      <c r="K76" s="29">
        <v>6.5000000000000002E-2</v>
      </c>
      <c r="L76" s="29">
        <v>6.4000000000000001E-2</v>
      </c>
      <c r="M76" s="29">
        <v>6.2E-2</v>
      </c>
      <c r="N76" s="29">
        <v>0.06</v>
      </c>
      <c r="O76" s="31">
        <v>5.8000000000000003E-2</v>
      </c>
      <c r="P76" s="31">
        <v>5.6000000000000001E-2</v>
      </c>
      <c r="Q76" s="31">
        <v>5.3999999999999999E-2</v>
      </c>
      <c r="R76" s="31">
        <v>5.5E-2</v>
      </c>
      <c r="S76" s="35"/>
      <c r="U76" s="32">
        <v>3.5</v>
      </c>
      <c r="V76" s="28"/>
      <c r="W76" s="28"/>
    </row>
    <row r="77" spans="1:23" s="34" customFormat="1" ht="12.75" customHeight="1">
      <c r="A77" s="28">
        <v>1823</v>
      </c>
      <c r="B77" s="29">
        <v>0.109</v>
      </c>
      <c r="C77" s="29">
        <v>0.105</v>
      </c>
      <c r="D77" s="30">
        <v>6.9000000000000006E-2</v>
      </c>
      <c r="E77" s="29">
        <v>6.7000000000000004E-2</v>
      </c>
      <c r="F77" s="30">
        <v>6.5000000000000002E-2</v>
      </c>
      <c r="G77" s="29">
        <v>6.4000000000000001E-2</v>
      </c>
      <c r="H77" s="30">
        <v>6.3E-2</v>
      </c>
      <c r="I77" s="29">
        <v>6.0999999999999999E-2</v>
      </c>
      <c r="J77" s="29">
        <v>5.8999999999999997E-2</v>
      </c>
      <c r="K77" s="29">
        <v>5.8000000000000003E-2</v>
      </c>
      <c r="L77" s="29">
        <v>5.7000000000000002E-2</v>
      </c>
      <c r="M77" s="29">
        <v>5.6000000000000001E-2</v>
      </c>
      <c r="N77" s="29">
        <v>5.3999999999999999E-2</v>
      </c>
      <c r="O77" s="31">
        <v>5.1999999999999998E-2</v>
      </c>
      <c r="P77" s="31">
        <v>5.0999999999999997E-2</v>
      </c>
      <c r="Q77" s="31">
        <v>4.9000000000000002E-2</v>
      </c>
      <c r="R77" s="31">
        <v>4.9000000000000002E-2</v>
      </c>
      <c r="S77" s="35"/>
      <c r="U77" s="32">
        <v>-10.3</v>
      </c>
      <c r="V77" s="28"/>
      <c r="W77" s="28"/>
    </row>
    <row r="78" spans="1:23" s="34" customFormat="1" ht="12.75" customHeight="1">
      <c r="A78" s="28">
        <v>1824</v>
      </c>
      <c r="B78" s="29">
        <v>0.10100000000000001</v>
      </c>
      <c r="C78" s="29">
        <v>9.7000000000000003E-2</v>
      </c>
      <c r="D78" s="30">
        <v>6.4000000000000001E-2</v>
      </c>
      <c r="E78" s="29">
        <v>6.2E-2</v>
      </c>
      <c r="F78" s="30">
        <v>0.06</v>
      </c>
      <c r="G78" s="29">
        <v>0.06</v>
      </c>
      <c r="H78" s="30">
        <v>5.8000000000000003E-2</v>
      </c>
      <c r="I78" s="29">
        <v>5.6000000000000001E-2</v>
      </c>
      <c r="J78" s="29">
        <v>5.5E-2</v>
      </c>
      <c r="K78" s="29">
        <v>5.3999999999999999E-2</v>
      </c>
      <c r="L78" s="29">
        <v>5.2999999999999999E-2</v>
      </c>
      <c r="M78" s="29">
        <v>5.0999999999999997E-2</v>
      </c>
      <c r="N78" s="29">
        <v>0.05</v>
      </c>
      <c r="O78" s="31">
        <v>4.8000000000000001E-2</v>
      </c>
      <c r="P78" s="31">
        <v>4.7E-2</v>
      </c>
      <c r="Q78" s="31">
        <v>4.4999999999999998E-2</v>
      </c>
      <c r="R78" s="31">
        <v>4.4999999999999998E-2</v>
      </c>
      <c r="S78" s="35"/>
      <c r="U78" s="32">
        <v>-7.6</v>
      </c>
      <c r="V78" s="28"/>
      <c r="W78" s="28"/>
    </row>
    <row r="79" spans="1:23" s="34" customFormat="1" ht="12.75" customHeight="1">
      <c r="A79" s="28">
        <v>1825</v>
      </c>
      <c r="B79" s="29">
        <v>0.10299999999999999</v>
      </c>
      <c r="C79" s="29">
        <v>9.9000000000000005E-2</v>
      </c>
      <c r="D79" s="30">
        <v>6.5000000000000002E-2</v>
      </c>
      <c r="E79" s="29">
        <v>6.3E-2</v>
      </c>
      <c r="F79" s="30">
        <v>6.2E-2</v>
      </c>
      <c r="G79" s="29">
        <v>6.0999999999999999E-2</v>
      </c>
      <c r="H79" s="30">
        <v>5.8999999999999997E-2</v>
      </c>
      <c r="I79" s="29">
        <v>5.7000000000000002E-2</v>
      </c>
      <c r="J79" s="29">
        <v>5.6000000000000001E-2</v>
      </c>
      <c r="K79" s="29">
        <v>5.5E-2</v>
      </c>
      <c r="L79" s="29">
        <v>5.3999999999999999E-2</v>
      </c>
      <c r="M79" s="29">
        <v>5.1999999999999998E-2</v>
      </c>
      <c r="N79" s="29">
        <v>5.0999999999999997E-2</v>
      </c>
      <c r="O79" s="31">
        <v>4.9000000000000002E-2</v>
      </c>
      <c r="P79" s="31">
        <v>4.8000000000000001E-2</v>
      </c>
      <c r="Q79" s="31">
        <v>4.5999999999999999E-2</v>
      </c>
      <c r="R79" s="31">
        <v>4.5999999999999999E-2</v>
      </c>
      <c r="S79" s="35"/>
      <c r="U79" s="32">
        <v>2.1</v>
      </c>
      <c r="V79" s="28"/>
      <c r="W79" s="28"/>
    </row>
    <row r="80" spans="1:23" s="34" customFormat="1" ht="12.75" customHeight="1">
      <c r="A80" s="28">
        <v>1826</v>
      </c>
      <c r="B80" s="29">
        <v>0.10299999999999999</v>
      </c>
      <c r="C80" s="29">
        <v>9.9000000000000005E-2</v>
      </c>
      <c r="D80" s="30">
        <v>6.5000000000000002E-2</v>
      </c>
      <c r="E80" s="29">
        <v>6.3E-2</v>
      </c>
      <c r="F80" s="30">
        <v>6.2E-2</v>
      </c>
      <c r="G80" s="29">
        <v>6.0999999999999999E-2</v>
      </c>
      <c r="H80" s="30">
        <v>5.8999999999999997E-2</v>
      </c>
      <c r="I80" s="29">
        <v>5.7000000000000002E-2</v>
      </c>
      <c r="J80" s="29">
        <v>5.6000000000000001E-2</v>
      </c>
      <c r="K80" s="29">
        <v>5.5E-2</v>
      </c>
      <c r="L80" s="29">
        <v>5.3999999999999999E-2</v>
      </c>
      <c r="M80" s="29">
        <v>5.1999999999999998E-2</v>
      </c>
      <c r="N80" s="29">
        <v>5.0999999999999997E-2</v>
      </c>
      <c r="O80" s="31">
        <v>4.9000000000000002E-2</v>
      </c>
      <c r="P80" s="31">
        <v>4.8000000000000001E-2</v>
      </c>
      <c r="Q80" s="31">
        <v>4.5999999999999999E-2</v>
      </c>
      <c r="R80" s="31">
        <v>4.5999999999999999E-2</v>
      </c>
      <c r="S80" s="35"/>
      <c r="U80" s="32">
        <v>0</v>
      </c>
      <c r="V80" s="28"/>
      <c r="W80" s="28"/>
    </row>
    <row r="81" spans="1:23" s="34" customFormat="1" ht="12.75" customHeight="1">
      <c r="A81" s="28">
        <v>1827</v>
      </c>
      <c r="B81" s="29">
        <v>0.104</v>
      </c>
      <c r="C81" s="29">
        <v>0.1</v>
      </c>
      <c r="D81" s="30">
        <v>6.6000000000000003E-2</v>
      </c>
      <c r="E81" s="29">
        <v>6.4000000000000001E-2</v>
      </c>
      <c r="F81" s="30">
        <v>6.2E-2</v>
      </c>
      <c r="G81" s="29">
        <v>6.0999999999999999E-2</v>
      </c>
      <c r="H81" s="30">
        <v>0.06</v>
      </c>
      <c r="I81" s="29">
        <v>5.8000000000000003E-2</v>
      </c>
      <c r="J81" s="29">
        <v>5.6000000000000001E-2</v>
      </c>
      <c r="K81" s="29">
        <v>5.6000000000000001E-2</v>
      </c>
      <c r="L81" s="29">
        <v>5.3999999999999999E-2</v>
      </c>
      <c r="M81" s="29">
        <v>5.2999999999999999E-2</v>
      </c>
      <c r="N81" s="29">
        <v>5.0999999999999997E-2</v>
      </c>
      <c r="O81" s="31">
        <v>0.05</v>
      </c>
      <c r="P81" s="31">
        <v>4.8000000000000001E-2</v>
      </c>
      <c r="Q81" s="31">
        <v>4.5999999999999999E-2</v>
      </c>
      <c r="R81" s="31">
        <v>4.7E-2</v>
      </c>
      <c r="S81" s="35"/>
      <c r="U81" s="32">
        <v>1</v>
      </c>
      <c r="V81" s="28"/>
      <c r="W81" s="28"/>
    </row>
    <row r="82" spans="1:23" s="34" customFormat="1" ht="12.75" customHeight="1">
      <c r="A82" s="28">
        <v>1828</v>
      </c>
      <c r="B82" s="29">
        <v>9.9000000000000005E-2</v>
      </c>
      <c r="C82" s="29">
        <v>9.5000000000000001E-2</v>
      </c>
      <c r="D82" s="30">
        <v>6.2E-2</v>
      </c>
      <c r="E82" s="29">
        <v>6.0999999999999999E-2</v>
      </c>
      <c r="F82" s="30">
        <v>5.8999999999999997E-2</v>
      </c>
      <c r="G82" s="29">
        <v>5.8000000000000003E-2</v>
      </c>
      <c r="H82" s="30">
        <v>5.7000000000000002E-2</v>
      </c>
      <c r="I82" s="29">
        <v>5.5E-2</v>
      </c>
      <c r="J82" s="29">
        <v>5.3999999999999999E-2</v>
      </c>
      <c r="K82" s="29">
        <v>5.2999999999999999E-2</v>
      </c>
      <c r="L82" s="29">
        <v>5.1999999999999998E-2</v>
      </c>
      <c r="M82" s="29">
        <v>0.05</v>
      </c>
      <c r="N82" s="29">
        <v>4.9000000000000002E-2</v>
      </c>
      <c r="O82" s="31">
        <v>4.7E-2</v>
      </c>
      <c r="P82" s="31">
        <v>4.5999999999999999E-2</v>
      </c>
      <c r="Q82" s="31">
        <v>4.3999999999999997E-2</v>
      </c>
      <c r="R82" s="31">
        <v>4.3999999999999997E-2</v>
      </c>
      <c r="S82" s="35"/>
      <c r="U82" s="32">
        <v>-5</v>
      </c>
      <c r="V82" s="28"/>
      <c r="W82" s="28"/>
    </row>
    <row r="83" spans="1:23" s="34" customFormat="1" ht="12.75" customHeight="1">
      <c r="A83" s="28">
        <v>1829</v>
      </c>
      <c r="B83" s="29">
        <v>9.7000000000000003E-2</v>
      </c>
      <c r="C83" s="29">
        <v>9.2999999999999999E-2</v>
      </c>
      <c r="D83" s="30">
        <v>6.0999999999999999E-2</v>
      </c>
      <c r="E83" s="29">
        <v>5.8999999999999997E-2</v>
      </c>
      <c r="F83" s="30">
        <v>5.8000000000000003E-2</v>
      </c>
      <c r="G83" s="29">
        <v>5.7000000000000002E-2</v>
      </c>
      <c r="H83" s="30">
        <v>5.6000000000000001E-2</v>
      </c>
      <c r="I83" s="29">
        <v>5.3999999999999999E-2</v>
      </c>
      <c r="J83" s="29">
        <v>5.2999999999999999E-2</v>
      </c>
      <c r="K83" s="29">
        <v>5.1999999999999998E-2</v>
      </c>
      <c r="L83" s="29">
        <v>5.0999999999999997E-2</v>
      </c>
      <c r="M83" s="29">
        <v>4.9000000000000002E-2</v>
      </c>
      <c r="N83" s="29">
        <v>4.8000000000000001E-2</v>
      </c>
      <c r="O83" s="31">
        <v>4.5999999999999999E-2</v>
      </c>
      <c r="P83" s="31">
        <v>4.4999999999999998E-2</v>
      </c>
      <c r="Q83" s="31">
        <v>4.2999999999999997E-2</v>
      </c>
      <c r="R83" s="31">
        <v>4.2999999999999997E-2</v>
      </c>
      <c r="S83" s="35"/>
      <c r="U83" s="32">
        <v>-2.1</v>
      </c>
      <c r="V83" s="28"/>
      <c r="W83" s="28"/>
    </row>
    <row r="84" spans="1:23" s="34" customFormat="1" ht="12.75" customHeight="1">
      <c r="A84" s="28">
        <v>1830</v>
      </c>
      <c r="B84" s="29">
        <v>9.6000000000000002E-2</v>
      </c>
      <c r="C84" s="29">
        <v>9.1999999999999998E-2</v>
      </c>
      <c r="D84" s="30">
        <v>0.06</v>
      </c>
      <c r="E84" s="29">
        <v>5.8999999999999997E-2</v>
      </c>
      <c r="F84" s="30">
        <v>5.7000000000000002E-2</v>
      </c>
      <c r="G84" s="29">
        <v>5.6000000000000001E-2</v>
      </c>
      <c r="H84" s="30">
        <v>5.5E-2</v>
      </c>
      <c r="I84" s="29">
        <v>5.2999999999999999E-2</v>
      </c>
      <c r="J84" s="29">
        <v>5.1999999999999998E-2</v>
      </c>
      <c r="K84" s="29">
        <v>5.0999999999999997E-2</v>
      </c>
      <c r="L84" s="29">
        <v>0.05</v>
      </c>
      <c r="M84" s="29">
        <v>4.9000000000000002E-2</v>
      </c>
      <c r="N84" s="29">
        <v>4.7E-2</v>
      </c>
      <c r="O84" s="31">
        <v>4.5999999999999999E-2</v>
      </c>
      <c r="P84" s="31">
        <v>4.3999999999999997E-2</v>
      </c>
      <c r="Q84" s="31">
        <v>4.2999999999999997E-2</v>
      </c>
      <c r="R84" s="31">
        <v>4.2999999999999997E-2</v>
      </c>
      <c r="S84" s="35"/>
      <c r="U84" s="32">
        <v>-1.1000000000000001</v>
      </c>
      <c r="V84" s="28"/>
      <c r="W84" s="28"/>
    </row>
    <row r="85" spans="1:23" s="34" customFormat="1" ht="12.75" customHeight="1">
      <c r="A85" s="28">
        <v>1831</v>
      </c>
      <c r="B85" s="29">
        <v>0.09</v>
      </c>
      <c r="C85" s="29">
        <v>8.6999999999999994E-2</v>
      </c>
      <c r="D85" s="30">
        <v>5.7000000000000002E-2</v>
      </c>
      <c r="E85" s="29">
        <v>5.5E-2</v>
      </c>
      <c r="F85" s="30">
        <v>5.3999999999999999E-2</v>
      </c>
      <c r="G85" s="29">
        <v>5.2999999999999999E-2</v>
      </c>
      <c r="H85" s="30">
        <v>5.1999999999999998E-2</v>
      </c>
      <c r="I85" s="29">
        <v>5.0999999999999997E-2</v>
      </c>
      <c r="J85" s="29">
        <v>4.9000000000000002E-2</v>
      </c>
      <c r="K85" s="29">
        <v>4.8000000000000001E-2</v>
      </c>
      <c r="L85" s="29">
        <v>4.7E-2</v>
      </c>
      <c r="M85" s="29">
        <v>4.5999999999999999E-2</v>
      </c>
      <c r="N85" s="29">
        <v>4.4999999999999998E-2</v>
      </c>
      <c r="O85" s="31">
        <v>4.2999999999999997E-2</v>
      </c>
      <c r="P85" s="31">
        <v>4.2000000000000003E-2</v>
      </c>
      <c r="Q85" s="31">
        <v>0.04</v>
      </c>
      <c r="R85" s="31">
        <v>4.1000000000000002E-2</v>
      </c>
      <c r="S85" s="35"/>
      <c r="U85" s="32">
        <v>-5.4</v>
      </c>
      <c r="V85" s="28"/>
      <c r="W85" s="28"/>
    </row>
    <row r="86" spans="1:23" s="34" customFormat="1" ht="12.75" customHeight="1">
      <c r="A86" s="28">
        <v>1832</v>
      </c>
      <c r="B86" s="29">
        <v>8.8999999999999996E-2</v>
      </c>
      <c r="C86" s="29">
        <v>8.5999999999999993E-2</v>
      </c>
      <c r="D86" s="30">
        <v>5.6000000000000001E-2</v>
      </c>
      <c r="E86" s="29">
        <v>5.5E-2</v>
      </c>
      <c r="F86" s="30">
        <v>5.3999999999999999E-2</v>
      </c>
      <c r="G86" s="29">
        <v>5.2999999999999999E-2</v>
      </c>
      <c r="H86" s="30">
        <v>5.1999999999999998E-2</v>
      </c>
      <c r="I86" s="29">
        <v>0.05</v>
      </c>
      <c r="J86" s="29">
        <v>4.9000000000000002E-2</v>
      </c>
      <c r="K86" s="29">
        <v>4.8000000000000001E-2</v>
      </c>
      <c r="L86" s="29">
        <v>4.7E-2</v>
      </c>
      <c r="M86" s="29">
        <v>4.5999999999999999E-2</v>
      </c>
      <c r="N86" s="29">
        <v>4.3999999999999997E-2</v>
      </c>
      <c r="O86" s="31">
        <v>4.2999999999999997E-2</v>
      </c>
      <c r="P86" s="31">
        <v>4.1000000000000002E-2</v>
      </c>
      <c r="Q86" s="31">
        <v>0.04</v>
      </c>
      <c r="R86" s="31">
        <v>0.04</v>
      </c>
      <c r="S86" s="35"/>
      <c r="U86" s="32">
        <v>-1.1000000000000001</v>
      </c>
      <c r="V86" s="28"/>
      <c r="W86" s="28"/>
    </row>
    <row r="87" spans="1:23" s="34" customFormat="1" ht="12.75" customHeight="1">
      <c r="A87" s="28">
        <v>1833</v>
      </c>
      <c r="B87" s="29">
        <v>8.7999999999999995E-2</v>
      </c>
      <c r="C87" s="29">
        <v>8.4000000000000005E-2</v>
      </c>
      <c r="D87" s="30">
        <v>5.5E-2</v>
      </c>
      <c r="E87" s="29">
        <v>5.3999999999999999E-2</v>
      </c>
      <c r="F87" s="30">
        <v>5.1999999999999998E-2</v>
      </c>
      <c r="G87" s="29">
        <v>5.1999999999999998E-2</v>
      </c>
      <c r="H87" s="30">
        <v>0.05</v>
      </c>
      <c r="I87" s="29">
        <v>4.9000000000000002E-2</v>
      </c>
      <c r="J87" s="29">
        <v>4.7E-2</v>
      </c>
      <c r="K87" s="29">
        <v>4.7E-2</v>
      </c>
      <c r="L87" s="29">
        <v>4.5999999999999999E-2</v>
      </c>
      <c r="M87" s="29">
        <v>4.3999999999999997E-2</v>
      </c>
      <c r="N87" s="29">
        <v>4.2999999999999997E-2</v>
      </c>
      <c r="O87" s="31">
        <v>4.2000000000000003E-2</v>
      </c>
      <c r="P87" s="31">
        <v>4.1000000000000002E-2</v>
      </c>
      <c r="Q87" s="31">
        <v>3.9E-2</v>
      </c>
      <c r="R87" s="31">
        <v>3.9E-2</v>
      </c>
      <c r="S87" s="35"/>
      <c r="U87" s="32">
        <v>-2.2999999999999998</v>
      </c>
      <c r="V87" s="28"/>
      <c r="W87" s="28"/>
    </row>
    <row r="88" spans="1:23" s="34" customFormat="1" ht="12.75" customHeight="1">
      <c r="A88" s="28">
        <v>1834</v>
      </c>
      <c r="B88" s="29">
        <v>8.8999999999999996E-2</v>
      </c>
      <c r="C88" s="29">
        <v>8.5999999999999993E-2</v>
      </c>
      <c r="D88" s="30">
        <v>5.6000000000000001E-2</v>
      </c>
      <c r="E88" s="29">
        <v>5.5E-2</v>
      </c>
      <c r="F88" s="30">
        <v>5.3999999999999999E-2</v>
      </c>
      <c r="G88" s="29">
        <v>5.2999999999999999E-2</v>
      </c>
      <c r="H88" s="30">
        <v>5.1999999999999998E-2</v>
      </c>
      <c r="I88" s="29">
        <v>0.05</v>
      </c>
      <c r="J88" s="29">
        <v>4.9000000000000002E-2</v>
      </c>
      <c r="K88" s="29">
        <v>4.8000000000000001E-2</v>
      </c>
      <c r="L88" s="29">
        <v>4.7E-2</v>
      </c>
      <c r="M88" s="29">
        <v>4.5999999999999999E-2</v>
      </c>
      <c r="N88" s="29">
        <v>4.3999999999999997E-2</v>
      </c>
      <c r="O88" s="31">
        <v>4.2999999999999997E-2</v>
      </c>
      <c r="P88" s="31">
        <v>4.1000000000000002E-2</v>
      </c>
      <c r="Q88" s="31">
        <v>0.04</v>
      </c>
      <c r="R88" s="31">
        <v>0.04</v>
      </c>
      <c r="S88" s="35"/>
      <c r="U88" s="32">
        <v>2.4</v>
      </c>
      <c r="V88" s="28"/>
      <c r="W88" s="28"/>
    </row>
    <row r="89" spans="1:23" s="34" customFormat="1" ht="12.75" customHeight="1">
      <c r="A89" s="28">
        <v>1835</v>
      </c>
      <c r="B89" s="29">
        <v>9.1999999999999998E-2</v>
      </c>
      <c r="C89" s="29">
        <v>8.7999999999999995E-2</v>
      </c>
      <c r="D89" s="30">
        <v>5.8000000000000003E-2</v>
      </c>
      <c r="E89" s="29">
        <v>5.6000000000000001E-2</v>
      </c>
      <c r="F89" s="30">
        <v>5.5E-2</v>
      </c>
      <c r="G89" s="29">
        <v>5.3999999999999999E-2</v>
      </c>
      <c r="H89" s="30">
        <v>5.2999999999999999E-2</v>
      </c>
      <c r="I89" s="29">
        <v>5.0999999999999997E-2</v>
      </c>
      <c r="J89" s="29">
        <v>0.05</v>
      </c>
      <c r="K89" s="29">
        <v>4.9000000000000002E-2</v>
      </c>
      <c r="L89" s="29">
        <v>4.8000000000000001E-2</v>
      </c>
      <c r="M89" s="29">
        <v>4.7E-2</v>
      </c>
      <c r="N89" s="29">
        <v>4.4999999999999998E-2</v>
      </c>
      <c r="O89" s="31">
        <v>4.3999999999999997E-2</v>
      </c>
      <c r="P89" s="31">
        <v>4.2000000000000003E-2</v>
      </c>
      <c r="Q89" s="31">
        <v>4.1000000000000002E-2</v>
      </c>
      <c r="R89" s="31">
        <v>4.1000000000000002E-2</v>
      </c>
      <c r="S89" s="35"/>
      <c r="U89" s="32">
        <v>2.2999999999999998</v>
      </c>
      <c r="V89" s="28"/>
      <c r="W89" s="28"/>
    </row>
    <row r="90" spans="1:23" s="34" customFormat="1" ht="12.75" customHeight="1">
      <c r="A90" s="28">
        <v>1836</v>
      </c>
      <c r="B90" s="29">
        <v>9.7000000000000003E-2</v>
      </c>
      <c r="C90" s="29">
        <v>9.2999999999999999E-2</v>
      </c>
      <c r="D90" s="30">
        <v>6.0999999999999999E-2</v>
      </c>
      <c r="E90" s="29">
        <v>5.8999999999999997E-2</v>
      </c>
      <c r="F90" s="30">
        <v>5.8000000000000003E-2</v>
      </c>
      <c r="G90" s="29">
        <v>5.7000000000000002E-2</v>
      </c>
      <c r="H90" s="30">
        <v>5.6000000000000001E-2</v>
      </c>
      <c r="I90" s="29">
        <v>5.3999999999999999E-2</v>
      </c>
      <c r="J90" s="29">
        <v>5.2999999999999999E-2</v>
      </c>
      <c r="K90" s="29">
        <v>5.1999999999999998E-2</v>
      </c>
      <c r="L90" s="29">
        <v>5.0999999999999997E-2</v>
      </c>
      <c r="M90" s="29">
        <v>4.9000000000000002E-2</v>
      </c>
      <c r="N90" s="29">
        <v>4.8000000000000001E-2</v>
      </c>
      <c r="O90" s="31">
        <v>4.5999999999999999E-2</v>
      </c>
      <c r="P90" s="31">
        <v>4.4999999999999998E-2</v>
      </c>
      <c r="Q90" s="31">
        <v>4.2999999999999997E-2</v>
      </c>
      <c r="R90" s="31">
        <v>4.2999999999999997E-2</v>
      </c>
      <c r="S90" s="35"/>
      <c r="U90" s="32">
        <v>5.7</v>
      </c>
      <c r="V90" s="28"/>
      <c r="W90" s="28"/>
    </row>
    <row r="91" spans="1:23" s="34" customFormat="1" ht="12.75" customHeight="1">
      <c r="A91" s="28">
        <v>1837</v>
      </c>
      <c r="B91" s="29">
        <v>0.1</v>
      </c>
      <c r="C91" s="29">
        <v>9.6000000000000002E-2</v>
      </c>
      <c r="D91" s="30">
        <v>6.3E-2</v>
      </c>
      <c r="E91" s="29">
        <v>6.0999999999999999E-2</v>
      </c>
      <c r="F91" s="30">
        <v>0.06</v>
      </c>
      <c r="G91" s="29">
        <v>5.8999999999999997E-2</v>
      </c>
      <c r="H91" s="30">
        <v>5.8000000000000003E-2</v>
      </c>
      <c r="I91" s="29">
        <v>5.6000000000000001E-2</v>
      </c>
      <c r="J91" s="29">
        <v>5.3999999999999999E-2</v>
      </c>
      <c r="K91" s="29">
        <v>5.2999999999999999E-2</v>
      </c>
      <c r="L91" s="29">
        <v>5.1999999999999998E-2</v>
      </c>
      <c r="M91" s="29">
        <v>5.0999999999999997E-2</v>
      </c>
      <c r="N91" s="29">
        <v>4.9000000000000002E-2</v>
      </c>
      <c r="O91" s="31">
        <v>4.8000000000000001E-2</v>
      </c>
      <c r="P91" s="31">
        <v>4.5999999999999999E-2</v>
      </c>
      <c r="Q91" s="31">
        <v>4.4999999999999998E-2</v>
      </c>
      <c r="R91" s="31">
        <v>4.4999999999999998E-2</v>
      </c>
      <c r="S91" s="35"/>
      <c r="U91" s="32">
        <v>3.2</v>
      </c>
      <c r="V91" s="28"/>
      <c r="W91" s="28"/>
    </row>
    <row r="92" spans="1:23" s="34" customFormat="1" ht="12.75" customHeight="1">
      <c r="A92" s="28">
        <v>1838</v>
      </c>
      <c r="B92" s="29">
        <v>9.7000000000000003E-2</v>
      </c>
      <c r="C92" s="29">
        <v>9.2999999999999999E-2</v>
      </c>
      <c r="D92" s="30">
        <v>6.0999999999999999E-2</v>
      </c>
      <c r="E92" s="29">
        <v>5.8999999999999997E-2</v>
      </c>
      <c r="F92" s="30">
        <v>5.8000000000000003E-2</v>
      </c>
      <c r="G92" s="29">
        <v>5.7000000000000002E-2</v>
      </c>
      <c r="H92" s="30">
        <v>5.6000000000000001E-2</v>
      </c>
      <c r="I92" s="29">
        <v>5.3999999999999999E-2</v>
      </c>
      <c r="J92" s="29">
        <v>5.2999999999999999E-2</v>
      </c>
      <c r="K92" s="29">
        <v>5.1999999999999998E-2</v>
      </c>
      <c r="L92" s="29">
        <v>5.0999999999999997E-2</v>
      </c>
      <c r="M92" s="29">
        <v>4.9000000000000002E-2</v>
      </c>
      <c r="N92" s="29">
        <v>4.8000000000000001E-2</v>
      </c>
      <c r="O92" s="31">
        <v>4.5999999999999999E-2</v>
      </c>
      <c r="P92" s="31">
        <v>4.4999999999999998E-2</v>
      </c>
      <c r="Q92" s="31">
        <v>4.2999999999999997E-2</v>
      </c>
      <c r="R92" s="31">
        <v>4.2999999999999997E-2</v>
      </c>
      <c r="S92" s="35"/>
      <c r="U92" s="32">
        <v>-3.1</v>
      </c>
      <c r="V92" s="28"/>
      <c r="W92" s="28"/>
    </row>
    <row r="93" spans="1:23" s="34" customFormat="1" ht="12.75" customHeight="1">
      <c r="A93" s="28">
        <v>1839</v>
      </c>
      <c r="B93" s="29">
        <v>9.7000000000000003E-2</v>
      </c>
      <c r="C93" s="29">
        <v>9.2999999999999999E-2</v>
      </c>
      <c r="D93" s="30">
        <v>6.0999999999999999E-2</v>
      </c>
      <c r="E93" s="29">
        <v>5.8999999999999997E-2</v>
      </c>
      <c r="F93" s="30">
        <v>5.8000000000000003E-2</v>
      </c>
      <c r="G93" s="29">
        <v>5.7000000000000002E-2</v>
      </c>
      <c r="H93" s="30">
        <v>5.6000000000000001E-2</v>
      </c>
      <c r="I93" s="29">
        <v>5.3999999999999999E-2</v>
      </c>
      <c r="J93" s="29">
        <v>5.2999999999999999E-2</v>
      </c>
      <c r="K93" s="29">
        <v>5.1999999999999998E-2</v>
      </c>
      <c r="L93" s="29">
        <v>5.0999999999999997E-2</v>
      </c>
      <c r="M93" s="29">
        <v>4.9000000000000002E-2</v>
      </c>
      <c r="N93" s="29">
        <v>4.8000000000000001E-2</v>
      </c>
      <c r="O93" s="31">
        <v>4.5999999999999999E-2</v>
      </c>
      <c r="P93" s="31">
        <v>4.4999999999999998E-2</v>
      </c>
      <c r="Q93" s="31">
        <v>4.2999999999999997E-2</v>
      </c>
      <c r="R93" s="31">
        <v>4.2999999999999997E-2</v>
      </c>
      <c r="S93" s="35"/>
      <c r="U93" s="32">
        <v>0</v>
      </c>
      <c r="V93" s="28"/>
      <c r="W93" s="28"/>
    </row>
    <row r="94" spans="1:23" s="34" customFormat="1" ht="12.75" customHeight="1">
      <c r="A94" s="28">
        <v>1840</v>
      </c>
      <c r="B94" s="29">
        <v>0.09</v>
      </c>
      <c r="C94" s="29">
        <v>8.6999999999999994E-2</v>
      </c>
      <c r="D94" s="30">
        <v>5.7000000000000002E-2</v>
      </c>
      <c r="E94" s="29">
        <v>5.5E-2</v>
      </c>
      <c r="F94" s="30">
        <v>5.3999999999999999E-2</v>
      </c>
      <c r="G94" s="29">
        <v>5.2999999999999999E-2</v>
      </c>
      <c r="H94" s="30">
        <v>5.1999999999999998E-2</v>
      </c>
      <c r="I94" s="29">
        <v>5.0999999999999997E-2</v>
      </c>
      <c r="J94" s="29">
        <v>4.9000000000000002E-2</v>
      </c>
      <c r="K94" s="29">
        <v>4.8000000000000001E-2</v>
      </c>
      <c r="L94" s="29">
        <v>4.7E-2</v>
      </c>
      <c r="M94" s="29">
        <v>4.5999999999999999E-2</v>
      </c>
      <c r="N94" s="29">
        <v>4.4999999999999998E-2</v>
      </c>
      <c r="O94" s="31">
        <v>4.2999999999999997E-2</v>
      </c>
      <c r="P94" s="31">
        <v>4.2000000000000003E-2</v>
      </c>
      <c r="Q94" s="31">
        <v>0.04</v>
      </c>
      <c r="R94" s="31">
        <v>4.1000000000000002E-2</v>
      </c>
      <c r="S94" s="35"/>
      <c r="U94" s="32">
        <v>-6.5</v>
      </c>
      <c r="V94" s="28"/>
      <c r="W94" s="28"/>
    </row>
    <row r="95" spans="1:23" s="34" customFormat="1" ht="12.75" customHeight="1">
      <c r="A95" s="28">
        <v>1841</v>
      </c>
      <c r="B95" s="29">
        <v>9.0999999999999998E-2</v>
      </c>
      <c r="C95" s="29">
        <v>8.6999999999999994E-2</v>
      </c>
      <c r="D95" s="30">
        <v>5.7000000000000002E-2</v>
      </c>
      <c r="E95" s="29">
        <v>5.5E-2</v>
      </c>
      <c r="F95" s="30">
        <v>5.3999999999999999E-2</v>
      </c>
      <c r="G95" s="29">
        <v>5.2999999999999999E-2</v>
      </c>
      <c r="H95" s="30">
        <v>5.1999999999999998E-2</v>
      </c>
      <c r="I95" s="29">
        <v>5.0999999999999997E-2</v>
      </c>
      <c r="J95" s="29">
        <v>4.9000000000000002E-2</v>
      </c>
      <c r="K95" s="29">
        <v>4.8000000000000001E-2</v>
      </c>
      <c r="L95" s="29">
        <v>4.7E-2</v>
      </c>
      <c r="M95" s="29">
        <v>4.5999999999999999E-2</v>
      </c>
      <c r="N95" s="29">
        <v>4.4999999999999998E-2</v>
      </c>
      <c r="O95" s="31">
        <v>4.2999999999999997E-2</v>
      </c>
      <c r="P95" s="31">
        <v>4.2000000000000003E-2</v>
      </c>
      <c r="Q95" s="31">
        <v>0.04</v>
      </c>
      <c r="R95" s="31">
        <v>4.1000000000000002E-2</v>
      </c>
      <c r="S95" s="35"/>
      <c r="U95" s="32">
        <v>0</v>
      </c>
      <c r="V95" s="28"/>
      <c r="W95" s="28"/>
    </row>
    <row r="96" spans="1:23" s="34" customFormat="1" ht="12.75" customHeight="1">
      <c r="A96" s="28">
        <v>1842</v>
      </c>
      <c r="B96" s="29">
        <v>8.5000000000000006E-2</v>
      </c>
      <c r="C96" s="29">
        <v>8.2000000000000003E-2</v>
      </c>
      <c r="D96" s="30">
        <v>5.3999999999999999E-2</v>
      </c>
      <c r="E96" s="29">
        <v>5.1999999999999998E-2</v>
      </c>
      <c r="F96" s="30">
        <v>5.0999999999999997E-2</v>
      </c>
      <c r="G96" s="29">
        <v>0.05</v>
      </c>
      <c r="H96" s="30">
        <v>4.9000000000000002E-2</v>
      </c>
      <c r="I96" s="29">
        <v>4.8000000000000001E-2</v>
      </c>
      <c r="J96" s="29">
        <v>4.5999999999999999E-2</v>
      </c>
      <c r="K96" s="29">
        <v>4.5999999999999999E-2</v>
      </c>
      <c r="L96" s="29">
        <v>4.4999999999999998E-2</v>
      </c>
      <c r="M96" s="29">
        <v>4.2999999999999997E-2</v>
      </c>
      <c r="N96" s="29">
        <v>4.2000000000000003E-2</v>
      </c>
      <c r="O96" s="31">
        <v>4.1000000000000002E-2</v>
      </c>
      <c r="P96" s="31">
        <v>0.04</v>
      </c>
      <c r="Q96" s="31">
        <v>3.7999999999999999E-2</v>
      </c>
      <c r="R96" s="31">
        <v>3.7999999999999999E-2</v>
      </c>
      <c r="S96" s="35"/>
      <c r="U96" s="32">
        <v>-5.7</v>
      </c>
      <c r="V96" s="28"/>
      <c r="W96" s="28"/>
    </row>
    <row r="97" spans="1:23" s="34" customFormat="1" ht="12.75" customHeight="1">
      <c r="A97" s="28">
        <v>1843</v>
      </c>
      <c r="B97" s="29">
        <v>7.6999999999999999E-2</v>
      </c>
      <c r="C97" s="29">
        <v>7.3999999999999996E-2</v>
      </c>
      <c r="D97" s="30">
        <v>4.9000000000000002E-2</v>
      </c>
      <c r="E97" s="29">
        <v>4.7E-2</v>
      </c>
      <c r="F97" s="30">
        <v>4.5999999999999999E-2</v>
      </c>
      <c r="G97" s="29">
        <v>4.4999999999999998E-2</v>
      </c>
      <c r="H97" s="30">
        <v>4.3999999999999997E-2</v>
      </c>
      <c r="I97" s="29">
        <v>4.2999999999999997E-2</v>
      </c>
      <c r="J97" s="29">
        <v>4.2000000000000003E-2</v>
      </c>
      <c r="K97" s="29">
        <v>4.1000000000000002E-2</v>
      </c>
      <c r="L97" s="29">
        <v>0.04</v>
      </c>
      <c r="M97" s="29">
        <v>3.9E-2</v>
      </c>
      <c r="N97" s="29">
        <v>3.7999999999999999E-2</v>
      </c>
      <c r="O97" s="31">
        <v>3.6999999999999998E-2</v>
      </c>
      <c r="P97" s="31">
        <v>3.5999999999999997E-2</v>
      </c>
      <c r="Q97" s="31">
        <v>3.4000000000000002E-2</v>
      </c>
      <c r="R97" s="31">
        <v>3.5000000000000003E-2</v>
      </c>
      <c r="S97" s="35"/>
      <c r="U97" s="32">
        <v>-9.8000000000000007</v>
      </c>
      <c r="V97" s="28"/>
      <c r="W97" s="28"/>
    </row>
    <row r="98" spans="1:23" s="34" customFormat="1" ht="12.75" customHeight="1">
      <c r="A98" s="28">
        <v>1844</v>
      </c>
      <c r="B98" s="29">
        <v>7.8E-2</v>
      </c>
      <c r="C98" s="29">
        <v>7.4999999999999997E-2</v>
      </c>
      <c r="D98" s="30">
        <v>4.9000000000000002E-2</v>
      </c>
      <c r="E98" s="29">
        <v>4.8000000000000001E-2</v>
      </c>
      <c r="F98" s="30">
        <v>4.7E-2</v>
      </c>
      <c r="G98" s="29">
        <v>4.5999999999999999E-2</v>
      </c>
      <c r="H98" s="30">
        <v>4.4999999999999998E-2</v>
      </c>
      <c r="I98" s="29">
        <v>4.3999999999999997E-2</v>
      </c>
      <c r="J98" s="29">
        <v>4.2000000000000003E-2</v>
      </c>
      <c r="K98" s="29">
        <v>4.2000000000000003E-2</v>
      </c>
      <c r="L98" s="29">
        <v>4.1000000000000002E-2</v>
      </c>
      <c r="M98" s="29">
        <v>0.04</v>
      </c>
      <c r="N98" s="29">
        <v>3.7999999999999999E-2</v>
      </c>
      <c r="O98" s="31">
        <v>3.6999999999999998E-2</v>
      </c>
      <c r="P98" s="31">
        <v>3.5999999999999997E-2</v>
      </c>
      <c r="Q98" s="31">
        <v>3.5000000000000003E-2</v>
      </c>
      <c r="R98" s="31">
        <v>3.5000000000000003E-2</v>
      </c>
      <c r="S98" s="35"/>
      <c r="U98" s="32">
        <v>1.4</v>
      </c>
      <c r="V98" s="28"/>
      <c r="W98" s="28"/>
    </row>
    <row r="99" spans="1:23" s="34" customFormat="1" ht="12.75" customHeight="1">
      <c r="A99" s="28">
        <v>1845</v>
      </c>
      <c r="B99" s="29">
        <v>7.9000000000000001E-2</v>
      </c>
      <c r="C99" s="29">
        <v>7.5999999999999998E-2</v>
      </c>
      <c r="D99" s="30">
        <v>0.05</v>
      </c>
      <c r="E99" s="29">
        <v>4.8000000000000001E-2</v>
      </c>
      <c r="F99" s="30">
        <v>4.7E-2</v>
      </c>
      <c r="G99" s="29">
        <v>4.7E-2</v>
      </c>
      <c r="H99" s="30">
        <v>4.5999999999999999E-2</v>
      </c>
      <c r="I99" s="29">
        <v>4.3999999999999997E-2</v>
      </c>
      <c r="J99" s="29">
        <v>4.2999999999999997E-2</v>
      </c>
      <c r="K99" s="29">
        <v>4.2000000000000003E-2</v>
      </c>
      <c r="L99" s="29">
        <v>4.1000000000000002E-2</v>
      </c>
      <c r="M99" s="29">
        <v>0.04</v>
      </c>
      <c r="N99" s="29">
        <v>3.9E-2</v>
      </c>
      <c r="O99" s="31">
        <v>3.7999999999999999E-2</v>
      </c>
      <c r="P99" s="31">
        <v>3.6999999999999998E-2</v>
      </c>
      <c r="Q99" s="31">
        <v>3.5000000000000003E-2</v>
      </c>
      <c r="R99" s="31">
        <v>3.5999999999999997E-2</v>
      </c>
      <c r="S99" s="35"/>
      <c r="U99" s="32">
        <v>1.3</v>
      </c>
      <c r="V99" s="28"/>
      <c r="W99" s="28"/>
    </row>
    <row r="100" spans="1:23" s="34" customFormat="1" ht="12.75" customHeight="1">
      <c r="A100" s="28">
        <v>1846</v>
      </c>
      <c r="B100" s="29">
        <v>0.08</v>
      </c>
      <c r="C100" s="29">
        <v>7.6999999999999999E-2</v>
      </c>
      <c r="D100" s="30">
        <v>5.0999999999999997E-2</v>
      </c>
      <c r="E100" s="29">
        <v>4.9000000000000002E-2</v>
      </c>
      <c r="F100" s="30">
        <v>4.8000000000000001E-2</v>
      </c>
      <c r="G100" s="29">
        <v>4.7E-2</v>
      </c>
      <c r="H100" s="30">
        <v>4.5999999999999999E-2</v>
      </c>
      <c r="I100" s="29">
        <v>4.4999999999999998E-2</v>
      </c>
      <c r="J100" s="29">
        <v>4.2999999999999997E-2</v>
      </c>
      <c r="K100" s="29">
        <v>4.2999999999999997E-2</v>
      </c>
      <c r="L100" s="29">
        <v>4.2000000000000003E-2</v>
      </c>
      <c r="M100" s="29">
        <v>4.1000000000000002E-2</v>
      </c>
      <c r="N100" s="29">
        <v>3.9E-2</v>
      </c>
      <c r="O100" s="31">
        <v>3.7999999999999999E-2</v>
      </c>
      <c r="P100" s="31">
        <v>3.6999999999999998E-2</v>
      </c>
      <c r="Q100" s="31">
        <v>3.5999999999999997E-2</v>
      </c>
      <c r="R100" s="31">
        <v>3.5999999999999997E-2</v>
      </c>
      <c r="S100" s="35"/>
      <c r="U100" s="32">
        <v>1.3</v>
      </c>
      <c r="V100" s="28"/>
      <c r="W100" s="28"/>
    </row>
    <row r="101" spans="1:23" s="34" customFormat="1" ht="12.75" customHeight="1">
      <c r="A101" s="28">
        <v>1847</v>
      </c>
      <c r="B101" s="29">
        <v>8.5999999999999993E-2</v>
      </c>
      <c r="C101" s="29">
        <v>8.2000000000000003E-2</v>
      </c>
      <c r="D101" s="30">
        <v>5.3999999999999999E-2</v>
      </c>
      <c r="E101" s="29">
        <v>5.1999999999999998E-2</v>
      </c>
      <c r="F101" s="30">
        <v>5.0999999999999997E-2</v>
      </c>
      <c r="G101" s="29">
        <v>0.05</v>
      </c>
      <c r="H101" s="30">
        <v>4.9000000000000002E-2</v>
      </c>
      <c r="I101" s="29">
        <v>4.8000000000000001E-2</v>
      </c>
      <c r="J101" s="29">
        <v>4.5999999999999999E-2</v>
      </c>
      <c r="K101" s="29">
        <v>4.5999999999999999E-2</v>
      </c>
      <c r="L101" s="29">
        <v>4.4999999999999998E-2</v>
      </c>
      <c r="M101" s="29">
        <v>4.2999999999999997E-2</v>
      </c>
      <c r="N101" s="29">
        <v>4.2000000000000003E-2</v>
      </c>
      <c r="O101" s="31">
        <v>4.1000000000000002E-2</v>
      </c>
      <c r="P101" s="31">
        <v>0.04</v>
      </c>
      <c r="Q101" s="31">
        <v>3.7999999999999999E-2</v>
      </c>
      <c r="R101" s="31">
        <v>3.7999999999999999E-2</v>
      </c>
      <c r="S101" s="35"/>
      <c r="U101" s="32">
        <v>6.5</v>
      </c>
      <c r="V101" s="28"/>
      <c r="W101" s="28"/>
    </row>
    <row r="102" spans="1:23" s="34" customFormat="1" ht="12.75" customHeight="1">
      <c r="A102" s="28">
        <v>1848</v>
      </c>
      <c r="B102" s="29">
        <v>8.2000000000000003E-2</v>
      </c>
      <c r="C102" s="29">
        <v>7.9000000000000001E-2</v>
      </c>
      <c r="D102" s="30">
        <v>5.1999999999999998E-2</v>
      </c>
      <c r="E102" s="29">
        <v>0.05</v>
      </c>
      <c r="F102" s="30">
        <v>4.9000000000000002E-2</v>
      </c>
      <c r="G102" s="29">
        <v>4.8000000000000001E-2</v>
      </c>
      <c r="H102" s="30">
        <v>4.7E-2</v>
      </c>
      <c r="I102" s="29">
        <v>4.5999999999999999E-2</v>
      </c>
      <c r="J102" s="29">
        <v>4.4999999999999998E-2</v>
      </c>
      <c r="K102" s="29">
        <v>4.3999999999999997E-2</v>
      </c>
      <c r="L102" s="29">
        <v>4.2999999999999997E-2</v>
      </c>
      <c r="M102" s="29">
        <v>4.2000000000000003E-2</v>
      </c>
      <c r="N102" s="29">
        <v>0.04</v>
      </c>
      <c r="O102" s="31">
        <v>3.9E-2</v>
      </c>
      <c r="P102" s="31">
        <v>3.7999999999999999E-2</v>
      </c>
      <c r="Q102" s="31">
        <v>3.6999999999999998E-2</v>
      </c>
      <c r="R102" s="31">
        <v>3.6999999999999998E-2</v>
      </c>
      <c r="S102" s="35"/>
      <c r="U102" s="32">
        <v>-3.7</v>
      </c>
      <c r="V102" s="28"/>
      <c r="W102" s="28"/>
    </row>
    <row r="103" spans="1:23" s="34" customFormat="1" ht="12.75" customHeight="1">
      <c r="A103" s="28">
        <v>1849</v>
      </c>
      <c r="B103" s="29">
        <v>0.08</v>
      </c>
      <c r="C103" s="29">
        <v>7.6999999999999999E-2</v>
      </c>
      <c r="D103" s="30">
        <v>5.0999999999999997E-2</v>
      </c>
      <c r="E103" s="29">
        <v>4.9000000000000002E-2</v>
      </c>
      <c r="F103" s="30">
        <v>4.8000000000000001E-2</v>
      </c>
      <c r="G103" s="29">
        <v>4.7E-2</v>
      </c>
      <c r="H103" s="30">
        <v>4.5999999999999999E-2</v>
      </c>
      <c r="I103" s="29">
        <v>4.4999999999999998E-2</v>
      </c>
      <c r="J103" s="29">
        <v>4.2999999999999997E-2</v>
      </c>
      <c r="K103" s="29">
        <v>4.2999999999999997E-2</v>
      </c>
      <c r="L103" s="29">
        <v>4.2000000000000003E-2</v>
      </c>
      <c r="M103" s="29">
        <v>4.1000000000000002E-2</v>
      </c>
      <c r="N103" s="29">
        <v>3.9E-2</v>
      </c>
      <c r="O103" s="31">
        <v>3.7999999999999999E-2</v>
      </c>
      <c r="P103" s="31">
        <v>3.6999999999999998E-2</v>
      </c>
      <c r="Q103" s="31">
        <v>3.5999999999999997E-2</v>
      </c>
      <c r="R103" s="31">
        <v>3.5999999999999997E-2</v>
      </c>
      <c r="S103" s="35"/>
      <c r="U103" s="32">
        <v>-2.5</v>
      </c>
      <c r="V103" s="28"/>
      <c r="W103" s="28"/>
    </row>
    <row r="104" spans="1:23" s="34" customFormat="1" ht="12.75" customHeight="1">
      <c r="A104" s="28">
        <v>1850</v>
      </c>
      <c r="B104" s="29">
        <v>8.1000000000000003E-2</v>
      </c>
      <c r="C104" s="29">
        <v>7.8E-2</v>
      </c>
      <c r="D104" s="30">
        <v>5.0999999999999997E-2</v>
      </c>
      <c r="E104" s="29">
        <v>0.05</v>
      </c>
      <c r="F104" s="30">
        <v>4.9000000000000002E-2</v>
      </c>
      <c r="G104" s="29">
        <v>4.8000000000000001E-2</v>
      </c>
      <c r="H104" s="30">
        <v>4.7E-2</v>
      </c>
      <c r="I104" s="29">
        <v>4.4999999999999998E-2</v>
      </c>
      <c r="J104" s="29">
        <v>4.3999999999999997E-2</v>
      </c>
      <c r="K104" s="29">
        <v>4.2999999999999997E-2</v>
      </c>
      <c r="L104" s="29">
        <v>4.2000000000000003E-2</v>
      </c>
      <c r="M104" s="29">
        <v>4.1000000000000002E-2</v>
      </c>
      <c r="N104" s="29">
        <v>0.04</v>
      </c>
      <c r="O104" s="31">
        <v>3.9E-2</v>
      </c>
      <c r="P104" s="31">
        <v>3.7999999999999999E-2</v>
      </c>
      <c r="Q104" s="31">
        <v>3.5999999999999997E-2</v>
      </c>
      <c r="R104" s="31">
        <v>3.5999999999999997E-2</v>
      </c>
      <c r="S104" s="35"/>
      <c r="U104" s="32">
        <v>1.3</v>
      </c>
      <c r="V104" s="28"/>
      <c r="W104" s="28"/>
    </row>
    <row r="105" spans="1:23" s="34" customFormat="1" ht="12.75" customHeight="1">
      <c r="A105" s="28">
        <v>1851</v>
      </c>
      <c r="B105" s="29">
        <v>0.08</v>
      </c>
      <c r="C105" s="29">
        <v>7.6999999999999999E-2</v>
      </c>
      <c r="D105" s="30">
        <v>5.0999999999999997E-2</v>
      </c>
      <c r="E105" s="29">
        <v>4.9000000000000002E-2</v>
      </c>
      <c r="F105" s="30">
        <v>4.8000000000000001E-2</v>
      </c>
      <c r="G105" s="29">
        <v>4.7E-2</v>
      </c>
      <c r="H105" s="30">
        <v>4.5999999999999999E-2</v>
      </c>
      <c r="I105" s="29">
        <v>4.4999999999999998E-2</v>
      </c>
      <c r="J105" s="29">
        <v>4.2999999999999997E-2</v>
      </c>
      <c r="K105" s="29">
        <v>4.2999999999999997E-2</v>
      </c>
      <c r="L105" s="29">
        <v>4.2000000000000003E-2</v>
      </c>
      <c r="M105" s="29">
        <v>4.1000000000000002E-2</v>
      </c>
      <c r="N105" s="29">
        <v>3.9E-2</v>
      </c>
      <c r="O105" s="31">
        <v>3.7999999999999999E-2</v>
      </c>
      <c r="P105" s="31">
        <v>3.6999999999999998E-2</v>
      </c>
      <c r="Q105" s="31">
        <v>3.5999999999999997E-2</v>
      </c>
      <c r="R105" s="31">
        <v>3.5999999999999997E-2</v>
      </c>
      <c r="S105" s="35"/>
      <c r="U105" s="32">
        <v>-1.3</v>
      </c>
      <c r="V105" s="28"/>
      <c r="W105" s="28"/>
    </row>
    <row r="106" spans="1:23" s="34" customFormat="1" ht="12.75" customHeight="1">
      <c r="A106" s="28">
        <v>1852</v>
      </c>
      <c r="B106" s="29">
        <v>8.1000000000000003E-2</v>
      </c>
      <c r="C106" s="29">
        <v>7.6999999999999999E-2</v>
      </c>
      <c r="D106" s="30">
        <v>5.0999999999999997E-2</v>
      </c>
      <c r="E106" s="29">
        <v>4.9000000000000002E-2</v>
      </c>
      <c r="F106" s="30">
        <v>4.8000000000000001E-2</v>
      </c>
      <c r="G106" s="29">
        <v>4.7E-2</v>
      </c>
      <c r="H106" s="30">
        <v>4.5999999999999999E-2</v>
      </c>
      <c r="I106" s="29">
        <v>4.4999999999999998E-2</v>
      </c>
      <c r="J106" s="29">
        <v>4.2999999999999997E-2</v>
      </c>
      <c r="K106" s="29">
        <v>4.2999999999999997E-2</v>
      </c>
      <c r="L106" s="29">
        <v>4.2000000000000003E-2</v>
      </c>
      <c r="M106" s="29">
        <v>4.1000000000000002E-2</v>
      </c>
      <c r="N106" s="29">
        <v>3.9E-2</v>
      </c>
      <c r="O106" s="31">
        <v>3.7999999999999999E-2</v>
      </c>
      <c r="P106" s="31">
        <v>3.6999999999999998E-2</v>
      </c>
      <c r="Q106" s="31">
        <v>3.5999999999999997E-2</v>
      </c>
      <c r="R106" s="31">
        <v>3.5999999999999997E-2</v>
      </c>
      <c r="S106" s="35"/>
      <c r="U106" s="32">
        <v>0</v>
      </c>
      <c r="V106" s="28"/>
      <c r="W106" s="28"/>
    </row>
    <row r="107" spans="1:23" s="34" customFormat="1" ht="12.75" customHeight="1">
      <c r="A107" s="28">
        <v>1853</v>
      </c>
      <c r="B107" s="29">
        <v>8.1000000000000003E-2</v>
      </c>
      <c r="C107" s="29">
        <v>7.6999999999999999E-2</v>
      </c>
      <c r="D107" s="30">
        <v>5.0999999999999997E-2</v>
      </c>
      <c r="E107" s="29">
        <v>4.9000000000000002E-2</v>
      </c>
      <c r="F107" s="30">
        <v>4.8000000000000001E-2</v>
      </c>
      <c r="G107" s="29">
        <v>4.7E-2</v>
      </c>
      <c r="H107" s="30">
        <v>4.5999999999999999E-2</v>
      </c>
      <c r="I107" s="29">
        <v>4.4999999999999998E-2</v>
      </c>
      <c r="J107" s="29">
        <v>4.2999999999999997E-2</v>
      </c>
      <c r="K107" s="29">
        <v>4.2999999999999997E-2</v>
      </c>
      <c r="L107" s="29">
        <v>4.2000000000000003E-2</v>
      </c>
      <c r="M107" s="29">
        <v>4.1000000000000002E-2</v>
      </c>
      <c r="N107" s="29">
        <v>3.9E-2</v>
      </c>
      <c r="O107" s="31">
        <v>3.7999999999999999E-2</v>
      </c>
      <c r="P107" s="31">
        <v>3.6999999999999998E-2</v>
      </c>
      <c r="Q107" s="31">
        <v>3.5999999999999997E-2</v>
      </c>
      <c r="R107" s="31">
        <v>3.5999999999999997E-2</v>
      </c>
      <c r="S107" s="35"/>
      <c r="U107" s="32">
        <v>0</v>
      </c>
      <c r="V107" s="28"/>
      <c r="W107" s="28"/>
    </row>
    <row r="108" spans="1:23" s="34" customFormat="1" ht="12.75" customHeight="1">
      <c r="A108" s="28">
        <v>1854</v>
      </c>
      <c r="B108" s="29">
        <v>8.7999999999999995E-2</v>
      </c>
      <c r="C108" s="29">
        <v>8.4000000000000005E-2</v>
      </c>
      <c r="D108" s="30">
        <v>5.5E-2</v>
      </c>
      <c r="E108" s="29">
        <v>5.3999999999999999E-2</v>
      </c>
      <c r="F108" s="30">
        <v>5.1999999999999998E-2</v>
      </c>
      <c r="G108" s="29">
        <v>5.1999999999999998E-2</v>
      </c>
      <c r="H108" s="30">
        <v>0.05</v>
      </c>
      <c r="I108" s="29">
        <v>4.9000000000000002E-2</v>
      </c>
      <c r="J108" s="29">
        <v>4.7E-2</v>
      </c>
      <c r="K108" s="29">
        <v>4.7E-2</v>
      </c>
      <c r="L108" s="29">
        <v>4.5999999999999999E-2</v>
      </c>
      <c r="M108" s="29">
        <v>4.3999999999999997E-2</v>
      </c>
      <c r="N108" s="29">
        <v>4.2999999999999997E-2</v>
      </c>
      <c r="O108" s="31">
        <v>4.2000000000000003E-2</v>
      </c>
      <c r="P108" s="31">
        <v>4.1000000000000002E-2</v>
      </c>
      <c r="Q108" s="31">
        <v>3.9E-2</v>
      </c>
      <c r="R108" s="31">
        <v>3.9E-2</v>
      </c>
      <c r="S108" s="35"/>
      <c r="U108" s="32">
        <v>9.1</v>
      </c>
      <c r="V108" s="28"/>
      <c r="W108" s="28"/>
    </row>
    <row r="109" spans="1:23" s="34" customFormat="1" ht="12.75" customHeight="1">
      <c r="A109" s="28">
        <v>1855</v>
      </c>
      <c r="B109" s="29">
        <v>0.09</v>
      </c>
      <c r="C109" s="29">
        <v>8.6999999999999994E-2</v>
      </c>
      <c r="D109" s="30">
        <v>5.7000000000000002E-2</v>
      </c>
      <c r="E109" s="29">
        <v>5.5E-2</v>
      </c>
      <c r="F109" s="30">
        <v>5.3999999999999999E-2</v>
      </c>
      <c r="G109" s="29">
        <v>5.2999999999999999E-2</v>
      </c>
      <c r="H109" s="30">
        <v>5.1999999999999998E-2</v>
      </c>
      <c r="I109" s="29">
        <v>5.0999999999999997E-2</v>
      </c>
      <c r="J109" s="29">
        <v>4.9000000000000002E-2</v>
      </c>
      <c r="K109" s="29">
        <v>4.8000000000000001E-2</v>
      </c>
      <c r="L109" s="29">
        <v>4.7E-2</v>
      </c>
      <c r="M109" s="29">
        <v>4.5999999999999999E-2</v>
      </c>
      <c r="N109" s="29">
        <v>4.4999999999999998E-2</v>
      </c>
      <c r="O109" s="31">
        <v>4.2999999999999997E-2</v>
      </c>
      <c r="P109" s="31">
        <v>4.2000000000000003E-2</v>
      </c>
      <c r="Q109" s="31">
        <v>0.04</v>
      </c>
      <c r="R109" s="31">
        <v>4.1000000000000002E-2</v>
      </c>
      <c r="S109" s="35"/>
      <c r="U109" s="32">
        <v>3.6</v>
      </c>
      <c r="V109" s="28"/>
      <c r="W109" s="28"/>
    </row>
    <row r="110" spans="1:23" s="34" customFormat="1" ht="12.75" customHeight="1">
      <c r="A110" s="28">
        <v>1856</v>
      </c>
      <c r="B110" s="29">
        <v>8.7999999999999995E-2</v>
      </c>
      <c r="C110" s="29">
        <v>8.5000000000000006E-2</v>
      </c>
      <c r="D110" s="30">
        <v>5.6000000000000001E-2</v>
      </c>
      <c r="E110" s="29">
        <v>5.3999999999999999E-2</v>
      </c>
      <c r="F110" s="30">
        <v>5.2999999999999999E-2</v>
      </c>
      <c r="G110" s="29">
        <v>5.1999999999999998E-2</v>
      </c>
      <c r="H110" s="30">
        <v>5.0999999999999997E-2</v>
      </c>
      <c r="I110" s="29">
        <v>4.9000000000000002E-2</v>
      </c>
      <c r="J110" s="29">
        <v>4.8000000000000001E-2</v>
      </c>
      <c r="K110" s="29">
        <v>4.7E-2</v>
      </c>
      <c r="L110" s="29">
        <v>4.5999999999999999E-2</v>
      </c>
      <c r="M110" s="29">
        <v>4.4999999999999998E-2</v>
      </c>
      <c r="N110" s="29">
        <v>4.3999999999999997E-2</v>
      </c>
      <c r="O110" s="31">
        <v>4.2000000000000003E-2</v>
      </c>
      <c r="P110" s="31">
        <v>4.1000000000000002E-2</v>
      </c>
      <c r="Q110" s="31">
        <v>3.9E-2</v>
      </c>
      <c r="R110" s="31">
        <v>0.04</v>
      </c>
      <c r="S110" s="35"/>
      <c r="U110" s="32">
        <v>-2.2999999999999998</v>
      </c>
      <c r="V110" s="28"/>
      <c r="W110" s="28"/>
    </row>
    <row r="111" spans="1:23" s="34" customFormat="1" ht="12.75" customHeight="1">
      <c r="A111" s="28">
        <v>1857</v>
      </c>
      <c r="B111" s="29">
        <v>9.0999999999999998E-2</v>
      </c>
      <c r="C111" s="29">
        <v>8.6999999999999994E-2</v>
      </c>
      <c r="D111" s="30">
        <v>5.7000000000000002E-2</v>
      </c>
      <c r="E111" s="29">
        <v>5.5E-2</v>
      </c>
      <c r="F111" s="30">
        <v>5.3999999999999999E-2</v>
      </c>
      <c r="G111" s="29">
        <v>5.2999999999999999E-2</v>
      </c>
      <c r="H111" s="30">
        <v>5.1999999999999998E-2</v>
      </c>
      <c r="I111" s="29">
        <v>5.0999999999999997E-2</v>
      </c>
      <c r="J111" s="29">
        <v>4.9000000000000002E-2</v>
      </c>
      <c r="K111" s="29">
        <v>4.8000000000000001E-2</v>
      </c>
      <c r="L111" s="29">
        <v>4.7E-2</v>
      </c>
      <c r="M111" s="29">
        <v>4.5999999999999999E-2</v>
      </c>
      <c r="N111" s="29">
        <v>4.4999999999999998E-2</v>
      </c>
      <c r="O111" s="31">
        <v>4.2999999999999997E-2</v>
      </c>
      <c r="P111" s="31">
        <v>4.2000000000000003E-2</v>
      </c>
      <c r="Q111" s="31">
        <v>0.04</v>
      </c>
      <c r="R111" s="31">
        <v>4.1000000000000002E-2</v>
      </c>
      <c r="S111" s="35"/>
      <c r="U111" s="32">
        <v>2.4</v>
      </c>
      <c r="V111" s="28"/>
      <c r="W111" s="28"/>
    </row>
    <row r="112" spans="1:23" s="34" customFormat="1" ht="12.75" customHeight="1">
      <c r="A112" s="28">
        <v>1858</v>
      </c>
      <c r="B112" s="29">
        <v>8.5999999999999993E-2</v>
      </c>
      <c r="C112" s="29">
        <v>8.2000000000000003E-2</v>
      </c>
      <c r="D112" s="30">
        <v>5.3999999999999999E-2</v>
      </c>
      <c r="E112" s="29">
        <v>5.1999999999999998E-2</v>
      </c>
      <c r="F112" s="30">
        <v>5.0999999999999997E-2</v>
      </c>
      <c r="G112" s="29">
        <v>0.05</v>
      </c>
      <c r="H112" s="30">
        <v>4.9000000000000002E-2</v>
      </c>
      <c r="I112" s="29">
        <v>4.8000000000000001E-2</v>
      </c>
      <c r="J112" s="29">
        <v>4.5999999999999999E-2</v>
      </c>
      <c r="K112" s="29">
        <v>4.5999999999999999E-2</v>
      </c>
      <c r="L112" s="29">
        <v>4.4999999999999998E-2</v>
      </c>
      <c r="M112" s="29">
        <v>4.2999999999999997E-2</v>
      </c>
      <c r="N112" s="29">
        <v>4.2000000000000003E-2</v>
      </c>
      <c r="O112" s="31">
        <v>4.1000000000000002E-2</v>
      </c>
      <c r="P112" s="31">
        <v>0.04</v>
      </c>
      <c r="Q112" s="31">
        <v>3.7999999999999999E-2</v>
      </c>
      <c r="R112" s="31">
        <v>3.7999999999999999E-2</v>
      </c>
      <c r="S112" s="35"/>
      <c r="U112" s="32">
        <v>-5.7</v>
      </c>
      <c r="V112" s="28"/>
      <c r="W112" s="28"/>
    </row>
    <row r="113" spans="1:23" s="34" customFormat="1" ht="12.75" customHeight="1">
      <c r="A113" s="28">
        <v>1859</v>
      </c>
      <c r="B113" s="29">
        <v>8.6999999999999994E-2</v>
      </c>
      <c r="C113" s="29">
        <v>8.3000000000000004E-2</v>
      </c>
      <c r="D113" s="30">
        <v>5.3999999999999999E-2</v>
      </c>
      <c r="E113" s="29">
        <v>5.2999999999999999E-2</v>
      </c>
      <c r="F113" s="30">
        <v>5.1999999999999998E-2</v>
      </c>
      <c r="G113" s="29">
        <v>5.0999999999999997E-2</v>
      </c>
      <c r="H113" s="30">
        <v>0.05</v>
      </c>
      <c r="I113" s="29">
        <v>4.8000000000000001E-2</v>
      </c>
      <c r="J113" s="29">
        <v>4.7E-2</v>
      </c>
      <c r="K113" s="29">
        <v>4.5999999999999999E-2</v>
      </c>
      <c r="L113" s="29">
        <v>4.4999999999999998E-2</v>
      </c>
      <c r="M113" s="29">
        <v>4.3999999999999997E-2</v>
      </c>
      <c r="N113" s="29">
        <v>4.2000000000000003E-2</v>
      </c>
      <c r="O113" s="31">
        <v>4.1000000000000002E-2</v>
      </c>
      <c r="P113" s="31">
        <v>0.04</v>
      </c>
      <c r="Q113" s="31">
        <v>3.9E-2</v>
      </c>
      <c r="R113" s="31">
        <v>3.9E-2</v>
      </c>
      <c r="S113" s="35"/>
      <c r="U113" s="32">
        <v>1.2</v>
      </c>
      <c r="V113" s="28"/>
      <c r="W113" s="28"/>
    </row>
    <row r="114" spans="1:23" s="34" customFormat="1" ht="12.75" customHeight="1">
      <c r="A114" s="28">
        <v>1860</v>
      </c>
      <c r="B114" s="29">
        <v>8.6999999999999994E-2</v>
      </c>
      <c r="C114" s="29">
        <v>8.3000000000000004E-2</v>
      </c>
      <c r="D114" s="30">
        <v>5.3999999999999999E-2</v>
      </c>
      <c r="E114" s="29">
        <v>5.2999999999999999E-2</v>
      </c>
      <c r="F114" s="30">
        <v>5.1999999999999998E-2</v>
      </c>
      <c r="G114" s="29">
        <v>5.0999999999999997E-2</v>
      </c>
      <c r="H114" s="30">
        <v>0.05</v>
      </c>
      <c r="I114" s="29">
        <v>4.8000000000000001E-2</v>
      </c>
      <c r="J114" s="29">
        <v>4.7E-2</v>
      </c>
      <c r="K114" s="29">
        <v>4.5999999999999999E-2</v>
      </c>
      <c r="L114" s="29">
        <v>4.4999999999999998E-2</v>
      </c>
      <c r="M114" s="29">
        <v>4.3999999999999997E-2</v>
      </c>
      <c r="N114" s="29">
        <v>4.2000000000000003E-2</v>
      </c>
      <c r="O114" s="31">
        <v>4.1000000000000002E-2</v>
      </c>
      <c r="P114" s="31">
        <v>0.04</v>
      </c>
      <c r="Q114" s="31">
        <v>3.9E-2</v>
      </c>
      <c r="R114" s="31">
        <v>3.9E-2</v>
      </c>
      <c r="S114" s="35"/>
      <c r="U114" s="32">
        <v>0</v>
      </c>
      <c r="V114" s="28"/>
      <c r="W114" s="28"/>
    </row>
    <row r="115" spans="1:23" s="34" customFormat="1" ht="12.75" customHeight="1">
      <c r="A115" s="28">
        <v>1861</v>
      </c>
      <c r="B115" s="29">
        <v>9.1999999999999998E-2</v>
      </c>
      <c r="C115" s="29">
        <v>8.7999999999999995E-2</v>
      </c>
      <c r="D115" s="30">
        <v>5.8000000000000003E-2</v>
      </c>
      <c r="E115" s="29">
        <v>5.6000000000000001E-2</v>
      </c>
      <c r="F115" s="30">
        <v>5.5E-2</v>
      </c>
      <c r="G115" s="29">
        <v>5.3999999999999999E-2</v>
      </c>
      <c r="H115" s="30">
        <v>5.2999999999999999E-2</v>
      </c>
      <c r="I115" s="29">
        <v>5.0999999999999997E-2</v>
      </c>
      <c r="J115" s="29">
        <v>0.05</v>
      </c>
      <c r="K115" s="29">
        <v>4.9000000000000002E-2</v>
      </c>
      <c r="L115" s="29">
        <v>4.8000000000000001E-2</v>
      </c>
      <c r="M115" s="29">
        <v>4.7E-2</v>
      </c>
      <c r="N115" s="29">
        <v>4.4999999999999998E-2</v>
      </c>
      <c r="O115" s="31">
        <v>4.3999999999999997E-2</v>
      </c>
      <c r="P115" s="31">
        <v>4.2000000000000003E-2</v>
      </c>
      <c r="Q115" s="31">
        <v>4.1000000000000002E-2</v>
      </c>
      <c r="R115" s="31">
        <v>4.1000000000000002E-2</v>
      </c>
      <c r="S115" s="35"/>
      <c r="U115" s="32">
        <v>6</v>
      </c>
      <c r="V115" s="28"/>
      <c r="W115" s="28"/>
    </row>
    <row r="116" spans="1:23" s="34" customFormat="1" ht="12.75" customHeight="1">
      <c r="A116" s="28">
        <v>1862</v>
      </c>
      <c r="B116" s="29">
        <v>0.105</v>
      </c>
      <c r="C116" s="29">
        <v>0.10100000000000001</v>
      </c>
      <c r="D116" s="30">
        <v>6.6000000000000003E-2</v>
      </c>
      <c r="E116" s="29">
        <v>6.4000000000000001E-2</v>
      </c>
      <c r="F116" s="30">
        <v>6.3E-2</v>
      </c>
      <c r="G116" s="29">
        <v>6.2E-2</v>
      </c>
      <c r="H116" s="30">
        <v>6.0999999999999999E-2</v>
      </c>
      <c r="I116" s="29">
        <v>5.8999999999999997E-2</v>
      </c>
      <c r="J116" s="29">
        <v>5.7000000000000002E-2</v>
      </c>
      <c r="K116" s="29">
        <v>5.6000000000000001E-2</v>
      </c>
      <c r="L116" s="29">
        <v>5.5E-2</v>
      </c>
      <c r="M116" s="29">
        <v>5.2999999999999999E-2</v>
      </c>
      <c r="N116" s="29">
        <v>5.1999999999999998E-2</v>
      </c>
      <c r="O116" s="31">
        <v>0.05</v>
      </c>
      <c r="P116" s="31">
        <v>4.9000000000000002E-2</v>
      </c>
      <c r="Q116" s="31">
        <v>4.7E-2</v>
      </c>
      <c r="R116" s="31">
        <v>4.7E-2</v>
      </c>
      <c r="S116" s="35"/>
      <c r="U116" s="32">
        <v>14.8</v>
      </c>
      <c r="V116" s="28"/>
      <c r="W116" s="28"/>
    </row>
    <row r="117" spans="1:23" s="34" customFormat="1" ht="12.75" customHeight="1">
      <c r="A117" s="28">
        <v>1863</v>
      </c>
      <c r="B117" s="29">
        <v>0.13100000000000001</v>
      </c>
      <c r="C117" s="29">
        <v>0.126</v>
      </c>
      <c r="D117" s="30">
        <v>8.3000000000000004E-2</v>
      </c>
      <c r="E117" s="29">
        <v>0.08</v>
      </c>
      <c r="F117" s="30">
        <v>7.9000000000000001E-2</v>
      </c>
      <c r="G117" s="29">
        <v>7.6999999999999999E-2</v>
      </c>
      <c r="H117" s="30">
        <v>7.5999999999999998E-2</v>
      </c>
      <c r="I117" s="29">
        <v>7.2999999999999995E-2</v>
      </c>
      <c r="J117" s="29">
        <v>7.0999999999999994E-2</v>
      </c>
      <c r="K117" s="29">
        <v>7.0000000000000007E-2</v>
      </c>
      <c r="L117" s="29">
        <v>6.8000000000000005E-2</v>
      </c>
      <c r="M117" s="29">
        <v>6.7000000000000004E-2</v>
      </c>
      <c r="N117" s="29">
        <v>6.5000000000000002E-2</v>
      </c>
      <c r="O117" s="31">
        <v>6.3E-2</v>
      </c>
      <c r="P117" s="31">
        <v>6.0999999999999999E-2</v>
      </c>
      <c r="Q117" s="31">
        <v>5.8999999999999997E-2</v>
      </c>
      <c r="R117" s="31">
        <v>5.8999999999999997E-2</v>
      </c>
      <c r="S117" s="35"/>
      <c r="U117" s="32">
        <v>24.8</v>
      </c>
      <c r="V117" s="28"/>
      <c r="W117" s="28"/>
    </row>
    <row r="118" spans="1:23" s="34" customFormat="1" ht="12.75" customHeight="1">
      <c r="A118" s="28">
        <v>1864</v>
      </c>
      <c r="B118" s="29">
        <v>0.16400000000000001</v>
      </c>
      <c r="C118" s="29">
        <v>0.157</v>
      </c>
      <c r="D118" s="30">
        <v>0.10299999999999999</v>
      </c>
      <c r="E118" s="29">
        <v>0.1</v>
      </c>
      <c r="F118" s="30">
        <v>9.8000000000000004E-2</v>
      </c>
      <c r="G118" s="29">
        <v>9.6000000000000002E-2</v>
      </c>
      <c r="H118" s="30">
        <v>9.4E-2</v>
      </c>
      <c r="I118" s="29">
        <v>9.0999999999999998E-2</v>
      </c>
      <c r="J118" s="29">
        <v>8.8999999999999996E-2</v>
      </c>
      <c r="K118" s="29">
        <v>8.6999999999999994E-2</v>
      </c>
      <c r="L118" s="29">
        <v>8.5000000000000006E-2</v>
      </c>
      <c r="M118" s="29">
        <v>8.3000000000000004E-2</v>
      </c>
      <c r="N118" s="29">
        <v>0.08</v>
      </c>
      <c r="O118" s="31">
        <v>7.8E-2</v>
      </c>
      <c r="P118" s="31">
        <v>7.5999999999999998E-2</v>
      </c>
      <c r="Q118" s="31">
        <v>7.2999999999999995E-2</v>
      </c>
      <c r="R118" s="31">
        <v>7.2999999999999995E-2</v>
      </c>
      <c r="S118" s="35"/>
      <c r="U118" s="32">
        <v>24.6</v>
      </c>
      <c r="V118" s="28"/>
      <c r="W118" s="28"/>
    </row>
    <row r="119" spans="1:23" s="34" customFormat="1" ht="12.75" customHeight="1">
      <c r="A119" s="28">
        <v>1865</v>
      </c>
      <c r="B119" s="29">
        <v>0.17</v>
      </c>
      <c r="C119" s="29">
        <v>0.16300000000000001</v>
      </c>
      <c r="D119" s="30">
        <v>0.107</v>
      </c>
      <c r="E119" s="29">
        <v>0.104</v>
      </c>
      <c r="F119" s="30">
        <v>0.10199999999999999</v>
      </c>
      <c r="G119" s="29">
        <v>0.1</v>
      </c>
      <c r="H119" s="30">
        <v>9.8000000000000004E-2</v>
      </c>
      <c r="I119" s="29">
        <v>9.5000000000000001E-2</v>
      </c>
      <c r="J119" s="29">
        <v>9.1999999999999998E-2</v>
      </c>
      <c r="K119" s="29">
        <v>9.0999999999999998E-2</v>
      </c>
      <c r="L119" s="29">
        <v>8.8999999999999996E-2</v>
      </c>
      <c r="M119" s="29">
        <v>8.5999999999999993E-2</v>
      </c>
      <c r="N119" s="29">
        <v>8.3000000000000004E-2</v>
      </c>
      <c r="O119" s="31">
        <v>8.1000000000000003E-2</v>
      </c>
      <c r="P119" s="31">
        <v>7.9000000000000001E-2</v>
      </c>
      <c r="Q119" s="31">
        <v>7.5999999999999998E-2</v>
      </c>
      <c r="R119" s="31">
        <v>7.5999999999999998E-2</v>
      </c>
      <c r="S119" s="35"/>
      <c r="U119" s="32">
        <v>3.8</v>
      </c>
      <c r="V119" s="28"/>
      <c r="W119" s="28"/>
    </row>
    <row r="120" spans="1:23" s="34" customFormat="1" ht="12.75" customHeight="1">
      <c r="A120" s="28">
        <v>1866</v>
      </c>
      <c r="B120" s="29">
        <v>0.16600000000000001</v>
      </c>
      <c r="C120" s="29">
        <v>0.159</v>
      </c>
      <c r="D120" s="30">
        <v>0.104</v>
      </c>
      <c r="E120" s="29">
        <v>0.10100000000000001</v>
      </c>
      <c r="F120" s="30">
        <v>9.9000000000000005E-2</v>
      </c>
      <c r="G120" s="29">
        <v>9.8000000000000004E-2</v>
      </c>
      <c r="H120" s="30">
        <v>9.5000000000000001E-2</v>
      </c>
      <c r="I120" s="29">
        <v>9.1999999999999998E-2</v>
      </c>
      <c r="J120" s="29">
        <v>0.09</v>
      </c>
      <c r="K120" s="29">
        <v>8.7999999999999995E-2</v>
      </c>
      <c r="L120" s="29">
        <v>8.5999999999999993E-2</v>
      </c>
      <c r="M120" s="29">
        <v>8.4000000000000005E-2</v>
      </c>
      <c r="N120" s="29">
        <v>8.1000000000000003E-2</v>
      </c>
      <c r="O120" s="31">
        <v>7.9000000000000001E-2</v>
      </c>
      <c r="P120" s="31">
        <v>7.6999999999999999E-2</v>
      </c>
      <c r="Q120" s="31">
        <v>7.3999999999999996E-2</v>
      </c>
      <c r="R120" s="31">
        <v>7.3999999999999996E-2</v>
      </c>
      <c r="S120" s="35"/>
      <c r="U120" s="32">
        <v>-2.5</v>
      </c>
      <c r="V120" s="28"/>
      <c r="W120" s="28"/>
    </row>
    <row r="121" spans="1:23" s="34" customFormat="1" ht="12.75" customHeight="1">
      <c r="A121" s="28">
        <v>1867</v>
      </c>
      <c r="B121" s="29">
        <v>0.154</v>
      </c>
      <c r="C121" s="29">
        <v>0.14799999999999999</v>
      </c>
      <c r="D121" s="30">
        <v>9.7000000000000003E-2</v>
      </c>
      <c r="E121" s="29">
        <v>9.4E-2</v>
      </c>
      <c r="F121" s="30">
        <v>9.1999999999999998E-2</v>
      </c>
      <c r="G121" s="29">
        <v>9.0999999999999998E-2</v>
      </c>
      <c r="H121" s="30">
        <v>8.8999999999999996E-2</v>
      </c>
      <c r="I121" s="29">
        <v>8.5999999999999993E-2</v>
      </c>
      <c r="J121" s="29">
        <v>8.4000000000000005E-2</v>
      </c>
      <c r="K121" s="29">
        <v>8.2000000000000003E-2</v>
      </c>
      <c r="L121" s="29">
        <v>0.08</v>
      </c>
      <c r="M121" s="29">
        <v>7.8E-2</v>
      </c>
      <c r="N121" s="29">
        <v>7.5999999999999998E-2</v>
      </c>
      <c r="O121" s="31">
        <v>7.2999999999999995E-2</v>
      </c>
      <c r="P121" s="31">
        <v>7.0999999999999994E-2</v>
      </c>
      <c r="Q121" s="31">
        <v>6.9000000000000006E-2</v>
      </c>
      <c r="R121" s="31">
        <v>6.9000000000000006E-2</v>
      </c>
      <c r="S121" s="35"/>
      <c r="U121" s="32">
        <v>-6.9</v>
      </c>
      <c r="V121" s="28"/>
      <c r="W121" s="28"/>
    </row>
    <row r="122" spans="1:23" s="34" customFormat="1" ht="12.75" customHeight="1">
      <c r="A122" s="28">
        <v>1868</v>
      </c>
      <c r="B122" s="29">
        <v>0.14799999999999999</v>
      </c>
      <c r="C122" s="29">
        <v>0.14199999999999999</v>
      </c>
      <c r="D122" s="30">
        <v>9.2999999999999999E-2</v>
      </c>
      <c r="E122" s="29">
        <v>9.0999999999999998E-2</v>
      </c>
      <c r="F122" s="30">
        <v>8.7999999999999995E-2</v>
      </c>
      <c r="G122" s="29">
        <v>8.6999999999999994E-2</v>
      </c>
      <c r="H122" s="30">
        <v>8.5000000000000006E-2</v>
      </c>
      <c r="I122" s="29">
        <v>8.2000000000000003E-2</v>
      </c>
      <c r="J122" s="29">
        <v>0.08</v>
      </c>
      <c r="K122" s="29">
        <v>7.9000000000000001E-2</v>
      </c>
      <c r="L122" s="29">
        <v>7.6999999999999999E-2</v>
      </c>
      <c r="M122" s="29">
        <v>7.4999999999999997E-2</v>
      </c>
      <c r="N122" s="29">
        <v>7.2999999999999995E-2</v>
      </c>
      <c r="O122" s="31">
        <v>7.0000000000000007E-2</v>
      </c>
      <c r="P122" s="31">
        <v>6.8000000000000005E-2</v>
      </c>
      <c r="Q122" s="31">
        <v>6.6000000000000003E-2</v>
      </c>
      <c r="R122" s="31">
        <v>6.6000000000000003E-2</v>
      </c>
      <c r="S122" s="35"/>
      <c r="U122" s="32">
        <v>-4.0999999999999996</v>
      </c>
      <c r="V122" s="28"/>
      <c r="W122" s="28"/>
    </row>
    <row r="123" spans="1:23" s="34" customFormat="1" ht="12.75" customHeight="1">
      <c r="A123" s="28">
        <v>1869</v>
      </c>
      <c r="B123" s="29">
        <v>0.14199999999999999</v>
      </c>
      <c r="C123" s="29">
        <v>0.13600000000000001</v>
      </c>
      <c r="D123" s="30">
        <v>8.8999999999999996E-2</v>
      </c>
      <c r="E123" s="29">
        <v>8.6999999999999994E-2</v>
      </c>
      <c r="F123" s="30">
        <v>8.5000000000000006E-2</v>
      </c>
      <c r="G123" s="29">
        <v>8.3000000000000004E-2</v>
      </c>
      <c r="H123" s="30">
        <v>8.2000000000000003E-2</v>
      </c>
      <c r="I123" s="29">
        <v>7.9000000000000001E-2</v>
      </c>
      <c r="J123" s="29">
        <v>7.6999999999999999E-2</v>
      </c>
      <c r="K123" s="29">
        <v>7.5999999999999998E-2</v>
      </c>
      <c r="L123" s="29">
        <v>7.3999999999999996E-2</v>
      </c>
      <c r="M123" s="29">
        <v>7.1999999999999995E-2</v>
      </c>
      <c r="N123" s="29">
        <v>7.0000000000000007E-2</v>
      </c>
      <c r="O123" s="31">
        <v>6.7000000000000004E-2</v>
      </c>
      <c r="P123" s="31">
        <v>6.6000000000000003E-2</v>
      </c>
      <c r="Q123" s="31">
        <v>6.3E-2</v>
      </c>
      <c r="R123" s="31">
        <v>6.4000000000000001E-2</v>
      </c>
      <c r="S123" s="35"/>
      <c r="U123" s="32">
        <v>-4.2</v>
      </c>
      <c r="V123" s="28"/>
      <c r="W123" s="28"/>
    </row>
    <row r="124" spans="1:23" s="34" customFormat="1" ht="12.75" customHeight="1">
      <c r="A124" s="28">
        <v>1870</v>
      </c>
      <c r="B124" s="29">
        <v>0.13600000000000001</v>
      </c>
      <c r="C124" s="29">
        <v>0.13100000000000001</v>
      </c>
      <c r="D124" s="30">
        <v>8.5999999999999993E-2</v>
      </c>
      <c r="E124" s="29">
        <v>8.3000000000000004E-2</v>
      </c>
      <c r="F124" s="30">
        <v>8.2000000000000003E-2</v>
      </c>
      <c r="G124" s="29">
        <v>0.08</v>
      </c>
      <c r="H124" s="30">
        <v>7.9000000000000001E-2</v>
      </c>
      <c r="I124" s="29">
        <v>7.5999999999999998E-2</v>
      </c>
      <c r="J124" s="29">
        <v>7.3999999999999996E-2</v>
      </c>
      <c r="K124" s="29">
        <v>7.2999999999999995E-2</v>
      </c>
      <c r="L124" s="29">
        <v>7.0999999999999994E-2</v>
      </c>
      <c r="M124" s="29">
        <v>6.9000000000000006E-2</v>
      </c>
      <c r="N124" s="29">
        <v>6.7000000000000004E-2</v>
      </c>
      <c r="O124" s="31">
        <v>6.5000000000000002E-2</v>
      </c>
      <c r="P124" s="31">
        <v>6.3E-2</v>
      </c>
      <c r="Q124" s="31">
        <v>6.0999999999999999E-2</v>
      </c>
      <c r="R124" s="31">
        <v>6.0999999999999999E-2</v>
      </c>
      <c r="S124" s="35"/>
      <c r="U124" s="32">
        <v>-3.7</v>
      </c>
      <c r="V124" s="28"/>
      <c r="W124" s="28"/>
    </row>
    <row r="125" spans="1:23" s="34" customFormat="1" ht="12.75" customHeight="1">
      <c r="A125" s="28">
        <v>1871</v>
      </c>
      <c r="B125" s="29">
        <v>0.127</v>
      </c>
      <c r="C125" s="29">
        <v>0.122</v>
      </c>
      <c r="D125" s="30">
        <v>0.08</v>
      </c>
      <c r="E125" s="29">
        <v>7.8E-2</v>
      </c>
      <c r="F125" s="30">
        <v>7.5999999999999998E-2</v>
      </c>
      <c r="G125" s="29">
        <v>7.4999999999999997E-2</v>
      </c>
      <c r="H125" s="30">
        <v>7.2999999999999995E-2</v>
      </c>
      <c r="I125" s="29">
        <v>7.0999999999999994E-2</v>
      </c>
      <c r="J125" s="29">
        <v>6.9000000000000006E-2</v>
      </c>
      <c r="K125" s="29">
        <v>6.8000000000000005E-2</v>
      </c>
      <c r="L125" s="29">
        <v>6.6000000000000003E-2</v>
      </c>
      <c r="M125" s="29">
        <v>6.5000000000000002E-2</v>
      </c>
      <c r="N125" s="29">
        <v>6.2E-2</v>
      </c>
      <c r="O125" s="31">
        <v>6.0999999999999999E-2</v>
      </c>
      <c r="P125" s="31">
        <v>5.8999999999999997E-2</v>
      </c>
      <c r="Q125" s="31">
        <v>5.7000000000000002E-2</v>
      </c>
      <c r="R125" s="31">
        <v>5.7000000000000002E-2</v>
      </c>
      <c r="S125" s="35"/>
      <c r="U125" s="32">
        <v>-6.9</v>
      </c>
      <c r="V125" s="28"/>
      <c r="W125" s="28"/>
    </row>
    <row r="126" spans="1:23" s="34" customFormat="1" ht="12.75" customHeight="1">
      <c r="A126" s="28">
        <v>1872</v>
      </c>
      <c r="B126" s="29">
        <v>0.127</v>
      </c>
      <c r="C126" s="29">
        <v>0.122</v>
      </c>
      <c r="D126" s="30">
        <v>0.08</v>
      </c>
      <c r="E126" s="29">
        <v>7.8E-2</v>
      </c>
      <c r="F126" s="30">
        <v>7.5999999999999998E-2</v>
      </c>
      <c r="G126" s="29">
        <v>7.4999999999999997E-2</v>
      </c>
      <c r="H126" s="30">
        <v>7.2999999999999995E-2</v>
      </c>
      <c r="I126" s="29">
        <v>7.0999999999999994E-2</v>
      </c>
      <c r="J126" s="29">
        <v>6.9000000000000006E-2</v>
      </c>
      <c r="K126" s="29">
        <v>6.8000000000000005E-2</v>
      </c>
      <c r="L126" s="29">
        <v>6.6000000000000003E-2</v>
      </c>
      <c r="M126" s="29">
        <v>6.5000000000000002E-2</v>
      </c>
      <c r="N126" s="29">
        <v>6.2E-2</v>
      </c>
      <c r="O126" s="31">
        <v>6.0999999999999999E-2</v>
      </c>
      <c r="P126" s="31">
        <v>5.8999999999999997E-2</v>
      </c>
      <c r="Q126" s="31">
        <v>5.7000000000000002E-2</v>
      </c>
      <c r="R126" s="31">
        <v>5.7000000000000002E-2</v>
      </c>
      <c r="S126" s="35"/>
      <c r="U126" s="32">
        <v>0</v>
      </c>
      <c r="V126" s="28"/>
      <c r="W126" s="28"/>
    </row>
    <row r="127" spans="1:23" s="34" customFormat="1" ht="12.75" customHeight="1">
      <c r="A127" s="28">
        <v>1873</v>
      </c>
      <c r="B127" s="29">
        <v>0.125</v>
      </c>
      <c r="C127" s="29">
        <v>0.12</v>
      </c>
      <c r="D127" s="30">
        <v>7.9000000000000001E-2</v>
      </c>
      <c r="E127" s="29">
        <v>7.5999999999999998E-2</v>
      </c>
      <c r="F127" s="30">
        <v>7.4999999999999997E-2</v>
      </c>
      <c r="G127" s="29">
        <v>7.3999999999999996E-2</v>
      </c>
      <c r="H127" s="30">
        <v>7.1999999999999995E-2</v>
      </c>
      <c r="I127" s="29">
        <v>7.0000000000000007E-2</v>
      </c>
      <c r="J127" s="29">
        <v>6.8000000000000005E-2</v>
      </c>
      <c r="K127" s="29">
        <v>6.7000000000000004E-2</v>
      </c>
      <c r="L127" s="29">
        <v>6.5000000000000002E-2</v>
      </c>
      <c r="M127" s="29">
        <v>6.4000000000000001E-2</v>
      </c>
      <c r="N127" s="29">
        <v>6.0999999999999999E-2</v>
      </c>
      <c r="O127" s="31">
        <v>0.06</v>
      </c>
      <c r="P127" s="31">
        <v>5.8000000000000003E-2</v>
      </c>
      <c r="Q127" s="31">
        <v>5.6000000000000001E-2</v>
      </c>
      <c r="R127" s="31">
        <v>5.6000000000000001E-2</v>
      </c>
      <c r="S127" s="35"/>
      <c r="U127" s="32">
        <v>-1.6</v>
      </c>
      <c r="V127" s="28"/>
      <c r="W127" s="28"/>
    </row>
    <row r="128" spans="1:23" s="34" customFormat="1" ht="12.75" customHeight="1">
      <c r="A128" s="28">
        <v>1874</v>
      </c>
      <c r="B128" s="29">
        <v>0.11899999999999999</v>
      </c>
      <c r="C128" s="29">
        <v>0.114</v>
      </c>
      <c r="D128" s="30">
        <v>7.4999999999999997E-2</v>
      </c>
      <c r="E128" s="29">
        <v>7.2999999999999995E-2</v>
      </c>
      <c r="F128" s="30">
        <v>7.0999999999999994E-2</v>
      </c>
      <c r="G128" s="29">
        <v>7.0000000000000007E-2</v>
      </c>
      <c r="H128" s="30">
        <v>6.8000000000000005E-2</v>
      </c>
      <c r="I128" s="29">
        <v>6.6000000000000003E-2</v>
      </c>
      <c r="J128" s="29">
        <v>6.4000000000000001E-2</v>
      </c>
      <c r="K128" s="29">
        <v>6.3E-2</v>
      </c>
      <c r="L128" s="29">
        <v>6.2E-2</v>
      </c>
      <c r="M128" s="29">
        <v>0.06</v>
      </c>
      <c r="N128" s="29">
        <v>5.8000000000000003E-2</v>
      </c>
      <c r="O128" s="31">
        <v>5.7000000000000002E-2</v>
      </c>
      <c r="P128" s="31">
        <v>5.5E-2</v>
      </c>
      <c r="Q128" s="31">
        <v>5.2999999999999999E-2</v>
      </c>
      <c r="R128" s="31">
        <v>5.2999999999999999E-2</v>
      </c>
      <c r="S128" s="35"/>
      <c r="U128" s="32">
        <v>-5</v>
      </c>
      <c r="V128" s="28"/>
      <c r="W128" s="28"/>
    </row>
    <row r="129" spans="1:23" s="34" customFormat="1" ht="12.75" customHeight="1">
      <c r="A129" s="28">
        <v>1875</v>
      </c>
      <c r="B129" s="29">
        <v>0.114</v>
      </c>
      <c r="C129" s="29">
        <v>0.11</v>
      </c>
      <c r="D129" s="30">
        <v>7.1999999999999995E-2</v>
      </c>
      <c r="E129" s="29">
        <v>7.0000000000000007E-2</v>
      </c>
      <c r="F129" s="30">
        <v>6.9000000000000006E-2</v>
      </c>
      <c r="G129" s="29">
        <v>6.7000000000000004E-2</v>
      </c>
      <c r="H129" s="30">
        <v>6.6000000000000003E-2</v>
      </c>
      <c r="I129" s="29">
        <v>6.4000000000000001E-2</v>
      </c>
      <c r="J129" s="29">
        <v>6.2E-2</v>
      </c>
      <c r="K129" s="29">
        <v>6.0999999999999999E-2</v>
      </c>
      <c r="L129" s="29">
        <v>0.06</v>
      </c>
      <c r="M129" s="29">
        <v>5.8000000000000003E-2</v>
      </c>
      <c r="N129" s="29">
        <v>5.6000000000000001E-2</v>
      </c>
      <c r="O129" s="31">
        <v>5.5E-2</v>
      </c>
      <c r="P129" s="31">
        <v>5.2999999999999999E-2</v>
      </c>
      <c r="Q129" s="31">
        <v>5.0999999999999997E-2</v>
      </c>
      <c r="R129" s="31">
        <v>5.0999999999999997E-2</v>
      </c>
      <c r="S129" s="35"/>
      <c r="U129" s="32">
        <v>-3.5</v>
      </c>
      <c r="V129" s="28"/>
      <c r="W129" s="28"/>
    </row>
    <row r="130" spans="1:23" s="34" customFormat="1" ht="12.75" customHeight="1">
      <c r="A130" s="28">
        <v>1876</v>
      </c>
      <c r="B130" s="29">
        <v>0.112</v>
      </c>
      <c r="C130" s="29">
        <v>0.107</v>
      </c>
      <c r="D130" s="30">
        <v>7.0000000000000007E-2</v>
      </c>
      <c r="E130" s="29">
        <v>6.8000000000000005E-2</v>
      </c>
      <c r="F130" s="30">
        <v>6.7000000000000004E-2</v>
      </c>
      <c r="G130" s="29">
        <v>6.6000000000000003E-2</v>
      </c>
      <c r="H130" s="30">
        <v>6.4000000000000001E-2</v>
      </c>
      <c r="I130" s="29">
        <v>6.2E-2</v>
      </c>
      <c r="J130" s="29">
        <v>0.06</v>
      </c>
      <c r="K130" s="29">
        <v>5.8999999999999997E-2</v>
      </c>
      <c r="L130" s="29">
        <v>5.8000000000000003E-2</v>
      </c>
      <c r="M130" s="29">
        <v>5.7000000000000002E-2</v>
      </c>
      <c r="N130" s="29">
        <v>5.5E-2</v>
      </c>
      <c r="O130" s="31">
        <v>5.2999999999999999E-2</v>
      </c>
      <c r="P130" s="31">
        <v>5.1999999999999998E-2</v>
      </c>
      <c r="Q130" s="31">
        <v>0.05</v>
      </c>
      <c r="R130" s="31">
        <v>0.05</v>
      </c>
      <c r="S130" s="35"/>
      <c r="U130" s="32">
        <v>-2.7</v>
      </c>
      <c r="V130" s="28"/>
      <c r="W130" s="28"/>
    </row>
    <row r="131" spans="1:23" s="34" customFormat="1" ht="12.75" customHeight="1">
      <c r="A131" s="28">
        <v>1877</v>
      </c>
      <c r="B131" s="29">
        <v>0.109</v>
      </c>
      <c r="C131" s="29">
        <v>0.105</v>
      </c>
      <c r="D131" s="30">
        <v>6.9000000000000006E-2</v>
      </c>
      <c r="E131" s="29">
        <v>6.7000000000000004E-2</v>
      </c>
      <c r="F131" s="30">
        <v>6.5000000000000002E-2</v>
      </c>
      <c r="G131" s="29">
        <v>6.4000000000000001E-2</v>
      </c>
      <c r="H131" s="30">
        <v>6.3E-2</v>
      </c>
      <c r="I131" s="29">
        <v>6.0999999999999999E-2</v>
      </c>
      <c r="J131" s="29">
        <v>5.8999999999999997E-2</v>
      </c>
      <c r="K131" s="29">
        <v>5.8000000000000003E-2</v>
      </c>
      <c r="L131" s="29">
        <v>5.7000000000000002E-2</v>
      </c>
      <c r="M131" s="29">
        <v>5.6000000000000001E-2</v>
      </c>
      <c r="N131" s="29">
        <v>5.3999999999999999E-2</v>
      </c>
      <c r="O131" s="31">
        <v>5.1999999999999998E-2</v>
      </c>
      <c r="P131" s="31">
        <v>5.0999999999999997E-2</v>
      </c>
      <c r="Q131" s="31">
        <v>4.9000000000000002E-2</v>
      </c>
      <c r="R131" s="31">
        <v>4.9000000000000002E-2</v>
      </c>
      <c r="S131" s="35"/>
      <c r="U131" s="32">
        <v>-1.9</v>
      </c>
      <c r="V131" s="28"/>
      <c r="W131" s="28"/>
    </row>
    <row r="132" spans="1:23" s="34" customFormat="1" ht="12.75" customHeight="1">
      <c r="A132" s="28">
        <v>1878</v>
      </c>
      <c r="B132" s="29">
        <v>0.104</v>
      </c>
      <c r="C132" s="29">
        <v>0.1</v>
      </c>
      <c r="D132" s="30">
        <v>6.6000000000000003E-2</v>
      </c>
      <c r="E132" s="29">
        <v>6.4000000000000001E-2</v>
      </c>
      <c r="F132" s="30">
        <v>6.2E-2</v>
      </c>
      <c r="G132" s="29">
        <v>6.0999999999999999E-2</v>
      </c>
      <c r="H132" s="30">
        <v>0.06</v>
      </c>
      <c r="I132" s="29">
        <v>5.8000000000000003E-2</v>
      </c>
      <c r="J132" s="29">
        <v>5.6000000000000001E-2</v>
      </c>
      <c r="K132" s="29">
        <v>5.6000000000000001E-2</v>
      </c>
      <c r="L132" s="29">
        <v>5.3999999999999999E-2</v>
      </c>
      <c r="M132" s="29">
        <v>5.2999999999999999E-2</v>
      </c>
      <c r="N132" s="29">
        <v>5.0999999999999997E-2</v>
      </c>
      <c r="O132" s="31">
        <v>0.05</v>
      </c>
      <c r="P132" s="31">
        <v>4.8000000000000001E-2</v>
      </c>
      <c r="Q132" s="31">
        <v>4.5999999999999999E-2</v>
      </c>
      <c r="R132" s="31">
        <v>4.7E-2</v>
      </c>
      <c r="S132" s="35"/>
      <c r="U132" s="32">
        <v>-4.8</v>
      </c>
      <c r="V132" s="28"/>
      <c r="W132" s="28"/>
    </row>
    <row r="133" spans="1:23" s="34" customFormat="1" ht="12.75" customHeight="1">
      <c r="A133" s="28">
        <v>1879</v>
      </c>
      <c r="B133" s="29">
        <v>0.104</v>
      </c>
      <c r="C133" s="29">
        <v>0.1</v>
      </c>
      <c r="D133" s="30">
        <v>6.6000000000000003E-2</v>
      </c>
      <c r="E133" s="29">
        <v>6.4000000000000001E-2</v>
      </c>
      <c r="F133" s="30">
        <v>6.2E-2</v>
      </c>
      <c r="G133" s="29">
        <v>6.0999999999999999E-2</v>
      </c>
      <c r="H133" s="30">
        <v>0.06</v>
      </c>
      <c r="I133" s="29">
        <v>5.8000000000000003E-2</v>
      </c>
      <c r="J133" s="29">
        <v>5.6000000000000001E-2</v>
      </c>
      <c r="K133" s="29">
        <v>5.6000000000000001E-2</v>
      </c>
      <c r="L133" s="29">
        <v>5.3999999999999999E-2</v>
      </c>
      <c r="M133" s="29">
        <v>5.2999999999999999E-2</v>
      </c>
      <c r="N133" s="29">
        <v>5.0999999999999997E-2</v>
      </c>
      <c r="O133" s="31">
        <v>0.05</v>
      </c>
      <c r="P133" s="31">
        <v>4.8000000000000001E-2</v>
      </c>
      <c r="Q133" s="31">
        <v>4.5999999999999999E-2</v>
      </c>
      <c r="R133" s="31">
        <v>4.7E-2</v>
      </c>
      <c r="S133" s="35"/>
      <c r="U133" s="32">
        <v>0</v>
      </c>
      <c r="V133" s="28"/>
      <c r="W133" s="28"/>
    </row>
    <row r="134" spans="1:23" s="34" customFormat="1" ht="12.75" customHeight="1">
      <c r="A134" s="28">
        <v>1880</v>
      </c>
      <c r="B134" s="29">
        <v>0.107</v>
      </c>
      <c r="C134" s="29">
        <v>0.10199999999999999</v>
      </c>
      <c r="D134" s="30">
        <v>6.7000000000000004E-2</v>
      </c>
      <c r="E134" s="29">
        <v>6.5000000000000002E-2</v>
      </c>
      <c r="F134" s="30">
        <v>6.4000000000000001E-2</v>
      </c>
      <c r="G134" s="29">
        <v>6.3E-2</v>
      </c>
      <c r="H134" s="30">
        <v>6.0999999999999999E-2</v>
      </c>
      <c r="I134" s="29">
        <v>5.8999999999999997E-2</v>
      </c>
      <c r="J134" s="29">
        <v>5.8000000000000003E-2</v>
      </c>
      <c r="K134" s="29">
        <v>5.7000000000000002E-2</v>
      </c>
      <c r="L134" s="29">
        <v>5.5E-2</v>
      </c>
      <c r="M134" s="29">
        <v>5.3999999999999999E-2</v>
      </c>
      <c r="N134" s="29">
        <v>5.1999999999999998E-2</v>
      </c>
      <c r="O134" s="31">
        <v>5.0999999999999997E-2</v>
      </c>
      <c r="P134" s="31">
        <v>4.9000000000000002E-2</v>
      </c>
      <c r="Q134" s="31">
        <v>4.7E-2</v>
      </c>
      <c r="R134" s="31">
        <v>4.8000000000000001E-2</v>
      </c>
      <c r="S134" s="35"/>
      <c r="U134" s="32">
        <v>2</v>
      </c>
      <c r="V134" s="28"/>
      <c r="W134" s="28"/>
    </row>
    <row r="135" spans="1:23" s="34" customFormat="1" ht="12.75" customHeight="1">
      <c r="A135" s="28">
        <v>1881</v>
      </c>
      <c r="B135" s="29">
        <v>0.107</v>
      </c>
      <c r="C135" s="29">
        <v>0.10199999999999999</v>
      </c>
      <c r="D135" s="30">
        <v>6.7000000000000004E-2</v>
      </c>
      <c r="E135" s="29">
        <v>6.5000000000000002E-2</v>
      </c>
      <c r="F135" s="30">
        <v>6.4000000000000001E-2</v>
      </c>
      <c r="G135" s="29">
        <v>6.3E-2</v>
      </c>
      <c r="H135" s="30">
        <v>6.0999999999999999E-2</v>
      </c>
      <c r="I135" s="29">
        <v>5.8999999999999997E-2</v>
      </c>
      <c r="J135" s="29">
        <v>5.8000000000000003E-2</v>
      </c>
      <c r="K135" s="29">
        <v>5.7000000000000002E-2</v>
      </c>
      <c r="L135" s="29">
        <v>5.5E-2</v>
      </c>
      <c r="M135" s="29">
        <v>5.3999999999999999E-2</v>
      </c>
      <c r="N135" s="29">
        <v>5.1999999999999998E-2</v>
      </c>
      <c r="O135" s="31">
        <v>5.0999999999999997E-2</v>
      </c>
      <c r="P135" s="31">
        <v>4.9000000000000002E-2</v>
      </c>
      <c r="Q135" s="31">
        <v>4.7E-2</v>
      </c>
      <c r="R135" s="31">
        <v>4.8000000000000001E-2</v>
      </c>
      <c r="S135" s="35"/>
      <c r="U135" s="32">
        <v>0</v>
      </c>
      <c r="V135" s="28"/>
      <c r="W135" s="28"/>
    </row>
    <row r="136" spans="1:23" s="34" customFormat="1" ht="12.75" customHeight="1">
      <c r="A136" s="28">
        <v>1882</v>
      </c>
      <c r="B136" s="29">
        <v>0.107</v>
      </c>
      <c r="C136" s="29">
        <v>0.10199999999999999</v>
      </c>
      <c r="D136" s="30">
        <v>6.7000000000000004E-2</v>
      </c>
      <c r="E136" s="29">
        <v>6.5000000000000002E-2</v>
      </c>
      <c r="F136" s="30">
        <v>6.4000000000000001E-2</v>
      </c>
      <c r="G136" s="29">
        <v>6.3E-2</v>
      </c>
      <c r="H136" s="30">
        <v>6.0999999999999999E-2</v>
      </c>
      <c r="I136" s="29">
        <v>5.8999999999999997E-2</v>
      </c>
      <c r="J136" s="29">
        <v>5.8000000000000003E-2</v>
      </c>
      <c r="K136" s="29">
        <v>5.7000000000000002E-2</v>
      </c>
      <c r="L136" s="29">
        <v>5.5E-2</v>
      </c>
      <c r="M136" s="29">
        <v>5.3999999999999999E-2</v>
      </c>
      <c r="N136" s="29">
        <v>5.1999999999999998E-2</v>
      </c>
      <c r="O136" s="31">
        <v>5.0999999999999997E-2</v>
      </c>
      <c r="P136" s="31">
        <v>4.9000000000000002E-2</v>
      </c>
      <c r="Q136" s="31">
        <v>4.7E-2</v>
      </c>
      <c r="R136" s="31">
        <v>4.8000000000000001E-2</v>
      </c>
      <c r="S136" s="35"/>
      <c r="U136" s="32">
        <v>0</v>
      </c>
      <c r="V136" s="28"/>
      <c r="W136" s="28"/>
    </row>
    <row r="137" spans="1:23" s="34" customFormat="1" ht="12.75" customHeight="1">
      <c r="A137" s="28">
        <v>1883</v>
      </c>
      <c r="B137" s="29">
        <v>0.105</v>
      </c>
      <c r="C137" s="29">
        <v>0.10100000000000001</v>
      </c>
      <c r="D137" s="30">
        <v>6.6000000000000003E-2</v>
      </c>
      <c r="E137" s="29">
        <v>6.4000000000000001E-2</v>
      </c>
      <c r="F137" s="30">
        <v>6.3E-2</v>
      </c>
      <c r="G137" s="29">
        <v>6.2E-2</v>
      </c>
      <c r="H137" s="30">
        <v>6.0999999999999999E-2</v>
      </c>
      <c r="I137" s="29">
        <v>5.8999999999999997E-2</v>
      </c>
      <c r="J137" s="29">
        <v>5.7000000000000002E-2</v>
      </c>
      <c r="K137" s="29">
        <v>5.6000000000000001E-2</v>
      </c>
      <c r="L137" s="29">
        <v>5.5E-2</v>
      </c>
      <c r="M137" s="29">
        <v>5.2999999999999999E-2</v>
      </c>
      <c r="N137" s="29">
        <v>5.1999999999999998E-2</v>
      </c>
      <c r="O137" s="31">
        <v>0.05</v>
      </c>
      <c r="P137" s="31">
        <v>4.9000000000000002E-2</v>
      </c>
      <c r="Q137" s="31">
        <v>4.7E-2</v>
      </c>
      <c r="R137" s="31">
        <v>4.7E-2</v>
      </c>
      <c r="S137" s="35"/>
      <c r="U137" s="32">
        <v>-1</v>
      </c>
      <c r="V137" s="28"/>
      <c r="W137" s="28"/>
    </row>
    <row r="138" spans="1:23" s="34" customFormat="1" ht="12.75" customHeight="1">
      <c r="A138" s="28">
        <v>1884</v>
      </c>
      <c r="B138" s="29">
        <v>0.10199999999999999</v>
      </c>
      <c r="C138" s="29">
        <v>9.8000000000000004E-2</v>
      </c>
      <c r="D138" s="30">
        <v>6.4000000000000001E-2</v>
      </c>
      <c r="E138" s="29">
        <v>6.2E-2</v>
      </c>
      <c r="F138" s="30">
        <v>6.0999999999999999E-2</v>
      </c>
      <c r="G138" s="29">
        <v>0.06</v>
      </c>
      <c r="H138" s="30">
        <v>5.8999999999999997E-2</v>
      </c>
      <c r="I138" s="29">
        <v>5.7000000000000002E-2</v>
      </c>
      <c r="J138" s="29">
        <v>5.5E-2</v>
      </c>
      <c r="K138" s="29">
        <v>5.3999999999999999E-2</v>
      </c>
      <c r="L138" s="29">
        <v>5.2999999999999999E-2</v>
      </c>
      <c r="M138" s="29">
        <v>5.1999999999999998E-2</v>
      </c>
      <c r="N138" s="29">
        <v>0.05</v>
      </c>
      <c r="O138" s="31">
        <v>4.9000000000000002E-2</v>
      </c>
      <c r="P138" s="31">
        <v>4.7E-2</v>
      </c>
      <c r="Q138" s="31">
        <v>4.5999999999999999E-2</v>
      </c>
      <c r="R138" s="31">
        <v>4.5999999999999999E-2</v>
      </c>
      <c r="S138" s="35"/>
      <c r="U138" s="32">
        <v>-3</v>
      </c>
      <c r="V138" s="28"/>
      <c r="W138" s="28"/>
    </row>
    <row r="139" spans="1:23" s="34" customFormat="1" ht="12.75" customHeight="1">
      <c r="A139" s="28">
        <v>1885</v>
      </c>
      <c r="B139" s="29">
        <v>0.10100000000000001</v>
      </c>
      <c r="C139" s="29">
        <v>9.7000000000000003E-2</v>
      </c>
      <c r="D139" s="30">
        <v>6.4000000000000001E-2</v>
      </c>
      <c r="E139" s="29">
        <v>6.2E-2</v>
      </c>
      <c r="F139" s="30">
        <v>0.06</v>
      </c>
      <c r="G139" s="29">
        <v>0.06</v>
      </c>
      <c r="H139" s="30">
        <v>5.8000000000000003E-2</v>
      </c>
      <c r="I139" s="29">
        <v>5.6000000000000001E-2</v>
      </c>
      <c r="J139" s="29">
        <v>5.5E-2</v>
      </c>
      <c r="K139" s="29">
        <v>5.3999999999999999E-2</v>
      </c>
      <c r="L139" s="29">
        <v>5.2999999999999999E-2</v>
      </c>
      <c r="M139" s="29">
        <v>5.0999999999999997E-2</v>
      </c>
      <c r="N139" s="29">
        <v>0.05</v>
      </c>
      <c r="O139" s="31">
        <v>4.8000000000000001E-2</v>
      </c>
      <c r="P139" s="31">
        <v>4.7E-2</v>
      </c>
      <c r="Q139" s="31">
        <v>4.4999999999999998E-2</v>
      </c>
      <c r="R139" s="31">
        <v>4.4999999999999998E-2</v>
      </c>
      <c r="S139" s="35"/>
      <c r="U139" s="32">
        <v>-1</v>
      </c>
      <c r="V139" s="28"/>
      <c r="W139" s="28"/>
    </row>
    <row r="140" spans="1:23" s="34" customFormat="1" ht="12.75" customHeight="1">
      <c r="A140" s="28">
        <v>1886</v>
      </c>
      <c r="B140" s="29">
        <v>9.8000000000000004E-2</v>
      </c>
      <c r="C140" s="29">
        <v>9.4E-2</v>
      </c>
      <c r="D140" s="30">
        <v>6.2E-2</v>
      </c>
      <c r="E140" s="29">
        <v>0.06</v>
      </c>
      <c r="F140" s="30">
        <v>5.8999999999999997E-2</v>
      </c>
      <c r="G140" s="29">
        <v>5.8000000000000003E-2</v>
      </c>
      <c r="H140" s="30">
        <v>5.6000000000000001E-2</v>
      </c>
      <c r="I140" s="29">
        <v>5.5E-2</v>
      </c>
      <c r="J140" s="29">
        <v>5.2999999999999999E-2</v>
      </c>
      <c r="K140" s="29">
        <v>5.1999999999999998E-2</v>
      </c>
      <c r="L140" s="29">
        <v>5.0999999999999997E-2</v>
      </c>
      <c r="M140" s="29">
        <v>0.05</v>
      </c>
      <c r="N140" s="29">
        <v>4.8000000000000001E-2</v>
      </c>
      <c r="O140" s="31">
        <v>4.7E-2</v>
      </c>
      <c r="P140" s="31">
        <v>4.4999999999999998E-2</v>
      </c>
      <c r="Q140" s="31">
        <v>4.3999999999999997E-2</v>
      </c>
      <c r="R140" s="31">
        <v>4.3999999999999997E-2</v>
      </c>
      <c r="S140" s="35"/>
      <c r="U140" s="32">
        <v>-3.1</v>
      </c>
      <c r="V140" s="28"/>
      <c r="W140" s="28"/>
    </row>
    <row r="141" spans="1:23" s="34" customFormat="1" ht="12.75" customHeight="1">
      <c r="A141" s="28">
        <v>1887</v>
      </c>
      <c r="B141" s="29">
        <v>9.9000000000000005E-2</v>
      </c>
      <c r="C141" s="29">
        <v>9.5000000000000001E-2</v>
      </c>
      <c r="D141" s="30">
        <v>6.2E-2</v>
      </c>
      <c r="E141" s="29">
        <v>6.0999999999999999E-2</v>
      </c>
      <c r="F141" s="30">
        <v>5.8999999999999997E-2</v>
      </c>
      <c r="G141" s="29">
        <v>5.8000000000000003E-2</v>
      </c>
      <c r="H141" s="30">
        <v>5.7000000000000002E-2</v>
      </c>
      <c r="I141" s="29">
        <v>5.5E-2</v>
      </c>
      <c r="J141" s="29">
        <v>5.3999999999999999E-2</v>
      </c>
      <c r="K141" s="29">
        <v>5.2999999999999999E-2</v>
      </c>
      <c r="L141" s="29">
        <v>5.1999999999999998E-2</v>
      </c>
      <c r="M141" s="29">
        <v>0.05</v>
      </c>
      <c r="N141" s="29">
        <v>4.9000000000000002E-2</v>
      </c>
      <c r="O141" s="31">
        <v>4.7E-2</v>
      </c>
      <c r="P141" s="31">
        <v>4.5999999999999999E-2</v>
      </c>
      <c r="Q141" s="31">
        <v>4.3999999999999997E-2</v>
      </c>
      <c r="R141" s="31">
        <v>4.3999999999999997E-2</v>
      </c>
      <c r="S141" s="35"/>
      <c r="U141" s="32">
        <v>1.1000000000000001</v>
      </c>
      <c r="V141" s="28"/>
      <c r="W141" s="28"/>
    </row>
    <row r="142" spans="1:23" s="34" customFormat="1" ht="12.75" customHeight="1">
      <c r="A142" s="28">
        <v>1888</v>
      </c>
      <c r="B142" s="29">
        <v>9.9000000000000005E-2</v>
      </c>
      <c r="C142" s="29">
        <v>9.5000000000000001E-2</v>
      </c>
      <c r="D142" s="30">
        <v>6.2E-2</v>
      </c>
      <c r="E142" s="29">
        <v>6.0999999999999999E-2</v>
      </c>
      <c r="F142" s="30">
        <v>5.8999999999999997E-2</v>
      </c>
      <c r="G142" s="29">
        <v>5.8000000000000003E-2</v>
      </c>
      <c r="H142" s="30">
        <v>5.7000000000000002E-2</v>
      </c>
      <c r="I142" s="29">
        <v>5.5E-2</v>
      </c>
      <c r="J142" s="29">
        <v>5.3999999999999999E-2</v>
      </c>
      <c r="K142" s="29">
        <v>5.2999999999999999E-2</v>
      </c>
      <c r="L142" s="29">
        <v>5.1999999999999998E-2</v>
      </c>
      <c r="M142" s="29">
        <v>0.05</v>
      </c>
      <c r="N142" s="29">
        <v>4.9000000000000002E-2</v>
      </c>
      <c r="O142" s="31">
        <v>4.7E-2</v>
      </c>
      <c r="P142" s="31">
        <v>4.5999999999999999E-2</v>
      </c>
      <c r="Q142" s="31">
        <v>4.3999999999999997E-2</v>
      </c>
      <c r="R142" s="31">
        <v>4.3999999999999997E-2</v>
      </c>
      <c r="S142" s="35"/>
      <c r="U142" s="32">
        <v>0</v>
      </c>
      <c r="V142" s="28"/>
      <c r="W142" s="28"/>
    </row>
    <row r="143" spans="1:23" s="34" customFormat="1" ht="12.75" customHeight="1">
      <c r="A143" s="28">
        <v>1889</v>
      </c>
      <c r="B143" s="29">
        <v>9.6000000000000002E-2</v>
      </c>
      <c r="C143" s="29">
        <v>9.1999999999999998E-2</v>
      </c>
      <c r="D143" s="30">
        <v>0.06</v>
      </c>
      <c r="E143" s="29">
        <v>5.8999999999999997E-2</v>
      </c>
      <c r="F143" s="30">
        <v>5.7000000000000002E-2</v>
      </c>
      <c r="G143" s="29">
        <v>5.6000000000000001E-2</v>
      </c>
      <c r="H143" s="30">
        <v>5.5E-2</v>
      </c>
      <c r="I143" s="29">
        <v>5.2999999999999999E-2</v>
      </c>
      <c r="J143" s="29">
        <v>5.1999999999999998E-2</v>
      </c>
      <c r="K143" s="29">
        <v>5.0999999999999997E-2</v>
      </c>
      <c r="L143" s="29">
        <v>0.05</v>
      </c>
      <c r="M143" s="29">
        <v>4.9000000000000002E-2</v>
      </c>
      <c r="N143" s="29">
        <v>4.7E-2</v>
      </c>
      <c r="O143" s="31">
        <v>4.5999999999999999E-2</v>
      </c>
      <c r="P143" s="31">
        <v>4.3999999999999997E-2</v>
      </c>
      <c r="Q143" s="31">
        <v>4.2999999999999997E-2</v>
      </c>
      <c r="R143" s="31">
        <v>4.2999999999999997E-2</v>
      </c>
      <c r="S143" s="35"/>
      <c r="U143" s="32">
        <v>-3.2</v>
      </c>
      <c r="V143" s="28"/>
      <c r="W143" s="28"/>
    </row>
    <row r="144" spans="1:23" s="34" customFormat="1" ht="12.75" customHeight="1">
      <c r="A144" s="28">
        <v>1890</v>
      </c>
      <c r="B144" s="29">
        <v>9.4E-2</v>
      </c>
      <c r="C144" s="29">
        <v>9.0999999999999998E-2</v>
      </c>
      <c r="D144" s="30">
        <v>0.06</v>
      </c>
      <c r="E144" s="29">
        <v>5.8000000000000003E-2</v>
      </c>
      <c r="F144" s="30">
        <v>5.7000000000000002E-2</v>
      </c>
      <c r="G144" s="29">
        <v>5.6000000000000001E-2</v>
      </c>
      <c r="H144" s="30">
        <v>5.5E-2</v>
      </c>
      <c r="I144" s="29">
        <v>5.2999999999999999E-2</v>
      </c>
      <c r="J144" s="29">
        <v>5.0999999999999997E-2</v>
      </c>
      <c r="K144" s="29">
        <v>5.0999999999999997E-2</v>
      </c>
      <c r="L144" s="29">
        <v>4.9000000000000002E-2</v>
      </c>
      <c r="M144" s="29">
        <v>4.8000000000000001E-2</v>
      </c>
      <c r="N144" s="29">
        <v>4.7E-2</v>
      </c>
      <c r="O144" s="31">
        <v>4.4999999999999998E-2</v>
      </c>
      <c r="P144" s="31">
        <v>4.3999999999999997E-2</v>
      </c>
      <c r="Q144" s="31">
        <v>4.2000000000000003E-2</v>
      </c>
      <c r="R144" s="31">
        <v>4.2999999999999997E-2</v>
      </c>
      <c r="S144" s="35"/>
      <c r="U144" s="32">
        <v>-1.1000000000000001</v>
      </c>
      <c r="V144" s="28"/>
      <c r="W144" s="28"/>
    </row>
    <row r="145" spans="1:23" s="34" customFormat="1" ht="12.75" customHeight="1">
      <c r="A145" s="28">
        <v>1891</v>
      </c>
      <c r="B145" s="29">
        <v>9.4E-2</v>
      </c>
      <c r="C145" s="29">
        <v>9.0999999999999998E-2</v>
      </c>
      <c r="D145" s="30">
        <v>0.06</v>
      </c>
      <c r="E145" s="29">
        <v>5.8000000000000003E-2</v>
      </c>
      <c r="F145" s="30">
        <v>5.7000000000000002E-2</v>
      </c>
      <c r="G145" s="29">
        <v>5.6000000000000001E-2</v>
      </c>
      <c r="H145" s="30">
        <v>5.5E-2</v>
      </c>
      <c r="I145" s="29">
        <v>5.2999999999999999E-2</v>
      </c>
      <c r="J145" s="29">
        <v>5.0999999999999997E-2</v>
      </c>
      <c r="K145" s="29">
        <v>5.0999999999999997E-2</v>
      </c>
      <c r="L145" s="29">
        <v>4.9000000000000002E-2</v>
      </c>
      <c r="M145" s="29">
        <v>4.8000000000000001E-2</v>
      </c>
      <c r="N145" s="29">
        <v>4.7E-2</v>
      </c>
      <c r="O145" s="31">
        <v>4.4999999999999998E-2</v>
      </c>
      <c r="P145" s="31">
        <v>4.3999999999999997E-2</v>
      </c>
      <c r="Q145" s="31">
        <v>4.2000000000000003E-2</v>
      </c>
      <c r="R145" s="31">
        <v>4.2999999999999997E-2</v>
      </c>
      <c r="S145" s="35"/>
      <c r="U145" s="32">
        <v>0</v>
      </c>
      <c r="V145" s="28"/>
      <c r="W145" s="28"/>
    </row>
    <row r="146" spans="1:23" s="34" customFormat="1" ht="12.75" customHeight="1">
      <c r="A146" s="28">
        <v>1892</v>
      </c>
      <c r="B146" s="29">
        <v>9.4E-2</v>
      </c>
      <c r="C146" s="29">
        <v>9.0999999999999998E-2</v>
      </c>
      <c r="D146" s="30">
        <v>0.06</v>
      </c>
      <c r="E146" s="29">
        <v>5.8000000000000003E-2</v>
      </c>
      <c r="F146" s="30">
        <v>5.7000000000000002E-2</v>
      </c>
      <c r="G146" s="29">
        <v>5.6000000000000001E-2</v>
      </c>
      <c r="H146" s="30">
        <v>5.5E-2</v>
      </c>
      <c r="I146" s="29">
        <v>5.2999999999999999E-2</v>
      </c>
      <c r="J146" s="29">
        <v>5.0999999999999997E-2</v>
      </c>
      <c r="K146" s="29">
        <v>5.0999999999999997E-2</v>
      </c>
      <c r="L146" s="29">
        <v>4.9000000000000002E-2</v>
      </c>
      <c r="M146" s="29">
        <v>4.8000000000000001E-2</v>
      </c>
      <c r="N146" s="29">
        <v>4.7E-2</v>
      </c>
      <c r="O146" s="31">
        <v>4.4999999999999998E-2</v>
      </c>
      <c r="P146" s="31">
        <v>4.3999999999999997E-2</v>
      </c>
      <c r="Q146" s="31">
        <v>4.2000000000000003E-2</v>
      </c>
      <c r="R146" s="31">
        <v>4.2999999999999997E-2</v>
      </c>
      <c r="S146" s="35"/>
      <c r="U146" s="32">
        <v>0</v>
      </c>
      <c r="V146" s="28"/>
      <c r="W146" s="28"/>
    </row>
    <row r="147" spans="1:23" s="34" customFormat="1" ht="12.75" customHeight="1">
      <c r="A147" s="28">
        <v>1893</v>
      </c>
      <c r="B147" s="29">
        <v>9.4E-2</v>
      </c>
      <c r="C147" s="29">
        <v>0.09</v>
      </c>
      <c r="D147" s="30">
        <v>5.8999999999999997E-2</v>
      </c>
      <c r="E147" s="29">
        <v>5.7000000000000002E-2</v>
      </c>
      <c r="F147" s="30">
        <v>5.6000000000000001E-2</v>
      </c>
      <c r="G147" s="29">
        <v>5.5E-2</v>
      </c>
      <c r="H147" s="30">
        <v>5.3999999999999999E-2</v>
      </c>
      <c r="I147" s="29">
        <v>5.1999999999999998E-2</v>
      </c>
      <c r="J147" s="29">
        <v>5.0999999999999997E-2</v>
      </c>
      <c r="K147" s="29">
        <v>0.05</v>
      </c>
      <c r="L147" s="29">
        <v>4.9000000000000002E-2</v>
      </c>
      <c r="M147" s="29">
        <v>4.8000000000000001E-2</v>
      </c>
      <c r="N147" s="29">
        <v>4.5999999999999999E-2</v>
      </c>
      <c r="O147" s="31">
        <v>4.4999999999999998E-2</v>
      </c>
      <c r="P147" s="31">
        <v>4.2999999999999997E-2</v>
      </c>
      <c r="Q147" s="31">
        <v>4.2000000000000003E-2</v>
      </c>
      <c r="R147" s="31">
        <v>4.2000000000000003E-2</v>
      </c>
      <c r="S147" s="35"/>
      <c r="U147" s="32">
        <v>-1.1000000000000001</v>
      </c>
      <c r="V147" s="28"/>
      <c r="W147" s="28"/>
    </row>
    <row r="148" spans="1:23" s="34" customFormat="1" ht="12.75" customHeight="1">
      <c r="A148" s="28">
        <v>1894</v>
      </c>
      <c r="B148" s="29">
        <v>8.8999999999999996E-2</v>
      </c>
      <c r="C148" s="29">
        <v>8.5999999999999993E-2</v>
      </c>
      <c r="D148" s="30">
        <v>5.6000000000000001E-2</v>
      </c>
      <c r="E148" s="29">
        <v>5.5E-2</v>
      </c>
      <c r="F148" s="30">
        <v>5.3999999999999999E-2</v>
      </c>
      <c r="G148" s="29">
        <v>5.2999999999999999E-2</v>
      </c>
      <c r="H148" s="30">
        <v>5.1999999999999998E-2</v>
      </c>
      <c r="I148" s="29">
        <v>0.05</v>
      </c>
      <c r="J148" s="29">
        <v>4.9000000000000002E-2</v>
      </c>
      <c r="K148" s="29">
        <v>4.8000000000000001E-2</v>
      </c>
      <c r="L148" s="29">
        <v>4.7E-2</v>
      </c>
      <c r="M148" s="29">
        <v>4.5999999999999999E-2</v>
      </c>
      <c r="N148" s="29">
        <v>4.3999999999999997E-2</v>
      </c>
      <c r="O148" s="31">
        <v>4.2999999999999997E-2</v>
      </c>
      <c r="P148" s="31">
        <v>4.1000000000000002E-2</v>
      </c>
      <c r="Q148" s="31">
        <v>0.04</v>
      </c>
      <c r="R148" s="31">
        <v>0.04</v>
      </c>
      <c r="S148" s="35"/>
      <c r="U148" s="32">
        <v>-4.4000000000000004</v>
      </c>
      <c r="V148" s="28"/>
      <c r="W148" s="28"/>
    </row>
    <row r="149" spans="1:23" s="34" customFormat="1" ht="12.75" customHeight="1">
      <c r="A149" s="28">
        <v>1895</v>
      </c>
      <c r="B149" s="29">
        <v>8.7999999999999995E-2</v>
      </c>
      <c r="C149" s="29">
        <v>8.4000000000000005E-2</v>
      </c>
      <c r="D149" s="30">
        <v>5.5E-2</v>
      </c>
      <c r="E149" s="29">
        <v>5.3999999999999999E-2</v>
      </c>
      <c r="F149" s="30">
        <v>5.1999999999999998E-2</v>
      </c>
      <c r="G149" s="29">
        <v>5.1999999999999998E-2</v>
      </c>
      <c r="H149" s="30">
        <v>0.05</v>
      </c>
      <c r="I149" s="29">
        <v>4.9000000000000002E-2</v>
      </c>
      <c r="J149" s="29">
        <v>4.7E-2</v>
      </c>
      <c r="K149" s="29">
        <v>4.7E-2</v>
      </c>
      <c r="L149" s="29">
        <v>4.5999999999999999E-2</v>
      </c>
      <c r="M149" s="29">
        <v>4.3999999999999997E-2</v>
      </c>
      <c r="N149" s="29">
        <v>4.2999999999999997E-2</v>
      </c>
      <c r="O149" s="31">
        <v>4.2000000000000003E-2</v>
      </c>
      <c r="P149" s="31">
        <v>4.1000000000000002E-2</v>
      </c>
      <c r="Q149" s="31">
        <v>3.9E-2</v>
      </c>
      <c r="R149" s="31">
        <v>3.9E-2</v>
      </c>
      <c r="S149" s="35"/>
      <c r="U149" s="32">
        <v>-2.2999999999999998</v>
      </c>
      <c r="V149" s="28"/>
      <c r="W149" s="28"/>
    </row>
    <row r="150" spans="1:23" s="34" customFormat="1" ht="12.75" customHeight="1">
      <c r="A150" s="28">
        <v>1896</v>
      </c>
      <c r="B150" s="29">
        <v>8.7999999999999995E-2</v>
      </c>
      <c r="C150" s="29">
        <v>8.4000000000000005E-2</v>
      </c>
      <c r="D150" s="30">
        <v>5.5E-2</v>
      </c>
      <c r="E150" s="29">
        <v>5.3999999999999999E-2</v>
      </c>
      <c r="F150" s="30">
        <v>5.1999999999999998E-2</v>
      </c>
      <c r="G150" s="29">
        <v>5.1999999999999998E-2</v>
      </c>
      <c r="H150" s="30">
        <v>0.05</v>
      </c>
      <c r="I150" s="29">
        <v>4.9000000000000002E-2</v>
      </c>
      <c r="J150" s="29">
        <v>4.7E-2</v>
      </c>
      <c r="K150" s="29">
        <v>4.7E-2</v>
      </c>
      <c r="L150" s="29">
        <v>4.5999999999999999E-2</v>
      </c>
      <c r="M150" s="29">
        <v>4.3999999999999997E-2</v>
      </c>
      <c r="N150" s="29">
        <v>4.2999999999999997E-2</v>
      </c>
      <c r="O150" s="31">
        <v>4.2000000000000003E-2</v>
      </c>
      <c r="P150" s="31">
        <v>4.1000000000000002E-2</v>
      </c>
      <c r="Q150" s="31">
        <v>3.9E-2</v>
      </c>
      <c r="R150" s="31">
        <v>3.9E-2</v>
      </c>
      <c r="S150" s="35"/>
      <c r="U150" s="32">
        <v>0</v>
      </c>
      <c r="V150" s="28"/>
      <c r="W150" s="28"/>
    </row>
    <row r="151" spans="1:23" s="34" customFormat="1" ht="12.75" customHeight="1">
      <c r="A151" s="28">
        <v>1897</v>
      </c>
      <c r="B151" s="29">
        <v>8.6999999999999994E-2</v>
      </c>
      <c r="C151" s="29">
        <v>8.3000000000000004E-2</v>
      </c>
      <c r="D151" s="30">
        <v>5.3999999999999999E-2</v>
      </c>
      <c r="E151" s="29">
        <v>5.2999999999999999E-2</v>
      </c>
      <c r="F151" s="30">
        <v>5.1999999999999998E-2</v>
      </c>
      <c r="G151" s="29">
        <v>5.0999999999999997E-2</v>
      </c>
      <c r="H151" s="30">
        <v>0.05</v>
      </c>
      <c r="I151" s="29">
        <v>4.8000000000000001E-2</v>
      </c>
      <c r="J151" s="29">
        <v>4.7E-2</v>
      </c>
      <c r="K151" s="29">
        <v>4.5999999999999999E-2</v>
      </c>
      <c r="L151" s="29">
        <v>4.4999999999999998E-2</v>
      </c>
      <c r="M151" s="29">
        <v>4.3999999999999997E-2</v>
      </c>
      <c r="N151" s="29">
        <v>4.2000000000000003E-2</v>
      </c>
      <c r="O151" s="31">
        <v>4.1000000000000002E-2</v>
      </c>
      <c r="P151" s="31">
        <v>0.04</v>
      </c>
      <c r="Q151" s="31">
        <v>3.9E-2</v>
      </c>
      <c r="R151" s="31">
        <v>3.9E-2</v>
      </c>
      <c r="S151" s="35"/>
      <c r="U151" s="32">
        <v>-1.2</v>
      </c>
      <c r="V151" s="28"/>
      <c r="W151" s="28"/>
    </row>
    <row r="152" spans="1:23" s="34" customFormat="1" ht="12.75" customHeight="1">
      <c r="A152" s="28">
        <v>1898</v>
      </c>
      <c r="B152" s="29">
        <v>8.6999999999999994E-2</v>
      </c>
      <c r="C152" s="29">
        <v>8.3000000000000004E-2</v>
      </c>
      <c r="D152" s="30">
        <v>5.3999999999999999E-2</v>
      </c>
      <c r="E152" s="29">
        <v>5.2999999999999999E-2</v>
      </c>
      <c r="F152" s="30">
        <v>5.1999999999999998E-2</v>
      </c>
      <c r="G152" s="29">
        <v>5.0999999999999997E-2</v>
      </c>
      <c r="H152" s="30">
        <v>0.05</v>
      </c>
      <c r="I152" s="29">
        <v>4.8000000000000001E-2</v>
      </c>
      <c r="J152" s="29">
        <v>4.7E-2</v>
      </c>
      <c r="K152" s="29">
        <v>4.5999999999999999E-2</v>
      </c>
      <c r="L152" s="29">
        <v>4.4999999999999998E-2</v>
      </c>
      <c r="M152" s="29">
        <v>4.3999999999999997E-2</v>
      </c>
      <c r="N152" s="29">
        <v>4.2000000000000003E-2</v>
      </c>
      <c r="O152" s="31">
        <v>4.1000000000000002E-2</v>
      </c>
      <c r="P152" s="31">
        <v>0.04</v>
      </c>
      <c r="Q152" s="31">
        <v>3.9E-2</v>
      </c>
      <c r="R152" s="31">
        <v>3.9E-2</v>
      </c>
      <c r="S152" s="35"/>
      <c r="U152" s="32">
        <v>0</v>
      </c>
      <c r="V152" s="28"/>
      <c r="W152" s="28"/>
    </row>
    <row r="153" spans="1:23" s="34" customFormat="1" ht="12.75" customHeight="1">
      <c r="A153" s="28">
        <v>1899</v>
      </c>
      <c r="B153" s="29">
        <v>8.6999999999999994E-2</v>
      </c>
      <c r="C153" s="29">
        <v>8.3000000000000004E-2</v>
      </c>
      <c r="D153" s="30">
        <v>5.3999999999999999E-2</v>
      </c>
      <c r="E153" s="29">
        <v>5.2999999999999999E-2</v>
      </c>
      <c r="F153" s="30">
        <v>5.1999999999999998E-2</v>
      </c>
      <c r="G153" s="29">
        <v>5.0999999999999997E-2</v>
      </c>
      <c r="H153" s="30">
        <v>0.05</v>
      </c>
      <c r="I153" s="29">
        <v>4.8000000000000001E-2</v>
      </c>
      <c r="J153" s="29">
        <v>4.7E-2</v>
      </c>
      <c r="K153" s="29">
        <v>4.5999999999999999E-2</v>
      </c>
      <c r="L153" s="29">
        <v>4.4999999999999998E-2</v>
      </c>
      <c r="M153" s="29">
        <v>4.3999999999999997E-2</v>
      </c>
      <c r="N153" s="29">
        <v>4.2000000000000003E-2</v>
      </c>
      <c r="O153" s="31">
        <v>4.1000000000000002E-2</v>
      </c>
      <c r="P153" s="31">
        <v>0.04</v>
      </c>
      <c r="Q153" s="31">
        <v>3.9E-2</v>
      </c>
      <c r="R153" s="31">
        <v>3.9E-2</v>
      </c>
      <c r="S153" s="35"/>
      <c r="U153" s="32">
        <v>0</v>
      </c>
      <c r="V153" s="28"/>
      <c r="W153" s="28"/>
    </row>
    <row r="154" spans="1:23" s="34" customFormat="1" ht="12.75" customHeight="1">
      <c r="A154" s="28">
        <v>1900</v>
      </c>
      <c r="B154" s="29">
        <v>8.7999999999999995E-2</v>
      </c>
      <c r="C154" s="29">
        <v>8.4000000000000005E-2</v>
      </c>
      <c r="D154" s="30">
        <v>5.5E-2</v>
      </c>
      <c r="E154" s="29">
        <v>5.3999999999999999E-2</v>
      </c>
      <c r="F154" s="30">
        <v>5.1999999999999998E-2</v>
      </c>
      <c r="G154" s="29">
        <v>5.1999999999999998E-2</v>
      </c>
      <c r="H154" s="30">
        <v>0.05</v>
      </c>
      <c r="I154" s="29">
        <v>4.9000000000000002E-2</v>
      </c>
      <c r="J154" s="29">
        <v>4.7E-2</v>
      </c>
      <c r="K154" s="29">
        <v>4.7E-2</v>
      </c>
      <c r="L154" s="29">
        <v>4.5999999999999999E-2</v>
      </c>
      <c r="M154" s="29">
        <v>4.3999999999999997E-2</v>
      </c>
      <c r="N154" s="29">
        <v>4.2999999999999997E-2</v>
      </c>
      <c r="O154" s="31">
        <v>4.2000000000000003E-2</v>
      </c>
      <c r="P154" s="31">
        <v>4.1000000000000002E-2</v>
      </c>
      <c r="Q154" s="31">
        <v>3.9E-2</v>
      </c>
      <c r="R154" s="31">
        <v>3.9E-2</v>
      </c>
      <c r="S154" s="35"/>
      <c r="U154" s="32">
        <v>1.2</v>
      </c>
      <c r="V154" s="28"/>
      <c r="W154" s="28"/>
    </row>
    <row r="155" spans="1:23" s="34" customFormat="1" ht="12.75" customHeight="1">
      <c r="A155" s="28">
        <v>1901</v>
      </c>
      <c r="B155" s="29">
        <v>8.7999999999999995E-2</v>
      </c>
      <c r="C155" s="29">
        <v>8.5000000000000006E-2</v>
      </c>
      <c r="D155" s="30">
        <v>5.6000000000000001E-2</v>
      </c>
      <c r="E155" s="29">
        <v>5.3999999999999999E-2</v>
      </c>
      <c r="F155" s="30">
        <v>5.2999999999999999E-2</v>
      </c>
      <c r="G155" s="29">
        <v>5.1999999999999998E-2</v>
      </c>
      <c r="H155" s="30">
        <v>5.0999999999999997E-2</v>
      </c>
      <c r="I155" s="29">
        <v>4.9000000000000002E-2</v>
      </c>
      <c r="J155" s="29">
        <v>4.8000000000000001E-2</v>
      </c>
      <c r="K155" s="29">
        <v>4.7E-2</v>
      </c>
      <c r="L155" s="29">
        <v>4.5999999999999999E-2</v>
      </c>
      <c r="M155" s="29">
        <v>4.4999999999999998E-2</v>
      </c>
      <c r="N155" s="29">
        <v>4.3999999999999997E-2</v>
      </c>
      <c r="O155" s="31">
        <v>4.2000000000000003E-2</v>
      </c>
      <c r="P155" s="31">
        <v>4.1000000000000002E-2</v>
      </c>
      <c r="Q155" s="31">
        <v>3.9E-2</v>
      </c>
      <c r="R155" s="31">
        <v>0.04</v>
      </c>
      <c r="S155" s="35"/>
      <c r="U155" s="32">
        <v>1.2</v>
      </c>
      <c r="V155" s="28"/>
      <c r="W155" s="28"/>
    </row>
    <row r="156" spans="1:23" s="34" customFormat="1" ht="12.75" customHeight="1">
      <c r="A156" s="28">
        <v>1902</v>
      </c>
      <c r="B156" s="29">
        <v>8.8999999999999996E-2</v>
      </c>
      <c r="C156" s="29">
        <v>8.5999999999999993E-2</v>
      </c>
      <c r="D156" s="30">
        <v>5.6000000000000001E-2</v>
      </c>
      <c r="E156" s="29">
        <v>5.5E-2</v>
      </c>
      <c r="F156" s="30">
        <v>5.3999999999999999E-2</v>
      </c>
      <c r="G156" s="29">
        <v>5.2999999999999999E-2</v>
      </c>
      <c r="H156" s="30">
        <v>5.1999999999999998E-2</v>
      </c>
      <c r="I156" s="29">
        <v>0.05</v>
      </c>
      <c r="J156" s="29">
        <v>4.9000000000000002E-2</v>
      </c>
      <c r="K156" s="29">
        <v>4.8000000000000001E-2</v>
      </c>
      <c r="L156" s="29">
        <v>4.7E-2</v>
      </c>
      <c r="M156" s="29">
        <v>4.5999999999999999E-2</v>
      </c>
      <c r="N156" s="29">
        <v>4.3999999999999997E-2</v>
      </c>
      <c r="O156" s="31">
        <v>4.2999999999999997E-2</v>
      </c>
      <c r="P156" s="31">
        <v>4.1000000000000002E-2</v>
      </c>
      <c r="Q156" s="31">
        <v>0.04</v>
      </c>
      <c r="R156" s="31">
        <v>0.04</v>
      </c>
      <c r="S156" s="35"/>
      <c r="U156" s="32">
        <v>1.2</v>
      </c>
      <c r="V156" s="28"/>
      <c r="W156" s="28"/>
    </row>
    <row r="157" spans="1:23" s="34" customFormat="1" ht="12.75" customHeight="1">
      <c r="A157" s="28">
        <v>1903</v>
      </c>
      <c r="B157" s="29">
        <v>9.1999999999999998E-2</v>
      </c>
      <c r="C157" s="29">
        <v>8.7999999999999995E-2</v>
      </c>
      <c r="D157" s="30">
        <v>5.8000000000000003E-2</v>
      </c>
      <c r="E157" s="29">
        <v>5.6000000000000001E-2</v>
      </c>
      <c r="F157" s="30">
        <v>5.5E-2</v>
      </c>
      <c r="G157" s="29">
        <v>5.3999999999999999E-2</v>
      </c>
      <c r="H157" s="30">
        <v>5.2999999999999999E-2</v>
      </c>
      <c r="I157" s="29">
        <v>5.0999999999999997E-2</v>
      </c>
      <c r="J157" s="29">
        <v>0.05</v>
      </c>
      <c r="K157" s="29">
        <v>4.9000000000000002E-2</v>
      </c>
      <c r="L157" s="29">
        <v>4.8000000000000001E-2</v>
      </c>
      <c r="M157" s="29">
        <v>4.7E-2</v>
      </c>
      <c r="N157" s="29">
        <v>4.4999999999999998E-2</v>
      </c>
      <c r="O157" s="31">
        <v>4.3999999999999997E-2</v>
      </c>
      <c r="P157" s="31">
        <v>4.2000000000000003E-2</v>
      </c>
      <c r="Q157" s="31">
        <v>4.1000000000000002E-2</v>
      </c>
      <c r="R157" s="31">
        <v>4.1000000000000002E-2</v>
      </c>
      <c r="S157" s="35"/>
      <c r="U157" s="32">
        <v>2.2999999999999998</v>
      </c>
      <c r="V157" s="28"/>
      <c r="W157" s="28"/>
    </row>
    <row r="158" spans="1:23" s="34" customFormat="1" ht="12.75" customHeight="1">
      <c r="A158" s="28">
        <v>1904</v>
      </c>
      <c r="B158" s="29">
        <v>9.2999999999999999E-2</v>
      </c>
      <c r="C158" s="29">
        <v>8.8999999999999996E-2</v>
      </c>
      <c r="D158" s="30">
        <v>5.8000000000000003E-2</v>
      </c>
      <c r="E158" s="29">
        <v>5.7000000000000002E-2</v>
      </c>
      <c r="F158" s="30">
        <v>5.5E-2</v>
      </c>
      <c r="G158" s="29">
        <v>5.5E-2</v>
      </c>
      <c r="H158" s="30">
        <v>5.2999999999999999E-2</v>
      </c>
      <c r="I158" s="29">
        <v>5.1999999999999998E-2</v>
      </c>
      <c r="J158" s="29">
        <v>0.05</v>
      </c>
      <c r="K158" s="29">
        <v>4.9000000000000002E-2</v>
      </c>
      <c r="L158" s="29">
        <v>4.8000000000000001E-2</v>
      </c>
      <c r="M158" s="29">
        <v>4.7E-2</v>
      </c>
      <c r="N158" s="29">
        <v>4.5999999999999999E-2</v>
      </c>
      <c r="O158" s="31">
        <v>4.3999999999999997E-2</v>
      </c>
      <c r="P158" s="31">
        <v>4.2999999999999997E-2</v>
      </c>
      <c r="Q158" s="31">
        <v>4.1000000000000002E-2</v>
      </c>
      <c r="R158" s="31">
        <v>4.2000000000000003E-2</v>
      </c>
      <c r="S158" s="35"/>
      <c r="U158" s="32">
        <v>1.1000000000000001</v>
      </c>
      <c r="V158" s="28"/>
      <c r="W158" s="28"/>
    </row>
    <row r="159" spans="1:23" s="34" customFormat="1" ht="12.75" customHeight="1">
      <c r="A159" s="28">
        <v>1905</v>
      </c>
      <c r="B159" s="29">
        <v>9.1999999999999998E-2</v>
      </c>
      <c r="C159" s="29">
        <v>8.7999999999999995E-2</v>
      </c>
      <c r="D159" s="30">
        <v>5.8000000000000003E-2</v>
      </c>
      <c r="E159" s="29">
        <v>5.6000000000000001E-2</v>
      </c>
      <c r="F159" s="30">
        <v>5.5E-2</v>
      </c>
      <c r="G159" s="29">
        <v>5.3999999999999999E-2</v>
      </c>
      <c r="H159" s="30">
        <v>5.2999999999999999E-2</v>
      </c>
      <c r="I159" s="29">
        <v>5.0999999999999997E-2</v>
      </c>
      <c r="J159" s="29">
        <v>0.05</v>
      </c>
      <c r="K159" s="29">
        <v>4.9000000000000002E-2</v>
      </c>
      <c r="L159" s="29">
        <v>4.8000000000000001E-2</v>
      </c>
      <c r="M159" s="29">
        <v>4.7E-2</v>
      </c>
      <c r="N159" s="29">
        <v>4.4999999999999998E-2</v>
      </c>
      <c r="O159" s="31">
        <v>4.3999999999999997E-2</v>
      </c>
      <c r="P159" s="31">
        <v>4.2000000000000003E-2</v>
      </c>
      <c r="Q159" s="31">
        <v>4.1000000000000002E-2</v>
      </c>
      <c r="R159" s="31">
        <v>4.1000000000000002E-2</v>
      </c>
      <c r="S159" s="35"/>
      <c r="U159" s="32">
        <v>-1.1000000000000001</v>
      </c>
      <c r="V159" s="28"/>
      <c r="W159" s="28"/>
    </row>
    <row r="160" spans="1:23" s="34" customFormat="1" ht="12.75" customHeight="1">
      <c r="A160" s="28">
        <v>1906</v>
      </c>
      <c r="B160" s="29">
        <v>9.4E-2</v>
      </c>
      <c r="C160" s="29">
        <v>0.09</v>
      </c>
      <c r="D160" s="30">
        <v>5.8999999999999997E-2</v>
      </c>
      <c r="E160" s="29">
        <v>5.7000000000000002E-2</v>
      </c>
      <c r="F160" s="30">
        <v>5.6000000000000001E-2</v>
      </c>
      <c r="G160" s="29">
        <v>5.5E-2</v>
      </c>
      <c r="H160" s="30">
        <v>5.3999999999999999E-2</v>
      </c>
      <c r="I160" s="29">
        <v>5.1999999999999998E-2</v>
      </c>
      <c r="J160" s="29">
        <v>5.0999999999999997E-2</v>
      </c>
      <c r="K160" s="29">
        <v>0.05</v>
      </c>
      <c r="L160" s="29">
        <v>4.9000000000000002E-2</v>
      </c>
      <c r="M160" s="29">
        <v>4.8000000000000001E-2</v>
      </c>
      <c r="N160" s="29">
        <v>4.5999999999999999E-2</v>
      </c>
      <c r="O160" s="31">
        <v>4.4999999999999998E-2</v>
      </c>
      <c r="P160" s="31">
        <v>4.2999999999999997E-2</v>
      </c>
      <c r="Q160" s="31">
        <v>4.2000000000000003E-2</v>
      </c>
      <c r="R160" s="31">
        <v>4.2000000000000003E-2</v>
      </c>
      <c r="S160" s="35"/>
      <c r="U160" s="32">
        <v>2.2999999999999998</v>
      </c>
      <c r="V160" s="28"/>
      <c r="W160" s="28"/>
    </row>
    <row r="161" spans="1:23" s="34" customFormat="1" ht="12.75" customHeight="1">
      <c r="A161" s="28">
        <v>1907</v>
      </c>
      <c r="B161" s="29">
        <v>9.8000000000000004E-2</v>
      </c>
      <c r="C161" s="29">
        <v>9.4E-2</v>
      </c>
      <c r="D161" s="30">
        <v>6.2E-2</v>
      </c>
      <c r="E161" s="29">
        <v>0.06</v>
      </c>
      <c r="F161" s="30">
        <v>5.8999999999999997E-2</v>
      </c>
      <c r="G161" s="29">
        <v>5.8000000000000003E-2</v>
      </c>
      <c r="H161" s="30">
        <v>5.6000000000000001E-2</v>
      </c>
      <c r="I161" s="29">
        <v>5.5E-2</v>
      </c>
      <c r="J161" s="29">
        <v>5.2999999999999999E-2</v>
      </c>
      <c r="K161" s="29">
        <v>5.1999999999999998E-2</v>
      </c>
      <c r="L161" s="29">
        <v>5.0999999999999997E-2</v>
      </c>
      <c r="M161" s="29">
        <v>0.05</v>
      </c>
      <c r="N161" s="29">
        <v>4.8000000000000001E-2</v>
      </c>
      <c r="O161" s="31">
        <v>4.7E-2</v>
      </c>
      <c r="P161" s="31">
        <v>4.4999999999999998E-2</v>
      </c>
      <c r="Q161" s="31">
        <v>4.3999999999999997E-2</v>
      </c>
      <c r="R161" s="31">
        <v>4.3999999999999997E-2</v>
      </c>
      <c r="S161" s="35"/>
      <c r="U161" s="32">
        <v>4.4000000000000004</v>
      </c>
      <c r="V161" s="28"/>
      <c r="W161" s="28"/>
    </row>
    <row r="162" spans="1:23" s="34" customFormat="1" ht="12.75" customHeight="1">
      <c r="A162" s="28">
        <v>1908</v>
      </c>
      <c r="B162" s="29">
        <v>9.6000000000000002E-2</v>
      </c>
      <c r="C162" s="29">
        <v>9.1999999999999998E-2</v>
      </c>
      <c r="D162" s="30">
        <v>0.06</v>
      </c>
      <c r="E162" s="29">
        <v>5.8999999999999997E-2</v>
      </c>
      <c r="F162" s="30">
        <v>5.7000000000000002E-2</v>
      </c>
      <c r="G162" s="29">
        <v>5.6000000000000001E-2</v>
      </c>
      <c r="H162" s="30">
        <v>5.5E-2</v>
      </c>
      <c r="I162" s="29">
        <v>5.2999999999999999E-2</v>
      </c>
      <c r="J162" s="29">
        <v>5.1999999999999998E-2</v>
      </c>
      <c r="K162" s="29">
        <v>5.0999999999999997E-2</v>
      </c>
      <c r="L162" s="29">
        <v>0.05</v>
      </c>
      <c r="M162" s="29">
        <v>4.9000000000000002E-2</v>
      </c>
      <c r="N162" s="29">
        <v>4.7E-2</v>
      </c>
      <c r="O162" s="31">
        <v>4.5999999999999999E-2</v>
      </c>
      <c r="P162" s="31">
        <v>4.3999999999999997E-2</v>
      </c>
      <c r="Q162" s="31">
        <v>4.2999999999999997E-2</v>
      </c>
      <c r="R162" s="31">
        <v>4.2999999999999997E-2</v>
      </c>
      <c r="S162" s="35"/>
      <c r="U162" s="32">
        <v>-2.1</v>
      </c>
      <c r="V162" s="28"/>
      <c r="W162" s="28"/>
    </row>
    <row r="163" spans="1:23" s="34" customFormat="1" ht="12.75" customHeight="1">
      <c r="A163" s="28">
        <v>1909</v>
      </c>
      <c r="B163" s="29">
        <v>9.4E-2</v>
      </c>
      <c r="C163" s="29">
        <v>9.0999999999999998E-2</v>
      </c>
      <c r="D163" s="30">
        <v>0.06</v>
      </c>
      <c r="E163" s="29">
        <v>5.8000000000000003E-2</v>
      </c>
      <c r="F163" s="30">
        <v>5.7000000000000002E-2</v>
      </c>
      <c r="G163" s="29">
        <v>5.6000000000000001E-2</v>
      </c>
      <c r="H163" s="30">
        <v>5.5E-2</v>
      </c>
      <c r="I163" s="29">
        <v>5.2999999999999999E-2</v>
      </c>
      <c r="J163" s="29">
        <v>5.0999999999999997E-2</v>
      </c>
      <c r="K163" s="29">
        <v>5.0999999999999997E-2</v>
      </c>
      <c r="L163" s="29">
        <v>4.9000000000000002E-2</v>
      </c>
      <c r="M163" s="29">
        <v>4.8000000000000001E-2</v>
      </c>
      <c r="N163" s="29">
        <v>4.7E-2</v>
      </c>
      <c r="O163" s="31">
        <v>4.4999999999999998E-2</v>
      </c>
      <c r="P163" s="31">
        <v>4.3999999999999997E-2</v>
      </c>
      <c r="Q163" s="31">
        <v>4.2000000000000003E-2</v>
      </c>
      <c r="R163" s="31">
        <v>4.2999999999999997E-2</v>
      </c>
      <c r="S163" s="35"/>
      <c r="U163" s="32">
        <v>-1.1000000000000001</v>
      </c>
      <c r="V163" s="28"/>
      <c r="W163" s="28"/>
    </row>
    <row r="164" spans="1:23" s="34" customFormat="1" ht="12.75" customHeight="1">
      <c r="A164" s="28">
        <v>1910</v>
      </c>
      <c r="B164" s="29">
        <v>9.9000000000000005E-2</v>
      </c>
      <c r="C164" s="29">
        <v>9.5000000000000001E-2</v>
      </c>
      <c r="D164" s="30">
        <v>6.2E-2</v>
      </c>
      <c r="E164" s="29">
        <v>6.0999999999999999E-2</v>
      </c>
      <c r="F164" s="30">
        <v>5.8999999999999997E-2</v>
      </c>
      <c r="G164" s="29">
        <v>5.8000000000000003E-2</v>
      </c>
      <c r="H164" s="30">
        <v>5.7000000000000002E-2</v>
      </c>
      <c r="I164" s="29">
        <v>5.5E-2</v>
      </c>
      <c r="J164" s="29">
        <v>5.3999999999999999E-2</v>
      </c>
      <c r="K164" s="29">
        <v>5.2999999999999999E-2</v>
      </c>
      <c r="L164" s="29">
        <v>5.1999999999999998E-2</v>
      </c>
      <c r="M164" s="29">
        <v>0.05</v>
      </c>
      <c r="N164" s="29">
        <v>4.9000000000000002E-2</v>
      </c>
      <c r="O164" s="31">
        <v>4.7E-2</v>
      </c>
      <c r="P164" s="31">
        <v>4.5999999999999999E-2</v>
      </c>
      <c r="Q164" s="31">
        <v>4.3999999999999997E-2</v>
      </c>
      <c r="R164" s="31">
        <v>4.3999999999999997E-2</v>
      </c>
      <c r="S164" s="35"/>
      <c r="U164" s="32">
        <v>4.4000000000000004</v>
      </c>
      <c r="V164" s="28"/>
      <c r="W164" s="28"/>
    </row>
    <row r="165" spans="1:23" s="34" customFormat="1" ht="12.75" customHeight="1">
      <c r="A165" s="28">
        <v>1911</v>
      </c>
      <c r="B165" s="29">
        <v>9.9000000000000005E-2</v>
      </c>
      <c r="C165" s="29">
        <v>9.5000000000000001E-2</v>
      </c>
      <c r="D165" s="30">
        <v>6.2E-2</v>
      </c>
      <c r="E165" s="29">
        <v>6.0999999999999999E-2</v>
      </c>
      <c r="F165" s="30">
        <v>5.8999999999999997E-2</v>
      </c>
      <c r="G165" s="29">
        <v>5.8000000000000003E-2</v>
      </c>
      <c r="H165" s="30">
        <v>5.7000000000000002E-2</v>
      </c>
      <c r="I165" s="29">
        <v>5.5E-2</v>
      </c>
      <c r="J165" s="29">
        <v>5.3999999999999999E-2</v>
      </c>
      <c r="K165" s="29">
        <v>5.2999999999999999E-2</v>
      </c>
      <c r="L165" s="29">
        <v>5.1999999999999998E-2</v>
      </c>
      <c r="M165" s="29">
        <v>0.05</v>
      </c>
      <c r="N165" s="29">
        <v>4.9000000000000002E-2</v>
      </c>
      <c r="O165" s="31">
        <v>4.7E-2</v>
      </c>
      <c r="P165" s="31">
        <v>4.5999999999999999E-2</v>
      </c>
      <c r="Q165" s="31">
        <v>4.3999999999999997E-2</v>
      </c>
      <c r="R165" s="31">
        <v>4.3999999999999997E-2</v>
      </c>
      <c r="S165" s="35"/>
      <c r="U165" s="32">
        <v>0</v>
      </c>
      <c r="V165" s="28"/>
      <c r="W165" s="28"/>
    </row>
    <row r="166" spans="1:23" s="34" customFormat="1" ht="12.75" customHeight="1">
      <c r="A166" s="28">
        <v>1912</v>
      </c>
      <c r="B166" s="29">
        <v>0.10100000000000001</v>
      </c>
      <c r="C166" s="29">
        <v>9.7000000000000003E-2</v>
      </c>
      <c r="D166" s="30">
        <v>6.4000000000000001E-2</v>
      </c>
      <c r="E166" s="29">
        <v>6.2E-2</v>
      </c>
      <c r="F166" s="30">
        <v>0.06</v>
      </c>
      <c r="G166" s="29">
        <v>0.06</v>
      </c>
      <c r="H166" s="30">
        <v>5.8000000000000003E-2</v>
      </c>
      <c r="I166" s="29">
        <v>5.6000000000000001E-2</v>
      </c>
      <c r="J166" s="29">
        <v>5.5E-2</v>
      </c>
      <c r="K166" s="29">
        <v>5.3999999999999999E-2</v>
      </c>
      <c r="L166" s="29">
        <v>5.2999999999999999E-2</v>
      </c>
      <c r="M166" s="29">
        <v>5.0999999999999997E-2</v>
      </c>
      <c r="N166" s="29">
        <v>0.05</v>
      </c>
      <c r="O166" s="31">
        <v>4.8000000000000001E-2</v>
      </c>
      <c r="P166" s="31">
        <v>4.7E-2</v>
      </c>
      <c r="Q166" s="31">
        <v>4.4999999999999998E-2</v>
      </c>
      <c r="R166" s="31">
        <v>4.4999999999999998E-2</v>
      </c>
      <c r="S166" s="35"/>
      <c r="U166" s="32">
        <v>2.1</v>
      </c>
      <c r="V166" s="28"/>
      <c r="W166" s="28"/>
    </row>
    <row r="167" spans="1:23" s="34" customFormat="1" ht="12.75" customHeight="1">
      <c r="A167" s="28">
        <v>1913</v>
      </c>
      <c r="B167" s="30">
        <v>9.9000000000000005E-2</v>
      </c>
      <c r="C167" s="29">
        <v>9.9000000000000005E-2</v>
      </c>
      <c r="D167" s="30">
        <v>6.5000000000000002E-2</v>
      </c>
      <c r="E167" s="29">
        <v>6.3E-2</v>
      </c>
      <c r="F167" s="30">
        <v>6.2E-2</v>
      </c>
      <c r="G167" s="29">
        <v>6.0999999999999999E-2</v>
      </c>
      <c r="H167" s="30">
        <v>5.8999999999999997E-2</v>
      </c>
      <c r="I167" s="29">
        <v>5.7000000000000002E-2</v>
      </c>
      <c r="J167" s="29">
        <v>5.6000000000000001E-2</v>
      </c>
      <c r="K167" s="29">
        <v>5.5E-2</v>
      </c>
      <c r="L167" s="29">
        <v>5.3999999999999999E-2</v>
      </c>
      <c r="M167" s="29">
        <v>5.1999999999999998E-2</v>
      </c>
      <c r="N167" s="29">
        <v>5.0999999999999997E-2</v>
      </c>
      <c r="O167" s="31">
        <v>4.9000000000000002E-2</v>
      </c>
      <c r="P167" s="31">
        <v>4.8000000000000001E-2</v>
      </c>
      <c r="Q167" s="31">
        <v>4.5999999999999999E-2</v>
      </c>
      <c r="R167" s="31">
        <v>4.5999999999999999E-2</v>
      </c>
      <c r="S167" s="35"/>
      <c r="U167" s="32">
        <v>2.1</v>
      </c>
      <c r="V167" s="36"/>
      <c r="W167" s="36"/>
    </row>
    <row r="168" spans="1:23" s="34" customFormat="1" ht="12.75" customHeight="1">
      <c r="A168" s="28">
        <v>1914</v>
      </c>
      <c r="B168" s="30">
        <v>0.1</v>
      </c>
      <c r="C168" s="29">
        <v>0.1</v>
      </c>
      <c r="D168" s="30">
        <v>6.6000000000000003E-2</v>
      </c>
      <c r="E168" s="29">
        <v>6.4000000000000001E-2</v>
      </c>
      <c r="F168" s="30">
        <v>6.2E-2</v>
      </c>
      <c r="G168" s="29">
        <v>6.0999999999999999E-2</v>
      </c>
      <c r="H168" s="30">
        <v>0.06</v>
      </c>
      <c r="I168" s="29">
        <v>5.8000000000000003E-2</v>
      </c>
      <c r="J168" s="29">
        <v>5.6000000000000001E-2</v>
      </c>
      <c r="K168" s="29">
        <v>5.6000000000000001E-2</v>
      </c>
      <c r="L168" s="29">
        <v>5.3999999999999999E-2</v>
      </c>
      <c r="M168" s="29">
        <v>5.2999999999999999E-2</v>
      </c>
      <c r="N168" s="29">
        <v>5.0999999999999997E-2</v>
      </c>
      <c r="O168" s="31">
        <v>0.05</v>
      </c>
      <c r="P168" s="31">
        <v>4.8000000000000001E-2</v>
      </c>
      <c r="Q168" s="31">
        <v>4.5999999999999999E-2</v>
      </c>
      <c r="R168" s="31">
        <v>4.7E-2</v>
      </c>
      <c r="S168" s="35"/>
      <c r="U168" s="32">
        <v>1</v>
      </c>
      <c r="V168" s="36"/>
      <c r="W168" s="36"/>
    </row>
    <row r="169" spans="1:23" s="34" customFormat="1" ht="12.75" customHeight="1">
      <c r="A169" s="28">
        <v>1915</v>
      </c>
      <c r="B169" s="30">
        <v>0.10100000000000001</v>
      </c>
      <c r="C169" s="29">
        <v>0.10100000000000001</v>
      </c>
      <c r="D169" s="30">
        <v>6.6000000000000003E-2</v>
      </c>
      <c r="E169" s="29">
        <v>6.4000000000000001E-2</v>
      </c>
      <c r="F169" s="30">
        <v>6.3E-2</v>
      </c>
      <c r="G169" s="29">
        <v>6.2E-2</v>
      </c>
      <c r="H169" s="30">
        <v>6.0999999999999999E-2</v>
      </c>
      <c r="I169" s="29">
        <v>5.8999999999999997E-2</v>
      </c>
      <c r="J169" s="29">
        <v>5.7000000000000002E-2</v>
      </c>
      <c r="K169" s="29">
        <v>5.6000000000000001E-2</v>
      </c>
      <c r="L169" s="29">
        <v>5.5E-2</v>
      </c>
      <c r="M169" s="29">
        <v>5.2999999999999999E-2</v>
      </c>
      <c r="N169" s="29">
        <v>5.1999999999999998E-2</v>
      </c>
      <c r="O169" s="31">
        <v>0.05</v>
      </c>
      <c r="P169" s="31">
        <v>4.9000000000000002E-2</v>
      </c>
      <c r="Q169" s="31">
        <v>4.7E-2</v>
      </c>
      <c r="R169" s="31">
        <v>4.7E-2</v>
      </c>
      <c r="S169" s="35"/>
      <c r="U169" s="32">
        <v>1</v>
      </c>
      <c r="V169" s="37"/>
      <c r="W169" s="37"/>
    </row>
    <row r="170" spans="1:23" s="34" customFormat="1" ht="12.75" customHeight="1">
      <c r="A170" s="28">
        <v>1916</v>
      </c>
      <c r="B170" s="30">
        <v>0.109</v>
      </c>
      <c r="C170" s="29">
        <v>0.109</v>
      </c>
      <c r="D170" s="30">
        <v>7.1999999999999995E-2</v>
      </c>
      <c r="E170" s="29">
        <v>6.9000000000000006E-2</v>
      </c>
      <c r="F170" s="30">
        <v>6.8000000000000005E-2</v>
      </c>
      <c r="G170" s="29">
        <v>6.7000000000000004E-2</v>
      </c>
      <c r="H170" s="30">
        <v>6.5000000000000002E-2</v>
      </c>
      <c r="I170" s="29">
        <v>6.3E-2</v>
      </c>
      <c r="J170" s="29">
        <v>6.2E-2</v>
      </c>
      <c r="K170" s="29">
        <v>6.0999999999999999E-2</v>
      </c>
      <c r="L170" s="29">
        <v>5.8999999999999997E-2</v>
      </c>
      <c r="M170" s="29">
        <v>5.8000000000000003E-2</v>
      </c>
      <c r="N170" s="29">
        <v>5.6000000000000001E-2</v>
      </c>
      <c r="O170" s="31">
        <v>5.3999999999999999E-2</v>
      </c>
      <c r="P170" s="31">
        <v>5.2999999999999999E-2</v>
      </c>
      <c r="Q170" s="31">
        <v>5.0999999999999997E-2</v>
      </c>
      <c r="R170" s="31">
        <v>5.0999999999999997E-2</v>
      </c>
      <c r="S170" s="35"/>
      <c r="U170" s="32">
        <v>7.9</v>
      </c>
      <c r="V170" s="37"/>
      <c r="W170" s="37"/>
    </row>
    <row r="171" spans="1:23" s="34" customFormat="1" ht="12.75" customHeight="1">
      <c r="A171" s="28">
        <v>1917</v>
      </c>
      <c r="B171" s="30">
        <v>0.128</v>
      </c>
      <c r="C171" s="29">
        <v>0.128</v>
      </c>
      <c r="D171" s="30">
        <v>8.4000000000000005E-2</v>
      </c>
      <c r="E171" s="29">
        <v>8.2000000000000003E-2</v>
      </c>
      <c r="F171" s="30">
        <v>0.08</v>
      </c>
      <c r="G171" s="29">
        <v>7.9000000000000001E-2</v>
      </c>
      <c r="H171" s="30">
        <v>7.6999999999999999E-2</v>
      </c>
      <c r="I171" s="29">
        <v>7.3999999999999996E-2</v>
      </c>
      <c r="J171" s="29">
        <v>7.1999999999999995E-2</v>
      </c>
      <c r="K171" s="29">
        <v>7.0999999999999994E-2</v>
      </c>
      <c r="L171" s="29">
        <v>7.0000000000000007E-2</v>
      </c>
      <c r="M171" s="29">
        <v>6.8000000000000005E-2</v>
      </c>
      <c r="N171" s="29">
        <v>6.6000000000000003E-2</v>
      </c>
      <c r="O171" s="31">
        <v>6.3E-2</v>
      </c>
      <c r="P171" s="31">
        <v>6.2E-2</v>
      </c>
      <c r="Q171" s="31">
        <v>5.8999999999999997E-2</v>
      </c>
      <c r="R171" s="31">
        <v>0.06</v>
      </c>
      <c r="S171" s="35"/>
      <c r="U171" s="32">
        <v>17.399999999999999</v>
      </c>
      <c r="V171" s="37"/>
      <c r="W171" s="37"/>
    </row>
    <row r="172" spans="1:23" s="34" customFormat="1" ht="12.75" customHeight="1">
      <c r="A172" s="28">
        <v>1918</v>
      </c>
      <c r="B172" s="30">
        <v>0.151</v>
      </c>
      <c r="C172" s="29">
        <v>0.151</v>
      </c>
      <c r="D172" s="30">
        <v>9.9000000000000005E-2</v>
      </c>
      <c r="E172" s="29">
        <v>9.6000000000000002E-2</v>
      </c>
      <c r="F172" s="30">
        <v>9.4E-2</v>
      </c>
      <c r="G172" s="29">
        <v>9.2999999999999999E-2</v>
      </c>
      <c r="H172" s="30">
        <v>9.0999999999999998E-2</v>
      </c>
      <c r="I172" s="29">
        <v>8.7999999999999995E-2</v>
      </c>
      <c r="J172" s="29">
        <v>8.5000000000000006E-2</v>
      </c>
      <c r="K172" s="29">
        <v>8.4000000000000005E-2</v>
      </c>
      <c r="L172" s="29">
        <v>8.2000000000000003E-2</v>
      </c>
      <c r="M172" s="29">
        <v>0.08</v>
      </c>
      <c r="N172" s="29">
        <v>7.6999999999999999E-2</v>
      </c>
      <c r="O172" s="31">
        <v>7.4999999999999997E-2</v>
      </c>
      <c r="P172" s="31">
        <v>7.2999999999999995E-2</v>
      </c>
      <c r="Q172" s="31">
        <v>7.0000000000000007E-2</v>
      </c>
      <c r="R172" s="31">
        <v>7.0999999999999994E-2</v>
      </c>
      <c r="S172" s="35"/>
      <c r="U172" s="32">
        <v>18</v>
      </c>
      <c r="V172" s="37"/>
      <c r="W172" s="37"/>
    </row>
    <row r="173" spans="1:23" s="34" customFormat="1" ht="12.75" customHeight="1">
      <c r="A173" s="28">
        <v>1919</v>
      </c>
      <c r="B173" s="30">
        <v>0.17299999999999999</v>
      </c>
      <c r="C173" s="29">
        <v>0.17299999999999999</v>
      </c>
      <c r="D173" s="30">
        <v>0.114</v>
      </c>
      <c r="E173" s="29">
        <v>0.11</v>
      </c>
      <c r="F173" s="30">
        <v>0.108</v>
      </c>
      <c r="G173" s="29">
        <v>0.106</v>
      </c>
      <c r="H173" s="30">
        <v>0.104</v>
      </c>
      <c r="I173" s="29">
        <v>0.1</v>
      </c>
      <c r="J173" s="29">
        <v>9.8000000000000004E-2</v>
      </c>
      <c r="K173" s="29">
        <v>9.6000000000000002E-2</v>
      </c>
      <c r="L173" s="29">
        <v>9.4E-2</v>
      </c>
      <c r="M173" s="29">
        <v>9.1999999999999998E-2</v>
      </c>
      <c r="N173" s="29">
        <v>8.8999999999999996E-2</v>
      </c>
      <c r="O173" s="31">
        <v>8.5999999999999993E-2</v>
      </c>
      <c r="P173" s="31">
        <v>8.3000000000000004E-2</v>
      </c>
      <c r="Q173" s="31">
        <v>0.08</v>
      </c>
      <c r="R173" s="31">
        <v>8.1000000000000003E-2</v>
      </c>
      <c r="S173" s="35"/>
      <c r="U173" s="32">
        <v>14.6</v>
      </c>
      <c r="V173" s="37"/>
      <c r="W173" s="37"/>
    </row>
    <row r="174" spans="1:23" s="34" customFormat="1" ht="12.75" customHeight="1">
      <c r="A174" s="28">
        <v>1920</v>
      </c>
      <c r="B174" s="30">
        <v>0.2</v>
      </c>
      <c r="C174" s="29">
        <v>0.2</v>
      </c>
      <c r="D174" s="30">
        <v>0.13100000000000001</v>
      </c>
      <c r="E174" s="29">
        <v>0.127</v>
      </c>
      <c r="F174" s="30">
        <v>0.125</v>
      </c>
      <c r="G174" s="29">
        <v>0.123</v>
      </c>
      <c r="H174" s="30">
        <v>0.12</v>
      </c>
      <c r="I174" s="29">
        <v>0.11600000000000001</v>
      </c>
      <c r="J174" s="29">
        <v>0.113</v>
      </c>
      <c r="K174" s="29">
        <v>0.111</v>
      </c>
      <c r="L174" s="29">
        <v>0.109</v>
      </c>
      <c r="M174" s="29">
        <v>0.106</v>
      </c>
      <c r="N174" s="29">
        <v>0.10199999999999999</v>
      </c>
      <c r="O174" s="31">
        <v>9.9000000000000005E-2</v>
      </c>
      <c r="P174" s="31">
        <v>9.6000000000000002E-2</v>
      </c>
      <c r="Q174" s="31">
        <v>9.2999999999999999E-2</v>
      </c>
      <c r="R174" s="31">
        <v>9.4E-2</v>
      </c>
      <c r="S174" s="35"/>
      <c r="U174" s="32">
        <v>15.6</v>
      </c>
      <c r="V174" s="37"/>
      <c r="W174" s="37"/>
    </row>
    <row r="175" spans="1:23" s="34" customFormat="1" ht="12.75" customHeight="1">
      <c r="A175" s="28">
        <v>1921</v>
      </c>
      <c r="B175" s="30">
        <v>0.17899999999999999</v>
      </c>
      <c r="C175" s="29">
        <v>0.17899999999999999</v>
      </c>
      <c r="D175" s="30">
        <v>0.11700000000000001</v>
      </c>
      <c r="E175" s="29">
        <v>0.114</v>
      </c>
      <c r="F175" s="30">
        <v>0.112</v>
      </c>
      <c r="G175" s="29">
        <v>0.11</v>
      </c>
      <c r="H175" s="30">
        <v>0.107</v>
      </c>
      <c r="I175" s="29">
        <v>0.104</v>
      </c>
      <c r="J175" s="29">
        <v>0.10100000000000001</v>
      </c>
      <c r="K175" s="29">
        <v>9.9000000000000005E-2</v>
      </c>
      <c r="L175" s="29">
        <v>9.7000000000000003E-2</v>
      </c>
      <c r="M175" s="29">
        <v>9.5000000000000001E-2</v>
      </c>
      <c r="N175" s="29">
        <v>9.1999999999999998E-2</v>
      </c>
      <c r="O175" s="31">
        <v>8.8999999999999996E-2</v>
      </c>
      <c r="P175" s="31">
        <v>8.5999999999999993E-2</v>
      </c>
      <c r="Q175" s="31">
        <v>8.3000000000000004E-2</v>
      </c>
      <c r="R175" s="31">
        <v>8.4000000000000005E-2</v>
      </c>
      <c r="S175" s="35"/>
      <c r="U175" s="32">
        <v>-10.5</v>
      </c>
      <c r="V175" s="37"/>
      <c r="W175" s="37"/>
    </row>
    <row r="176" spans="1:23" s="34" customFormat="1" ht="12.75" customHeight="1">
      <c r="A176" s="28">
        <v>1922</v>
      </c>
      <c r="B176" s="30">
        <v>0.16800000000000001</v>
      </c>
      <c r="C176" s="29">
        <v>0.16800000000000001</v>
      </c>
      <c r="D176" s="30">
        <v>0.11</v>
      </c>
      <c r="E176" s="29">
        <v>0.107</v>
      </c>
      <c r="F176" s="30">
        <v>0.105</v>
      </c>
      <c r="G176" s="29">
        <v>0.10299999999999999</v>
      </c>
      <c r="H176" s="30">
        <v>0.10100000000000001</v>
      </c>
      <c r="I176" s="29">
        <v>9.8000000000000004E-2</v>
      </c>
      <c r="J176" s="29">
        <v>9.5000000000000001E-2</v>
      </c>
      <c r="K176" s="29">
        <v>9.2999999999999999E-2</v>
      </c>
      <c r="L176" s="29">
        <v>9.0999999999999998E-2</v>
      </c>
      <c r="M176" s="29">
        <v>8.8999999999999996E-2</v>
      </c>
      <c r="N176" s="29">
        <v>8.5999999999999993E-2</v>
      </c>
      <c r="O176" s="31">
        <v>8.3000000000000004E-2</v>
      </c>
      <c r="P176" s="31">
        <v>8.1000000000000003E-2</v>
      </c>
      <c r="Q176" s="31">
        <v>7.8E-2</v>
      </c>
      <c r="R176" s="31">
        <v>7.9000000000000001E-2</v>
      </c>
      <c r="S176" s="35"/>
      <c r="U176" s="32">
        <v>-6.1</v>
      </c>
      <c r="V176" s="37"/>
      <c r="W176" s="37"/>
    </row>
    <row r="177" spans="1:23" s="34" customFormat="1" ht="12.75" customHeight="1">
      <c r="A177" s="28">
        <v>1923</v>
      </c>
      <c r="B177" s="30">
        <v>0.17100000000000001</v>
      </c>
      <c r="C177" s="29">
        <v>0.17100000000000001</v>
      </c>
      <c r="D177" s="30">
        <v>0.112</v>
      </c>
      <c r="E177" s="29">
        <v>0.109</v>
      </c>
      <c r="F177" s="30">
        <v>0.107</v>
      </c>
      <c r="G177" s="29">
        <v>0.105</v>
      </c>
      <c r="H177" s="30">
        <v>0.10299999999999999</v>
      </c>
      <c r="I177" s="29">
        <v>9.9000000000000005E-2</v>
      </c>
      <c r="J177" s="29">
        <v>9.7000000000000003E-2</v>
      </c>
      <c r="K177" s="29">
        <v>9.5000000000000001E-2</v>
      </c>
      <c r="L177" s="29">
        <v>9.2999999999999999E-2</v>
      </c>
      <c r="M177" s="29">
        <v>9.0999999999999998E-2</v>
      </c>
      <c r="N177" s="29">
        <v>8.7999999999999995E-2</v>
      </c>
      <c r="O177" s="31">
        <v>8.5000000000000006E-2</v>
      </c>
      <c r="P177" s="31">
        <v>8.2000000000000003E-2</v>
      </c>
      <c r="Q177" s="31">
        <v>7.9000000000000001E-2</v>
      </c>
      <c r="R177" s="31">
        <v>0.08</v>
      </c>
      <c r="S177" s="35"/>
      <c r="U177" s="32">
        <v>1.8</v>
      </c>
      <c r="V177" s="37"/>
      <c r="W177" s="37"/>
    </row>
    <row r="178" spans="1:23" s="34" customFormat="1" ht="12.75" customHeight="1">
      <c r="A178" s="28">
        <v>1924</v>
      </c>
      <c r="B178" s="30">
        <v>0.17100000000000001</v>
      </c>
      <c r="C178" s="29">
        <v>0.17100000000000001</v>
      </c>
      <c r="D178" s="30">
        <v>0.112</v>
      </c>
      <c r="E178" s="29">
        <v>0.109</v>
      </c>
      <c r="F178" s="30">
        <v>0.107</v>
      </c>
      <c r="G178" s="29">
        <v>0.105</v>
      </c>
      <c r="H178" s="30">
        <v>0.10299999999999999</v>
      </c>
      <c r="I178" s="29">
        <v>9.9000000000000005E-2</v>
      </c>
      <c r="J178" s="29">
        <v>9.7000000000000003E-2</v>
      </c>
      <c r="K178" s="29">
        <v>9.5000000000000001E-2</v>
      </c>
      <c r="L178" s="29">
        <v>9.2999999999999999E-2</v>
      </c>
      <c r="M178" s="29">
        <v>9.0999999999999998E-2</v>
      </c>
      <c r="N178" s="29">
        <v>8.7999999999999995E-2</v>
      </c>
      <c r="O178" s="31">
        <v>8.5000000000000006E-2</v>
      </c>
      <c r="P178" s="31">
        <v>8.2000000000000003E-2</v>
      </c>
      <c r="Q178" s="31">
        <v>7.9000000000000001E-2</v>
      </c>
      <c r="R178" s="31">
        <v>0.08</v>
      </c>
      <c r="S178" s="35"/>
      <c r="U178" s="32">
        <v>0</v>
      </c>
      <c r="V178" s="37"/>
      <c r="W178" s="37"/>
    </row>
    <row r="179" spans="1:23" s="34" customFormat="1" ht="12.75" customHeight="1">
      <c r="A179" s="28">
        <v>1925</v>
      </c>
      <c r="B179" s="30">
        <v>0.17499999999999999</v>
      </c>
      <c r="C179" s="29">
        <v>0.17499999999999999</v>
      </c>
      <c r="D179" s="30">
        <v>0.115</v>
      </c>
      <c r="E179" s="29">
        <v>0.112</v>
      </c>
      <c r="F179" s="30">
        <v>0.109</v>
      </c>
      <c r="G179" s="29">
        <v>0.107</v>
      </c>
      <c r="H179" s="30">
        <v>0.105</v>
      </c>
      <c r="I179" s="29">
        <v>0.10199999999999999</v>
      </c>
      <c r="J179" s="29">
        <v>9.9000000000000005E-2</v>
      </c>
      <c r="K179" s="29">
        <v>9.7000000000000003E-2</v>
      </c>
      <c r="L179" s="29">
        <v>9.5000000000000001E-2</v>
      </c>
      <c r="M179" s="29">
        <v>9.2999999999999999E-2</v>
      </c>
      <c r="N179" s="29">
        <v>0.09</v>
      </c>
      <c r="O179" s="31">
        <v>8.6999999999999994E-2</v>
      </c>
      <c r="P179" s="31">
        <v>8.4000000000000005E-2</v>
      </c>
      <c r="Q179" s="31">
        <v>8.1000000000000003E-2</v>
      </c>
      <c r="R179" s="31">
        <v>8.2000000000000003E-2</v>
      </c>
      <c r="S179" s="35"/>
      <c r="U179" s="32">
        <v>2.2999999999999998</v>
      </c>
      <c r="V179" s="37"/>
      <c r="W179" s="37"/>
    </row>
    <row r="180" spans="1:23" s="34" customFormat="1" ht="12.75" customHeight="1">
      <c r="A180" s="28">
        <v>1926</v>
      </c>
      <c r="B180" s="30">
        <v>0.17699999999999999</v>
      </c>
      <c r="C180" s="29">
        <v>0.17699999999999999</v>
      </c>
      <c r="D180" s="30">
        <v>0.11600000000000001</v>
      </c>
      <c r="E180" s="29">
        <v>0.113</v>
      </c>
      <c r="F180" s="30">
        <v>0.11</v>
      </c>
      <c r="G180" s="29">
        <v>0.109</v>
      </c>
      <c r="H180" s="30">
        <v>0.106</v>
      </c>
      <c r="I180" s="29">
        <v>0.10299999999999999</v>
      </c>
      <c r="J180" s="29">
        <v>0.1</v>
      </c>
      <c r="K180" s="29">
        <v>9.8000000000000004E-2</v>
      </c>
      <c r="L180" s="29">
        <v>9.6000000000000002E-2</v>
      </c>
      <c r="M180" s="29">
        <v>9.4E-2</v>
      </c>
      <c r="N180" s="29">
        <v>9.0999999999999998E-2</v>
      </c>
      <c r="O180" s="31">
        <v>8.7999999999999995E-2</v>
      </c>
      <c r="P180" s="31">
        <v>8.5000000000000006E-2</v>
      </c>
      <c r="Q180" s="31">
        <v>8.2000000000000003E-2</v>
      </c>
      <c r="R180" s="31">
        <v>8.3000000000000004E-2</v>
      </c>
      <c r="S180" s="35"/>
      <c r="U180" s="32">
        <v>1.1000000000000001</v>
      </c>
      <c r="V180" s="37"/>
      <c r="W180" s="37"/>
    </row>
    <row r="181" spans="1:23" s="34" customFormat="1" ht="12.75" customHeight="1">
      <c r="A181" s="28">
        <v>1927</v>
      </c>
      <c r="B181" s="30">
        <v>0.17399999999999999</v>
      </c>
      <c r="C181" s="29">
        <v>0.17399999999999999</v>
      </c>
      <c r="D181" s="30">
        <v>0.114</v>
      </c>
      <c r="E181" s="29">
        <v>0.111</v>
      </c>
      <c r="F181" s="30">
        <v>0.108</v>
      </c>
      <c r="G181" s="29">
        <v>0.107</v>
      </c>
      <c r="H181" s="30">
        <v>0.104</v>
      </c>
      <c r="I181" s="29">
        <v>0.10100000000000001</v>
      </c>
      <c r="J181" s="29">
        <v>9.8000000000000004E-2</v>
      </c>
      <c r="K181" s="29">
        <v>9.7000000000000003E-2</v>
      </c>
      <c r="L181" s="29">
        <v>9.5000000000000001E-2</v>
      </c>
      <c r="M181" s="29">
        <v>9.1999999999999998E-2</v>
      </c>
      <c r="N181" s="29">
        <v>8.8999999999999996E-2</v>
      </c>
      <c r="O181" s="31">
        <v>8.5999999999999993E-2</v>
      </c>
      <c r="P181" s="31">
        <v>8.4000000000000005E-2</v>
      </c>
      <c r="Q181" s="31">
        <v>8.1000000000000003E-2</v>
      </c>
      <c r="R181" s="31">
        <v>8.1000000000000003E-2</v>
      </c>
      <c r="S181" s="35"/>
      <c r="U181" s="32">
        <v>-1.7</v>
      </c>
      <c r="V181" s="37"/>
      <c r="W181" s="37"/>
    </row>
    <row r="182" spans="1:23" s="34" customFormat="1" ht="12.75" customHeight="1">
      <c r="A182" s="28">
        <v>1928</v>
      </c>
      <c r="B182" s="30">
        <v>0.17100000000000001</v>
      </c>
      <c r="C182" s="29">
        <v>0.17100000000000001</v>
      </c>
      <c r="D182" s="30">
        <v>0.112</v>
      </c>
      <c r="E182" s="29">
        <v>0.109</v>
      </c>
      <c r="F182" s="30">
        <v>0.107</v>
      </c>
      <c r="G182" s="29">
        <v>0.105</v>
      </c>
      <c r="H182" s="30">
        <v>0.10299999999999999</v>
      </c>
      <c r="I182" s="29">
        <v>9.9000000000000005E-2</v>
      </c>
      <c r="J182" s="29">
        <v>9.7000000000000003E-2</v>
      </c>
      <c r="K182" s="29">
        <v>9.5000000000000001E-2</v>
      </c>
      <c r="L182" s="29">
        <v>9.2999999999999999E-2</v>
      </c>
      <c r="M182" s="29">
        <v>9.0999999999999998E-2</v>
      </c>
      <c r="N182" s="29">
        <v>8.7999999999999995E-2</v>
      </c>
      <c r="O182" s="31">
        <v>8.5000000000000006E-2</v>
      </c>
      <c r="P182" s="31">
        <v>8.2000000000000003E-2</v>
      </c>
      <c r="Q182" s="31">
        <v>7.9000000000000001E-2</v>
      </c>
      <c r="R182" s="31">
        <v>0.08</v>
      </c>
      <c r="S182" s="35"/>
      <c r="U182" s="32">
        <v>-1.7</v>
      </c>
      <c r="V182" s="37"/>
      <c r="W182" s="37"/>
    </row>
    <row r="183" spans="1:23" s="34" customFormat="1" ht="12.75" customHeight="1">
      <c r="A183" s="28">
        <v>1929</v>
      </c>
      <c r="B183" s="30">
        <v>0.17100000000000001</v>
      </c>
      <c r="C183" s="29">
        <v>0.17100000000000001</v>
      </c>
      <c r="D183" s="30">
        <v>0.112</v>
      </c>
      <c r="E183" s="29">
        <v>0.109</v>
      </c>
      <c r="F183" s="30">
        <v>0.107</v>
      </c>
      <c r="G183" s="29">
        <v>0.105</v>
      </c>
      <c r="H183" s="30">
        <v>0.10299999999999999</v>
      </c>
      <c r="I183" s="29">
        <v>9.9000000000000005E-2</v>
      </c>
      <c r="J183" s="29">
        <v>9.7000000000000003E-2</v>
      </c>
      <c r="K183" s="29">
        <v>9.5000000000000001E-2</v>
      </c>
      <c r="L183" s="29">
        <v>9.2999999999999999E-2</v>
      </c>
      <c r="M183" s="29">
        <v>9.0999999999999998E-2</v>
      </c>
      <c r="N183" s="29">
        <v>8.7999999999999995E-2</v>
      </c>
      <c r="O183" s="31">
        <v>8.5000000000000006E-2</v>
      </c>
      <c r="P183" s="31">
        <v>8.2000000000000003E-2</v>
      </c>
      <c r="Q183" s="31">
        <v>7.9000000000000001E-2</v>
      </c>
      <c r="R183" s="31">
        <v>0.08</v>
      </c>
      <c r="S183" s="35"/>
      <c r="U183" s="32">
        <v>0</v>
      </c>
      <c r="V183" s="37"/>
      <c r="W183" s="37"/>
    </row>
    <row r="184" spans="1:23" s="34" customFormat="1" ht="12.75" customHeight="1">
      <c r="A184" s="28">
        <v>1930</v>
      </c>
      <c r="B184" s="30">
        <v>0.16700000000000001</v>
      </c>
      <c r="C184" s="29">
        <v>0.16700000000000001</v>
      </c>
      <c r="D184" s="30">
        <v>0.11</v>
      </c>
      <c r="E184" s="29">
        <v>0.106</v>
      </c>
      <c r="F184" s="30">
        <v>0.104</v>
      </c>
      <c r="G184" s="29">
        <v>0.10199999999999999</v>
      </c>
      <c r="H184" s="30">
        <v>0.1</v>
      </c>
      <c r="I184" s="29">
        <v>9.7000000000000003E-2</v>
      </c>
      <c r="J184" s="29">
        <v>9.4E-2</v>
      </c>
      <c r="K184" s="29">
        <v>9.2999999999999999E-2</v>
      </c>
      <c r="L184" s="29">
        <v>9.0999999999999998E-2</v>
      </c>
      <c r="M184" s="29">
        <v>8.7999999999999995E-2</v>
      </c>
      <c r="N184" s="29">
        <v>8.5999999999999993E-2</v>
      </c>
      <c r="O184" s="31">
        <v>8.3000000000000004E-2</v>
      </c>
      <c r="P184" s="31">
        <v>8.1000000000000003E-2</v>
      </c>
      <c r="Q184" s="31">
        <v>7.8E-2</v>
      </c>
      <c r="R184" s="31">
        <v>7.8E-2</v>
      </c>
      <c r="S184" s="35"/>
      <c r="U184" s="32">
        <v>-2.2999999999999998</v>
      </c>
      <c r="V184" s="37"/>
      <c r="W184" s="37"/>
    </row>
    <row r="185" spans="1:23" s="34" customFormat="1" ht="12.75" customHeight="1">
      <c r="A185" s="28">
        <v>1931</v>
      </c>
      <c r="B185" s="30">
        <v>0.152</v>
      </c>
      <c r="C185" s="29">
        <v>0.152</v>
      </c>
      <c r="D185" s="30">
        <v>0.1</v>
      </c>
      <c r="E185" s="29">
        <v>9.7000000000000003E-2</v>
      </c>
      <c r="F185" s="30">
        <v>9.5000000000000001E-2</v>
      </c>
      <c r="G185" s="29">
        <v>9.2999999999999999E-2</v>
      </c>
      <c r="H185" s="30">
        <v>9.0999999999999998E-2</v>
      </c>
      <c r="I185" s="29">
        <v>8.7999999999999995E-2</v>
      </c>
      <c r="J185" s="29">
        <v>8.5999999999999993E-2</v>
      </c>
      <c r="K185" s="29">
        <v>8.4000000000000005E-2</v>
      </c>
      <c r="L185" s="29">
        <v>8.3000000000000004E-2</v>
      </c>
      <c r="M185" s="29">
        <v>0.08</v>
      </c>
      <c r="N185" s="29">
        <v>7.8E-2</v>
      </c>
      <c r="O185" s="31">
        <v>7.4999999999999997E-2</v>
      </c>
      <c r="P185" s="31">
        <v>7.2999999999999995E-2</v>
      </c>
      <c r="Q185" s="31">
        <v>7.0999999999999994E-2</v>
      </c>
      <c r="R185" s="31">
        <v>7.0999999999999994E-2</v>
      </c>
      <c r="S185" s="35"/>
      <c r="U185" s="32">
        <v>-9</v>
      </c>
      <c r="V185" s="37"/>
      <c r="W185" s="37"/>
    </row>
    <row r="186" spans="1:23" s="34" customFormat="1" ht="12.75" customHeight="1">
      <c r="A186" s="28">
        <v>1932</v>
      </c>
      <c r="B186" s="30">
        <v>0.13700000000000001</v>
      </c>
      <c r="C186" s="29">
        <v>0.13700000000000001</v>
      </c>
      <c r="D186" s="30">
        <v>0.09</v>
      </c>
      <c r="E186" s="29">
        <v>8.6999999999999994E-2</v>
      </c>
      <c r="F186" s="30">
        <v>8.5000000000000006E-2</v>
      </c>
      <c r="G186" s="29">
        <v>8.4000000000000005E-2</v>
      </c>
      <c r="H186" s="30">
        <v>8.2000000000000003E-2</v>
      </c>
      <c r="I186" s="29">
        <v>0.08</v>
      </c>
      <c r="J186" s="29">
        <v>7.6999999999999999E-2</v>
      </c>
      <c r="K186" s="29">
        <v>7.5999999999999998E-2</v>
      </c>
      <c r="L186" s="29">
        <v>7.3999999999999996E-2</v>
      </c>
      <c r="M186" s="29">
        <v>7.2999999999999995E-2</v>
      </c>
      <c r="N186" s="29">
        <v>7.0000000000000007E-2</v>
      </c>
      <c r="O186" s="31">
        <v>6.8000000000000005E-2</v>
      </c>
      <c r="P186" s="31">
        <v>6.6000000000000003E-2</v>
      </c>
      <c r="Q186" s="31">
        <v>6.4000000000000001E-2</v>
      </c>
      <c r="R186" s="31">
        <v>6.4000000000000001E-2</v>
      </c>
      <c r="S186" s="35"/>
      <c r="U186" s="32">
        <v>-9.9</v>
      </c>
      <c r="V186" s="37"/>
      <c r="W186" s="37"/>
    </row>
    <row r="187" spans="1:23" s="34" customFormat="1" ht="12.75" customHeight="1">
      <c r="A187" s="28">
        <v>1933</v>
      </c>
      <c r="B187" s="30">
        <v>0.13</v>
      </c>
      <c r="C187" s="29">
        <v>0.13</v>
      </c>
      <c r="D187" s="30">
        <v>8.5000000000000006E-2</v>
      </c>
      <c r="E187" s="29">
        <v>8.3000000000000004E-2</v>
      </c>
      <c r="F187" s="30">
        <v>8.1000000000000003E-2</v>
      </c>
      <c r="G187" s="29">
        <v>0.08</v>
      </c>
      <c r="H187" s="30">
        <v>7.8E-2</v>
      </c>
      <c r="I187" s="29">
        <v>7.4999999999999997E-2</v>
      </c>
      <c r="J187" s="29">
        <v>7.2999999999999995E-2</v>
      </c>
      <c r="K187" s="29">
        <v>7.1999999999999995E-2</v>
      </c>
      <c r="L187" s="29">
        <v>7.0999999999999994E-2</v>
      </c>
      <c r="M187" s="29">
        <v>6.9000000000000006E-2</v>
      </c>
      <c r="N187" s="29">
        <v>6.7000000000000004E-2</v>
      </c>
      <c r="O187" s="31">
        <v>6.4000000000000001E-2</v>
      </c>
      <c r="P187" s="31">
        <v>6.3E-2</v>
      </c>
      <c r="Q187" s="31">
        <v>0.06</v>
      </c>
      <c r="R187" s="31">
        <v>6.0999999999999999E-2</v>
      </c>
      <c r="S187" s="35"/>
      <c r="U187" s="32">
        <v>-5.0999999999999996</v>
      </c>
      <c r="V187" s="37"/>
      <c r="W187" s="37"/>
    </row>
    <row r="188" spans="1:23" s="34" customFormat="1" ht="12.75" customHeight="1">
      <c r="A188" s="28">
        <v>1934</v>
      </c>
      <c r="B188" s="30">
        <v>0.13400000000000001</v>
      </c>
      <c r="C188" s="29">
        <v>0.13400000000000001</v>
      </c>
      <c r="D188" s="30">
        <v>8.7999999999999995E-2</v>
      </c>
      <c r="E188" s="29">
        <v>8.5000000000000006E-2</v>
      </c>
      <c r="F188" s="30">
        <v>8.3000000000000004E-2</v>
      </c>
      <c r="G188" s="29">
        <v>8.2000000000000003E-2</v>
      </c>
      <c r="H188" s="30">
        <v>0.08</v>
      </c>
      <c r="I188" s="29">
        <v>7.8E-2</v>
      </c>
      <c r="J188" s="29">
        <v>7.5999999999999998E-2</v>
      </c>
      <c r="K188" s="29">
        <v>7.3999999999999996E-2</v>
      </c>
      <c r="L188" s="29">
        <v>7.2999999999999995E-2</v>
      </c>
      <c r="M188" s="29">
        <v>7.0999999999999994E-2</v>
      </c>
      <c r="N188" s="29">
        <v>6.9000000000000006E-2</v>
      </c>
      <c r="O188" s="31">
        <v>6.6000000000000003E-2</v>
      </c>
      <c r="P188" s="31">
        <v>6.5000000000000002E-2</v>
      </c>
      <c r="Q188" s="31">
        <v>6.2E-2</v>
      </c>
      <c r="R188" s="31">
        <v>6.3E-2</v>
      </c>
      <c r="S188" s="35"/>
      <c r="U188" s="32">
        <v>3.1</v>
      </c>
      <c r="V188" s="37"/>
      <c r="W188" s="37"/>
    </row>
    <row r="189" spans="1:23" s="34" customFormat="1" ht="12.75" customHeight="1">
      <c r="A189" s="28">
        <v>1935</v>
      </c>
      <c r="B189" s="30">
        <v>0.13700000000000001</v>
      </c>
      <c r="C189" s="29">
        <v>0.13700000000000001</v>
      </c>
      <c r="D189" s="30">
        <v>0.09</v>
      </c>
      <c r="E189" s="29">
        <v>8.6999999999999994E-2</v>
      </c>
      <c r="F189" s="30">
        <v>8.5000000000000006E-2</v>
      </c>
      <c r="G189" s="29">
        <v>8.4000000000000005E-2</v>
      </c>
      <c r="H189" s="30">
        <v>8.2000000000000003E-2</v>
      </c>
      <c r="I189" s="29">
        <v>0.08</v>
      </c>
      <c r="J189" s="29">
        <v>7.6999999999999999E-2</v>
      </c>
      <c r="K189" s="29">
        <v>7.5999999999999998E-2</v>
      </c>
      <c r="L189" s="29">
        <v>7.3999999999999996E-2</v>
      </c>
      <c r="M189" s="29">
        <v>7.2999999999999995E-2</v>
      </c>
      <c r="N189" s="29">
        <v>7.0000000000000007E-2</v>
      </c>
      <c r="O189" s="31">
        <v>6.8000000000000005E-2</v>
      </c>
      <c r="P189" s="31">
        <v>6.6000000000000003E-2</v>
      </c>
      <c r="Q189" s="31">
        <v>6.4000000000000001E-2</v>
      </c>
      <c r="R189" s="31">
        <v>6.4000000000000001E-2</v>
      </c>
      <c r="S189" s="35"/>
      <c r="U189" s="32">
        <v>2.2000000000000002</v>
      </c>
      <c r="V189" s="37"/>
      <c r="W189" s="37"/>
    </row>
    <row r="190" spans="1:23" s="34" customFormat="1" ht="12.75" customHeight="1">
      <c r="A190" s="28">
        <v>1936</v>
      </c>
      <c r="B190" s="30">
        <v>0.13900000000000001</v>
      </c>
      <c r="C190" s="29">
        <v>0.13900000000000001</v>
      </c>
      <c r="D190" s="30">
        <v>9.0999999999999998E-2</v>
      </c>
      <c r="E190" s="29">
        <v>8.8999999999999996E-2</v>
      </c>
      <c r="F190" s="30">
        <v>8.6999999999999994E-2</v>
      </c>
      <c r="G190" s="29">
        <v>8.5000000000000006E-2</v>
      </c>
      <c r="H190" s="30">
        <v>8.3000000000000004E-2</v>
      </c>
      <c r="I190" s="29">
        <v>8.1000000000000003E-2</v>
      </c>
      <c r="J190" s="29">
        <v>7.8E-2</v>
      </c>
      <c r="K190" s="29">
        <v>7.6999999999999999E-2</v>
      </c>
      <c r="L190" s="29">
        <v>7.5999999999999998E-2</v>
      </c>
      <c r="M190" s="29">
        <v>7.3999999999999996E-2</v>
      </c>
      <c r="N190" s="29">
        <v>7.0999999999999994E-2</v>
      </c>
      <c r="O190" s="31">
        <v>6.9000000000000006E-2</v>
      </c>
      <c r="P190" s="31">
        <v>6.7000000000000004E-2</v>
      </c>
      <c r="Q190" s="31">
        <v>6.5000000000000002E-2</v>
      </c>
      <c r="R190" s="31">
        <v>6.5000000000000002E-2</v>
      </c>
      <c r="S190" s="35"/>
      <c r="U190" s="32">
        <v>1.5</v>
      </c>
      <c r="V190" s="37"/>
      <c r="W190" s="37"/>
    </row>
    <row r="191" spans="1:23" s="34" customFormat="1" ht="12.75" customHeight="1">
      <c r="A191" s="28">
        <v>1937</v>
      </c>
      <c r="B191" s="30">
        <v>0.14399999999999999</v>
      </c>
      <c r="C191" s="29">
        <v>0.14399999999999999</v>
      </c>
      <c r="D191" s="30">
        <v>9.4E-2</v>
      </c>
      <c r="E191" s="29">
        <v>9.1999999999999998E-2</v>
      </c>
      <c r="F191" s="30">
        <v>0.09</v>
      </c>
      <c r="G191" s="29">
        <v>8.7999999999999995E-2</v>
      </c>
      <c r="H191" s="30">
        <v>8.5999999999999993E-2</v>
      </c>
      <c r="I191" s="29">
        <v>8.4000000000000005E-2</v>
      </c>
      <c r="J191" s="29">
        <v>8.1000000000000003E-2</v>
      </c>
      <c r="K191" s="29">
        <v>0.08</v>
      </c>
      <c r="L191" s="29">
        <v>7.8E-2</v>
      </c>
      <c r="M191" s="29">
        <v>7.5999999999999998E-2</v>
      </c>
      <c r="N191" s="29">
        <v>7.3999999999999996E-2</v>
      </c>
      <c r="O191" s="31">
        <v>7.0999999999999994E-2</v>
      </c>
      <c r="P191" s="31">
        <v>6.9000000000000006E-2</v>
      </c>
      <c r="Q191" s="31">
        <v>6.7000000000000004E-2</v>
      </c>
      <c r="R191" s="31">
        <v>6.7000000000000004E-2</v>
      </c>
      <c r="S191" s="35"/>
      <c r="U191" s="32">
        <v>3.6</v>
      </c>
      <c r="V191" s="37"/>
      <c r="W191" s="37"/>
    </row>
    <row r="192" spans="1:23" s="34" customFormat="1" ht="12.75" customHeight="1">
      <c r="A192" s="28">
        <v>1938</v>
      </c>
      <c r="B192" s="30">
        <v>0.14099999999999999</v>
      </c>
      <c r="C192" s="29">
        <v>0.14099999999999999</v>
      </c>
      <c r="D192" s="30">
        <v>9.2999999999999999E-2</v>
      </c>
      <c r="E192" s="29">
        <v>0.09</v>
      </c>
      <c r="F192" s="30">
        <v>8.7999999999999995E-2</v>
      </c>
      <c r="G192" s="29">
        <v>8.6999999999999994E-2</v>
      </c>
      <c r="H192" s="30">
        <v>8.5000000000000006E-2</v>
      </c>
      <c r="I192" s="29">
        <v>8.2000000000000003E-2</v>
      </c>
      <c r="J192" s="29">
        <v>0.08</v>
      </c>
      <c r="K192" s="29">
        <v>7.8E-2</v>
      </c>
      <c r="L192" s="29">
        <v>7.6999999999999999E-2</v>
      </c>
      <c r="M192" s="29">
        <v>7.4999999999999997E-2</v>
      </c>
      <c r="N192" s="29">
        <v>7.1999999999999995E-2</v>
      </c>
      <c r="O192" s="31">
        <v>7.0000000000000007E-2</v>
      </c>
      <c r="P192" s="31">
        <v>6.8000000000000005E-2</v>
      </c>
      <c r="Q192" s="31">
        <v>6.5000000000000002E-2</v>
      </c>
      <c r="R192" s="31">
        <v>6.6000000000000003E-2</v>
      </c>
      <c r="S192" s="35"/>
      <c r="U192" s="32">
        <v>-2.1</v>
      </c>
      <c r="V192" s="37"/>
      <c r="W192" s="37"/>
    </row>
    <row r="193" spans="1:23" s="34" customFormat="1" ht="12.75" customHeight="1">
      <c r="A193" s="28">
        <v>1939</v>
      </c>
      <c r="B193" s="30">
        <v>0.13900000000000001</v>
      </c>
      <c r="C193" s="29">
        <v>0.13900000000000001</v>
      </c>
      <c r="D193" s="30">
        <v>9.0999999999999998E-2</v>
      </c>
      <c r="E193" s="29">
        <v>8.8999999999999996E-2</v>
      </c>
      <c r="F193" s="30">
        <v>8.6999999999999994E-2</v>
      </c>
      <c r="G193" s="29">
        <v>8.5000000000000006E-2</v>
      </c>
      <c r="H193" s="30">
        <v>8.3000000000000004E-2</v>
      </c>
      <c r="I193" s="29">
        <v>8.1000000000000003E-2</v>
      </c>
      <c r="J193" s="29">
        <v>7.8E-2</v>
      </c>
      <c r="K193" s="29">
        <v>7.6999999999999999E-2</v>
      </c>
      <c r="L193" s="29">
        <v>7.5999999999999998E-2</v>
      </c>
      <c r="M193" s="29">
        <v>7.3999999999999996E-2</v>
      </c>
      <c r="N193" s="29">
        <v>7.0999999999999994E-2</v>
      </c>
      <c r="O193" s="31">
        <v>6.9000000000000006E-2</v>
      </c>
      <c r="P193" s="31">
        <v>6.7000000000000004E-2</v>
      </c>
      <c r="Q193" s="31">
        <v>6.5000000000000002E-2</v>
      </c>
      <c r="R193" s="31">
        <v>6.5000000000000002E-2</v>
      </c>
      <c r="S193" s="35"/>
      <c r="U193" s="32">
        <v>-1.4</v>
      </c>
      <c r="V193" s="37"/>
      <c r="W193" s="37"/>
    </row>
    <row r="194" spans="1:23" s="34" customFormat="1" ht="12.75" customHeight="1">
      <c r="A194" s="28">
        <v>1940</v>
      </c>
      <c r="B194" s="30">
        <v>0.14000000000000001</v>
      </c>
      <c r="C194" s="29">
        <v>0.14000000000000001</v>
      </c>
      <c r="D194" s="30">
        <v>9.1999999999999998E-2</v>
      </c>
      <c r="E194" s="29">
        <v>8.8999999999999996E-2</v>
      </c>
      <c r="F194" s="30">
        <v>8.6999999999999994E-2</v>
      </c>
      <c r="G194" s="29">
        <v>8.5999999999999993E-2</v>
      </c>
      <c r="H194" s="30">
        <v>8.4000000000000005E-2</v>
      </c>
      <c r="I194" s="29">
        <v>8.1000000000000003E-2</v>
      </c>
      <c r="J194" s="29">
        <v>7.9000000000000001E-2</v>
      </c>
      <c r="K194" s="29">
        <v>7.8E-2</v>
      </c>
      <c r="L194" s="29">
        <v>7.5999999999999998E-2</v>
      </c>
      <c r="M194" s="29">
        <v>7.3999999999999996E-2</v>
      </c>
      <c r="N194" s="29">
        <v>7.1999999999999995E-2</v>
      </c>
      <c r="O194" s="31">
        <v>6.9000000000000006E-2</v>
      </c>
      <c r="P194" s="31">
        <v>6.8000000000000005E-2</v>
      </c>
      <c r="Q194" s="31">
        <v>6.5000000000000002E-2</v>
      </c>
      <c r="R194" s="31">
        <v>6.5000000000000002E-2</v>
      </c>
      <c r="S194" s="35"/>
      <c r="U194" s="32">
        <v>0.7</v>
      </c>
      <c r="V194" s="37"/>
      <c r="W194" s="37"/>
    </row>
    <row r="195" spans="1:23" s="34" customFormat="1" ht="12.75" customHeight="1">
      <c r="A195" s="28">
        <v>1941</v>
      </c>
      <c r="B195" s="30">
        <v>0.14699999999999999</v>
      </c>
      <c r="C195" s="29">
        <v>0.14699999999999999</v>
      </c>
      <c r="D195" s="30">
        <v>9.6000000000000002E-2</v>
      </c>
      <c r="E195" s="29">
        <v>9.4E-2</v>
      </c>
      <c r="F195" s="30">
        <v>9.1999999999999998E-2</v>
      </c>
      <c r="G195" s="29">
        <v>0.09</v>
      </c>
      <c r="H195" s="30">
        <v>8.7999999999999995E-2</v>
      </c>
      <c r="I195" s="29">
        <v>8.5000000000000006E-2</v>
      </c>
      <c r="J195" s="29">
        <v>8.3000000000000004E-2</v>
      </c>
      <c r="K195" s="29">
        <v>8.2000000000000003E-2</v>
      </c>
      <c r="L195" s="29">
        <v>0.08</v>
      </c>
      <c r="M195" s="29">
        <v>7.8E-2</v>
      </c>
      <c r="N195" s="29">
        <v>7.4999999999999997E-2</v>
      </c>
      <c r="O195" s="31">
        <v>7.2999999999999995E-2</v>
      </c>
      <c r="P195" s="31">
        <v>7.0999999999999994E-2</v>
      </c>
      <c r="Q195" s="31">
        <v>6.8000000000000005E-2</v>
      </c>
      <c r="R195" s="31">
        <v>6.9000000000000006E-2</v>
      </c>
      <c r="S195" s="35"/>
      <c r="U195" s="32">
        <v>5</v>
      </c>
      <c r="V195" s="37"/>
      <c r="W195" s="37"/>
    </row>
    <row r="196" spans="1:23" s="34" customFormat="1" ht="12.75" customHeight="1">
      <c r="A196" s="28">
        <v>1942</v>
      </c>
      <c r="B196" s="30">
        <v>0.16300000000000001</v>
      </c>
      <c r="C196" s="29">
        <v>0.16300000000000001</v>
      </c>
      <c r="D196" s="30">
        <v>0.107</v>
      </c>
      <c r="E196" s="29">
        <v>0.104</v>
      </c>
      <c r="F196" s="30">
        <v>0.10199999999999999</v>
      </c>
      <c r="G196" s="29">
        <v>0.1</v>
      </c>
      <c r="H196" s="30">
        <v>9.8000000000000004E-2</v>
      </c>
      <c r="I196" s="29">
        <v>9.5000000000000001E-2</v>
      </c>
      <c r="J196" s="29">
        <v>9.1999999999999998E-2</v>
      </c>
      <c r="K196" s="29">
        <v>9.0999999999999998E-2</v>
      </c>
      <c r="L196" s="29">
        <v>8.8999999999999996E-2</v>
      </c>
      <c r="M196" s="29">
        <v>8.5999999999999993E-2</v>
      </c>
      <c r="N196" s="29">
        <v>8.3000000000000004E-2</v>
      </c>
      <c r="O196" s="31">
        <v>8.1000000000000003E-2</v>
      </c>
      <c r="P196" s="31">
        <v>7.9000000000000001E-2</v>
      </c>
      <c r="Q196" s="31">
        <v>7.5999999999999998E-2</v>
      </c>
      <c r="R196" s="31">
        <v>7.5999999999999998E-2</v>
      </c>
      <c r="S196" s="35"/>
      <c r="U196" s="32">
        <v>10.9</v>
      </c>
      <c r="V196" s="37"/>
      <c r="W196" s="37"/>
    </row>
    <row r="197" spans="1:23" s="34" customFormat="1" ht="12.75" customHeight="1">
      <c r="A197" s="28">
        <v>1943</v>
      </c>
      <c r="B197" s="30">
        <v>0.17299999999999999</v>
      </c>
      <c r="C197" s="29">
        <v>0.17299999999999999</v>
      </c>
      <c r="D197" s="30">
        <v>0.114</v>
      </c>
      <c r="E197" s="29">
        <v>0.11</v>
      </c>
      <c r="F197" s="30">
        <v>0.108</v>
      </c>
      <c r="G197" s="29">
        <v>0.106</v>
      </c>
      <c r="H197" s="30">
        <v>0.104</v>
      </c>
      <c r="I197" s="29">
        <v>0.1</v>
      </c>
      <c r="J197" s="29">
        <v>9.8000000000000004E-2</v>
      </c>
      <c r="K197" s="29">
        <v>9.6000000000000002E-2</v>
      </c>
      <c r="L197" s="29">
        <v>9.4E-2</v>
      </c>
      <c r="M197" s="29">
        <v>9.1999999999999998E-2</v>
      </c>
      <c r="N197" s="29">
        <v>8.8999999999999996E-2</v>
      </c>
      <c r="O197" s="31">
        <v>8.5999999999999993E-2</v>
      </c>
      <c r="P197" s="31">
        <v>8.3000000000000004E-2</v>
      </c>
      <c r="Q197" s="31">
        <v>0.08</v>
      </c>
      <c r="R197" s="31">
        <v>8.1000000000000003E-2</v>
      </c>
      <c r="S197" s="35"/>
      <c r="U197" s="32">
        <v>6.1</v>
      </c>
      <c r="V197" s="37"/>
      <c r="W197" s="37"/>
    </row>
    <row r="198" spans="1:23" s="34" customFormat="1" ht="12.75" customHeight="1">
      <c r="A198" s="28">
        <v>1944</v>
      </c>
      <c r="B198" s="30">
        <v>0.17599999999999999</v>
      </c>
      <c r="C198" s="29">
        <v>0.17599999999999999</v>
      </c>
      <c r="D198" s="30">
        <v>0.115</v>
      </c>
      <c r="E198" s="29">
        <v>0.112</v>
      </c>
      <c r="F198" s="30">
        <v>0.11</v>
      </c>
      <c r="G198" s="29">
        <v>0.108</v>
      </c>
      <c r="H198" s="30">
        <v>0.106</v>
      </c>
      <c r="I198" s="29">
        <v>0.10199999999999999</v>
      </c>
      <c r="J198" s="29">
        <v>9.9000000000000005E-2</v>
      </c>
      <c r="K198" s="29">
        <v>9.8000000000000004E-2</v>
      </c>
      <c r="L198" s="29">
        <v>9.6000000000000002E-2</v>
      </c>
      <c r="M198" s="29">
        <v>9.2999999999999999E-2</v>
      </c>
      <c r="N198" s="29">
        <v>0.09</v>
      </c>
      <c r="O198" s="31">
        <v>8.6999999999999994E-2</v>
      </c>
      <c r="P198" s="31">
        <v>8.5000000000000006E-2</v>
      </c>
      <c r="Q198" s="31">
        <v>8.2000000000000003E-2</v>
      </c>
      <c r="R198" s="31">
        <v>8.2000000000000003E-2</v>
      </c>
      <c r="S198" s="35"/>
      <c r="U198" s="32">
        <v>1.7</v>
      </c>
      <c r="V198" s="37"/>
      <c r="W198" s="37"/>
    </row>
    <row r="199" spans="1:23" s="34" customFormat="1" ht="12.75" customHeight="1">
      <c r="A199" s="28">
        <v>1945</v>
      </c>
      <c r="B199" s="30">
        <v>0.18</v>
      </c>
      <c r="C199" s="29">
        <v>0.18</v>
      </c>
      <c r="D199" s="30">
        <v>0.11799999999999999</v>
      </c>
      <c r="E199" s="29">
        <v>0.115</v>
      </c>
      <c r="F199" s="30">
        <v>0.112</v>
      </c>
      <c r="G199" s="29">
        <v>0.11</v>
      </c>
      <c r="H199" s="30">
        <v>0.108</v>
      </c>
      <c r="I199" s="29">
        <v>0.105</v>
      </c>
      <c r="J199" s="29">
        <v>0.10199999999999999</v>
      </c>
      <c r="K199" s="29">
        <v>0.1</v>
      </c>
      <c r="L199" s="29">
        <v>9.8000000000000004E-2</v>
      </c>
      <c r="M199" s="29">
        <v>9.5000000000000001E-2</v>
      </c>
      <c r="N199" s="29">
        <v>9.1999999999999998E-2</v>
      </c>
      <c r="O199" s="31">
        <v>8.8999999999999996E-2</v>
      </c>
      <c r="P199" s="31">
        <v>8.6999999999999994E-2</v>
      </c>
      <c r="Q199" s="31">
        <v>8.4000000000000005E-2</v>
      </c>
      <c r="R199" s="31">
        <v>8.4000000000000005E-2</v>
      </c>
      <c r="S199" s="35"/>
      <c r="U199" s="32">
        <v>2.2999999999999998</v>
      </c>
      <c r="V199" s="37"/>
      <c r="W199" s="37"/>
    </row>
    <row r="200" spans="1:23" s="34" customFormat="1" ht="12.75" customHeight="1">
      <c r="A200" s="28">
        <v>1946</v>
      </c>
      <c r="B200" s="30">
        <v>0.19500000000000001</v>
      </c>
      <c r="C200" s="29">
        <v>0.19500000000000001</v>
      </c>
      <c r="D200" s="30">
        <v>0.128</v>
      </c>
      <c r="E200" s="29">
        <v>0.124</v>
      </c>
      <c r="F200" s="30">
        <v>0.121</v>
      </c>
      <c r="G200" s="29">
        <v>0.12</v>
      </c>
      <c r="H200" s="30">
        <v>0.11700000000000001</v>
      </c>
      <c r="I200" s="29">
        <v>0.113</v>
      </c>
      <c r="J200" s="29">
        <v>0.11</v>
      </c>
      <c r="K200" s="29">
        <v>0.108</v>
      </c>
      <c r="L200" s="29">
        <v>0.106</v>
      </c>
      <c r="M200" s="29">
        <v>0.10299999999999999</v>
      </c>
      <c r="N200" s="29">
        <v>0.1</v>
      </c>
      <c r="O200" s="31">
        <v>9.7000000000000003E-2</v>
      </c>
      <c r="P200" s="31">
        <v>9.4E-2</v>
      </c>
      <c r="Q200" s="31">
        <v>9.0999999999999998E-2</v>
      </c>
      <c r="R200" s="31">
        <v>9.0999999999999998E-2</v>
      </c>
      <c r="S200" s="35"/>
      <c r="T200" s="38"/>
      <c r="U200" s="32">
        <v>8.3000000000000007</v>
      </c>
      <c r="V200" s="37"/>
      <c r="W200" s="37"/>
    </row>
    <row r="201" spans="1:23" s="34" customFormat="1" ht="12.75" customHeight="1">
      <c r="A201" s="28">
        <v>1947</v>
      </c>
      <c r="B201" s="30">
        <v>0.223</v>
      </c>
      <c r="C201" s="29">
        <v>0.223</v>
      </c>
      <c r="D201" s="30">
        <v>0.14599999999999999</v>
      </c>
      <c r="E201" s="29">
        <v>0.14199999999999999</v>
      </c>
      <c r="F201" s="30">
        <v>0.13900000000000001</v>
      </c>
      <c r="G201" s="29">
        <v>0.13700000000000001</v>
      </c>
      <c r="H201" s="30">
        <v>0.13400000000000001</v>
      </c>
      <c r="I201" s="29">
        <v>0.13</v>
      </c>
      <c r="J201" s="29">
        <v>0.126</v>
      </c>
      <c r="K201" s="29">
        <v>0.124</v>
      </c>
      <c r="L201" s="29">
        <v>0.121</v>
      </c>
      <c r="M201" s="29">
        <v>0.11799999999999999</v>
      </c>
      <c r="N201" s="29">
        <v>0.114</v>
      </c>
      <c r="O201" s="31">
        <v>0.111</v>
      </c>
      <c r="P201" s="31">
        <v>0.108</v>
      </c>
      <c r="Q201" s="31">
        <v>0.104</v>
      </c>
      <c r="R201" s="31">
        <v>0.104</v>
      </c>
      <c r="S201" s="29"/>
      <c r="T201" s="29">
        <v>0.121</v>
      </c>
      <c r="U201" s="32">
        <v>14.4</v>
      </c>
      <c r="V201" s="39"/>
      <c r="W201" s="39"/>
    </row>
    <row r="202" spans="1:23" s="34" customFormat="1" ht="12.75" customHeight="1">
      <c r="A202" s="28">
        <v>1948</v>
      </c>
      <c r="B202" s="30">
        <v>0.24099999999999999</v>
      </c>
      <c r="C202" s="29">
        <v>0.24099999999999999</v>
      </c>
      <c r="D202" s="30">
        <v>0.158</v>
      </c>
      <c r="E202" s="29">
        <v>0.154</v>
      </c>
      <c r="F202" s="30">
        <v>0.15</v>
      </c>
      <c r="G202" s="29">
        <v>0.14799999999999999</v>
      </c>
      <c r="H202" s="30">
        <v>0.14499999999999999</v>
      </c>
      <c r="I202" s="29">
        <v>0.14000000000000001</v>
      </c>
      <c r="J202" s="29">
        <v>0.13600000000000001</v>
      </c>
      <c r="K202" s="29">
        <v>0.13400000000000001</v>
      </c>
      <c r="L202" s="29">
        <v>0.13100000000000001</v>
      </c>
      <c r="M202" s="29">
        <v>0.128</v>
      </c>
      <c r="N202" s="29">
        <v>0.123</v>
      </c>
      <c r="O202" s="31">
        <v>0.12</v>
      </c>
      <c r="P202" s="31">
        <v>0.11600000000000001</v>
      </c>
      <c r="Q202" s="31">
        <v>0.112</v>
      </c>
      <c r="R202" s="31">
        <v>0.113</v>
      </c>
      <c r="S202" s="29"/>
      <c r="T202" s="29">
        <v>0.13100000000000001</v>
      </c>
      <c r="U202" s="32">
        <v>8.1</v>
      </c>
      <c r="V202" s="38"/>
      <c r="W202" s="32">
        <v>8.3000000000000007</v>
      </c>
    </row>
    <row r="203" spans="1:23" s="34" customFormat="1" ht="12.75" customHeight="1">
      <c r="A203" s="28">
        <v>1949</v>
      </c>
      <c r="B203" s="30">
        <v>0.23799999999999999</v>
      </c>
      <c r="C203" s="29">
        <v>0.23799999999999999</v>
      </c>
      <c r="D203" s="30">
        <v>0.156</v>
      </c>
      <c r="E203" s="29">
        <v>0.152</v>
      </c>
      <c r="F203" s="30">
        <v>0.14799999999999999</v>
      </c>
      <c r="G203" s="29">
        <v>0.14599999999999999</v>
      </c>
      <c r="H203" s="30">
        <v>0.14299999999999999</v>
      </c>
      <c r="I203" s="29">
        <v>0.13800000000000001</v>
      </c>
      <c r="J203" s="29">
        <v>0.13400000000000001</v>
      </c>
      <c r="K203" s="29">
        <v>0.13200000000000001</v>
      </c>
      <c r="L203" s="29">
        <v>0.129</v>
      </c>
      <c r="M203" s="29">
        <v>0.126</v>
      </c>
      <c r="N203" s="29">
        <v>0.122</v>
      </c>
      <c r="O203" s="31">
        <v>0.11799999999999999</v>
      </c>
      <c r="P203" s="31">
        <v>0.115</v>
      </c>
      <c r="Q203" s="31">
        <v>0.111</v>
      </c>
      <c r="R203" s="31">
        <v>0.111</v>
      </c>
      <c r="S203" s="29"/>
      <c r="T203" s="29">
        <v>0.129</v>
      </c>
      <c r="U203" s="32">
        <v>-1.2</v>
      </c>
      <c r="V203" s="38"/>
      <c r="W203" s="32">
        <v>-1.5</v>
      </c>
    </row>
    <row r="204" spans="1:23" s="34" customFormat="1" ht="12.75" customHeight="1">
      <c r="A204" s="28">
        <v>1950</v>
      </c>
      <c r="B204" s="30">
        <v>0.24099999999999999</v>
      </c>
      <c r="C204" s="29">
        <v>0.24099999999999999</v>
      </c>
      <c r="D204" s="30">
        <v>0.158</v>
      </c>
      <c r="E204" s="29">
        <v>0.154</v>
      </c>
      <c r="F204" s="30">
        <v>0.15</v>
      </c>
      <c r="G204" s="29">
        <v>0.14799999999999999</v>
      </c>
      <c r="H204" s="30">
        <v>0.14499999999999999</v>
      </c>
      <c r="I204" s="29">
        <v>0.14000000000000001</v>
      </c>
      <c r="J204" s="29">
        <v>0.13600000000000001</v>
      </c>
      <c r="K204" s="29">
        <v>0.13400000000000001</v>
      </c>
      <c r="L204" s="29">
        <v>0.13100000000000001</v>
      </c>
      <c r="M204" s="29">
        <v>0.128</v>
      </c>
      <c r="N204" s="29">
        <v>0.123</v>
      </c>
      <c r="O204" s="31">
        <v>0.12</v>
      </c>
      <c r="P204" s="31">
        <v>0.11600000000000001</v>
      </c>
      <c r="Q204" s="31">
        <v>0.112</v>
      </c>
      <c r="R204" s="31">
        <v>0.113</v>
      </c>
      <c r="S204" s="30">
        <v>0.122</v>
      </c>
      <c r="T204" s="29">
        <v>0.13100000000000001</v>
      </c>
      <c r="U204" s="32">
        <v>1.3</v>
      </c>
      <c r="V204" s="37"/>
      <c r="W204" s="32">
        <v>1.6</v>
      </c>
    </row>
    <row r="205" spans="1:23" s="34" customFormat="1" ht="12.75" customHeight="1">
      <c r="A205" s="28">
        <v>1951</v>
      </c>
      <c r="B205" s="30">
        <v>0.26</v>
      </c>
      <c r="C205" s="29">
        <v>0.26</v>
      </c>
      <c r="D205" s="30">
        <v>0.17100000000000001</v>
      </c>
      <c r="E205" s="29">
        <v>0.16600000000000001</v>
      </c>
      <c r="F205" s="30">
        <v>0.16200000000000001</v>
      </c>
      <c r="G205" s="29">
        <v>0.16</v>
      </c>
      <c r="H205" s="30">
        <v>0.156</v>
      </c>
      <c r="I205" s="29">
        <v>0.151</v>
      </c>
      <c r="J205" s="29">
        <v>0.14699999999999999</v>
      </c>
      <c r="K205" s="29">
        <v>0.14499999999999999</v>
      </c>
      <c r="L205" s="29">
        <v>0.14099999999999999</v>
      </c>
      <c r="M205" s="29">
        <v>0.13800000000000001</v>
      </c>
      <c r="N205" s="29">
        <v>0.13300000000000001</v>
      </c>
      <c r="O205" s="31">
        <v>0.129</v>
      </c>
      <c r="P205" s="31">
        <v>0.125</v>
      </c>
      <c r="Q205" s="31">
        <v>0.121</v>
      </c>
      <c r="R205" s="31">
        <v>0.122</v>
      </c>
      <c r="S205" s="30">
        <v>0.13100000000000001</v>
      </c>
      <c r="T205" s="29">
        <v>0.14099999999999999</v>
      </c>
      <c r="U205" s="32">
        <v>7.9</v>
      </c>
      <c r="V205" s="32">
        <v>7.4</v>
      </c>
      <c r="W205" s="32">
        <v>7.6</v>
      </c>
    </row>
    <row r="206" spans="1:23" s="34" customFormat="1" ht="12.75" customHeight="1">
      <c r="A206" s="28">
        <v>1952</v>
      </c>
      <c r="B206" s="30">
        <v>0.26500000000000001</v>
      </c>
      <c r="C206" s="29">
        <v>0.26500000000000001</v>
      </c>
      <c r="D206" s="30">
        <v>0.17399999999999999</v>
      </c>
      <c r="E206" s="29">
        <v>0.16900000000000001</v>
      </c>
      <c r="F206" s="30">
        <v>0.16500000000000001</v>
      </c>
      <c r="G206" s="29">
        <v>0.16300000000000001</v>
      </c>
      <c r="H206" s="30">
        <v>0.159</v>
      </c>
      <c r="I206" s="29">
        <v>0.154</v>
      </c>
      <c r="J206" s="29">
        <v>0.15</v>
      </c>
      <c r="K206" s="29">
        <v>0.14699999999999999</v>
      </c>
      <c r="L206" s="29">
        <v>0.14399999999999999</v>
      </c>
      <c r="M206" s="29">
        <v>0.14000000000000001</v>
      </c>
      <c r="N206" s="29">
        <v>0.13600000000000001</v>
      </c>
      <c r="O206" s="31">
        <v>0.13100000000000001</v>
      </c>
      <c r="P206" s="31">
        <v>0.128</v>
      </c>
      <c r="Q206" s="31">
        <v>0.123</v>
      </c>
      <c r="R206" s="31">
        <v>0.124</v>
      </c>
      <c r="S206" s="30">
        <v>0.13400000000000001</v>
      </c>
      <c r="T206" s="29">
        <v>0.14399999999999999</v>
      </c>
      <c r="U206" s="32">
        <v>1.9</v>
      </c>
      <c r="V206" s="32">
        <v>2.2999999999999998</v>
      </c>
      <c r="W206" s="32">
        <v>2.1</v>
      </c>
    </row>
    <row r="207" spans="1:23" s="34" customFormat="1" ht="12.75" customHeight="1">
      <c r="A207" s="28">
        <v>1953</v>
      </c>
      <c r="B207" s="30">
        <v>0.26700000000000002</v>
      </c>
      <c r="C207" s="29">
        <v>0.26700000000000002</v>
      </c>
      <c r="D207" s="30">
        <v>0.17499999999999999</v>
      </c>
      <c r="E207" s="29">
        <v>0.17</v>
      </c>
      <c r="F207" s="30">
        <v>0.16600000000000001</v>
      </c>
      <c r="G207" s="29">
        <v>0.16400000000000001</v>
      </c>
      <c r="H207" s="30">
        <v>0.16</v>
      </c>
      <c r="I207" s="29">
        <v>0.155</v>
      </c>
      <c r="J207" s="29">
        <v>0.151</v>
      </c>
      <c r="K207" s="29">
        <v>0.14799999999999999</v>
      </c>
      <c r="L207" s="29">
        <v>0.14499999999999999</v>
      </c>
      <c r="M207" s="29">
        <v>0.14099999999999999</v>
      </c>
      <c r="N207" s="29">
        <v>0.13700000000000001</v>
      </c>
      <c r="O207" s="31">
        <v>0.13200000000000001</v>
      </c>
      <c r="P207" s="31">
        <v>0.129</v>
      </c>
      <c r="Q207" s="31">
        <v>0.124</v>
      </c>
      <c r="R207" s="31">
        <v>0.125</v>
      </c>
      <c r="S207" s="30">
        <v>0.13500000000000001</v>
      </c>
      <c r="T207" s="29">
        <v>0.14499999999999999</v>
      </c>
      <c r="U207" s="32">
        <v>0.8</v>
      </c>
      <c r="V207" s="32">
        <v>0.7</v>
      </c>
      <c r="W207" s="32">
        <v>0.7</v>
      </c>
    </row>
    <row r="208" spans="1:23" s="34" customFormat="1" ht="12.75" customHeight="1">
      <c r="A208" s="28">
        <v>1954</v>
      </c>
      <c r="B208" s="30">
        <v>0.26900000000000002</v>
      </c>
      <c r="C208" s="29">
        <v>0.26900000000000002</v>
      </c>
      <c r="D208" s="30">
        <v>0.17699999999999999</v>
      </c>
      <c r="E208" s="29">
        <v>0.17100000000000001</v>
      </c>
      <c r="F208" s="30">
        <v>0.16800000000000001</v>
      </c>
      <c r="G208" s="29">
        <v>0.16500000000000001</v>
      </c>
      <c r="H208" s="30">
        <v>0.161</v>
      </c>
      <c r="I208" s="29">
        <v>0.156</v>
      </c>
      <c r="J208" s="29">
        <v>0.152</v>
      </c>
      <c r="K208" s="29">
        <v>0.15</v>
      </c>
      <c r="L208" s="29">
        <v>0.14599999999999999</v>
      </c>
      <c r="M208" s="29">
        <v>0.14199999999999999</v>
      </c>
      <c r="N208" s="29">
        <v>0.13800000000000001</v>
      </c>
      <c r="O208" s="31">
        <v>0.13300000000000001</v>
      </c>
      <c r="P208" s="31">
        <v>0.13</v>
      </c>
      <c r="Q208" s="31">
        <v>0.125</v>
      </c>
      <c r="R208" s="31">
        <v>0.126</v>
      </c>
      <c r="S208" s="30">
        <v>0.13600000000000001</v>
      </c>
      <c r="T208" s="29">
        <v>0.14599999999999999</v>
      </c>
      <c r="U208" s="32">
        <v>0.7</v>
      </c>
      <c r="V208" s="32">
        <v>0.7</v>
      </c>
      <c r="W208" s="32">
        <v>0.7</v>
      </c>
    </row>
    <row r="209" spans="1:23" s="34" customFormat="1" ht="12.75" customHeight="1">
      <c r="A209" s="28">
        <v>1955</v>
      </c>
      <c r="B209" s="30">
        <v>0.26800000000000002</v>
      </c>
      <c r="C209" s="29">
        <v>0.26800000000000002</v>
      </c>
      <c r="D209" s="30">
        <v>0.17599999999999999</v>
      </c>
      <c r="E209" s="29">
        <v>0.17100000000000001</v>
      </c>
      <c r="F209" s="30">
        <v>0.16700000000000001</v>
      </c>
      <c r="G209" s="29">
        <v>0.16400000000000001</v>
      </c>
      <c r="H209" s="30">
        <v>0.161</v>
      </c>
      <c r="I209" s="29">
        <v>0.156</v>
      </c>
      <c r="J209" s="29">
        <v>0.151</v>
      </c>
      <c r="K209" s="29">
        <v>0.14899999999999999</v>
      </c>
      <c r="L209" s="29">
        <v>0.14599999999999999</v>
      </c>
      <c r="M209" s="29">
        <v>0.14199999999999999</v>
      </c>
      <c r="N209" s="29">
        <v>0.13700000000000001</v>
      </c>
      <c r="O209" s="31">
        <v>0.13300000000000001</v>
      </c>
      <c r="P209" s="31">
        <v>0.129</v>
      </c>
      <c r="Q209" s="31">
        <v>0.124</v>
      </c>
      <c r="R209" s="31">
        <v>0.125</v>
      </c>
      <c r="S209" s="30">
        <v>0.13500000000000001</v>
      </c>
      <c r="T209" s="29">
        <v>0.14599999999999999</v>
      </c>
      <c r="U209" s="32">
        <v>-0.4</v>
      </c>
      <c r="V209" s="32">
        <v>-0.7</v>
      </c>
      <c r="W209" s="32">
        <v>0</v>
      </c>
    </row>
    <row r="210" spans="1:23" s="34" customFormat="1" ht="12.75" customHeight="1">
      <c r="A210" s="28">
        <v>1956</v>
      </c>
      <c r="B210" s="30">
        <v>0.27200000000000002</v>
      </c>
      <c r="C210" s="29">
        <v>0.27200000000000002</v>
      </c>
      <c r="D210" s="30">
        <v>0.17799999999999999</v>
      </c>
      <c r="E210" s="29">
        <v>0.17299999999999999</v>
      </c>
      <c r="F210" s="30">
        <v>0.16900000000000001</v>
      </c>
      <c r="G210" s="29">
        <v>0.16700000000000001</v>
      </c>
      <c r="H210" s="30">
        <v>0.16300000000000001</v>
      </c>
      <c r="I210" s="29">
        <v>0.158</v>
      </c>
      <c r="J210" s="29">
        <v>0.154</v>
      </c>
      <c r="K210" s="29">
        <v>0.151</v>
      </c>
      <c r="L210" s="29">
        <v>0.14799999999999999</v>
      </c>
      <c r="M210" s="29">
        <v>0.14399999999999999</v>
      </c>
      <c r="N210" s="29">
        <v>0.13900000000000001</v>
      </c>
      <c r="O210" s="31">
        <v>0.13500000000000001</v>
      </c>
      <c r="P210" s="31">
        <v>0.13100000000000001</v>
      </c>
      <c r="Q210" s="31">
        <v>0.126</v>
      </c>
      <c r="R210" s="31">
        <v>0.127</v>
      </c>
      <c r="S210" s="30">
        <v>0.13700000000000001</v>
      </c>
      <c r="T210" s="29">
        <v>0.14799999999999999</v>
      </c>
      <c r="U210" s="32">
        <v>1.5</v>
      </c>
      <c r="V210" s="32">
        <v>1.5</v>
      </c>
      <c r="W210" s="32">
        <v>1.4</v>
      </c>
    </row>
    <row r="211" spans="1:23" s="34" customFormat="1" ht="12.75" customHeight="1">
      <c r="A211" s="28">
        <v>1957</v>
      </c>
      <c r="B211" s="30">
        <v>0.28100000000000003</v>
      </c>
      <c r="C211" s="29">
        <v>0.28100000000000003</v>
      </c>
      <c r="D211" s="30">
        <v>0.184</v>
      </c>
      <c r="E211" s="29">
        <v>0.17899999999999999</v>
      </c>
      <c r="F211" s="30">
        <v>0.17499999999999999</v>
      </c>
      <c r="G211" s="29">
        <v>0.17199999999999999</v>
      </c>
      <c r="H211" s="30">
        <v>0.16900000000000001</v>
      </c>
      <c r="I211" s="29">
        <v>0.16300000000000001</v>
      </c>
      <c r="J211" s="29">
        <v>0.159</v>
      </c>
      <c r="K211" s="29">
        <v>0.156</v>
      </c>
      <c r="L211" s="29">
        <v>0.153</v>
      </c>
      <c r="M211" s="29">
        <v>0.14899999999999999</v>
      </c>
      <c r="N211" s="29">
        <v>0.14399999999999999</v>
      </c>
      <c r="O211" s="31">
        <v>0.13900000000000001</v>
      </c>
      <c r="P211" s="31">
        <v>0.13600000000000001</v>
      </c>
      <c r="Q211" s="31">
        <v>0.13100000000000001</v>
      </c>
      <c r="R211" s="31">
        <v>0.13100000000000001</v>
      </c>
      <c r="S211" s="30">
        <v>0.14199999999999999</v>
      </c>
      <c r="T211" s="29">
        <v>0.153</v>
      </c>
      <c r="U211" s="32">
        <v>3.3</v>
      </c>
      <c r="V211" s="32">
        <v>3.6</v>
      </c>
      <c r="W211" s="32">
        <v>3.4</v>
      </c>
    </row>
    <row r="212" spans="1:23" s="34" customFormat="1" ht="12.75" customHeight="1">
      <c r="A212" s="28">
        <v>1958</v>
      </c>
      <c r="B212" s="30">
        <v>0.28899999999999998</v>
      </c>
      <c r="C212" s="29">
        <v>0.28899999999999998</v>
      </c>
      <c r="D212" s="30">
        <v>0.19</v>
      </c>
      <c r="E212" s="29">
        <v>0.184</v>
      </c>
      <c r="F212" s="30">
        <v>0.18</v>
      </c>
      <c r="G212" s="29">
        <v>0.17699999999999999</v>
      </c>
      <c r="H212" s="30">
        <v>0.17299999999999999</v>
      </c>
      <c r="I212" s="29">
        <v>0.16800000000000001</v>
      </c>
      <c r="J212" s="29">
        <v>0.16300000000000001</v>
      </c>
      <c r="K212" s="29">
        <v>0.161</v>
      </c>
      <c r="L212" s="29">
        <v>0.157</v>
      </c>
      <c r="M212" s="29">
        <v>0.153</v>
      </c>
      <c r="N212" s="29">
        <v>0.14799999999999999</v>
      </c>
      <c r="O212" s="31">
        <v>0.14299999999999999</v>
      </c>
      <c r="P212" s="31">
        <v>0.13900000000000001</v>
      </c>
      <c r="Q212" s="31">
        <v>0.13400000000000001</v>
      </c>
      <c r="R212" s="31">
        <v>0.13500000000000001</v>
      </c>
      <c r="S212" s="30">
        <v>0.14599999999999999</v>
      </c>
      <c r="T212" s="29">
        <v>0.157</v>
      </c>
      <c r="U212" s="32">
        <v>2.8</v>
      </c>
      <c r="V212" s="32">
        <v>2.8</v>
      </c>
      <c r="W212" s="32">
        <v>2.6</v>
      </c>
    </row>
    <row r="213" spans="1:23" s="34" customFormat="1" ht="12.75" customHeight="1">
      <c r="A213" s="28">
        <v>1959</v>
      </c>
      <c r="B213" s="30">
        <v>0.29099999999999998</v>
      </c>
      <c r="C213" s="29">
        <v>0.29099999999999998</v>
      </c>
      <c r="D213" s="30">
        <v>0.191</v>
      </c>
      <c r="E213" s="29">
        <v>0.185</v>
      </c>
      <c r="F213" s="30">
        <v>0.18099999999999999</v>
      </c>
      <c r="G213" s="29">
        <v>0.17899999999999999</v>
      </c>
      <c r="H213" s="30">
        <v>0.17499999999999999</v>
      </c>
      <c r="I213" s="29">
        <v>0.16900000000000001</v>
      </c>
      <c r="J213" s="29">
        <v>0.16400000000000001</v>
      </c>
      <c r="K213" s="29">
        <v>0.16200000000000001</v>
      </c>
      <c r="L213" s="29">
        <v>0.158</v>
      </c>
      <c r="M213" s="29">
        <v>0.154</v>
      </c>
      <c r="N213" s="29">
        <v>0.14899999999999999</v>
      </c>
      <c r="O213" s="31">
        <v>0.14399999999999999</v>
      </c>
      <c r="P213" s="31">
        <v>0.14000000000000001</v>
      </c>
      <c r="Q213" s="31">
        <v>0.13500000000000001</v>
      </c>
      <c r="R213" s="31">
        <v>0.13600000000000001</v>
      </c>
      <c r="S213" s="30">
        <v>0.14699999999999999</v>
      </c>
      <c r="T213" s="29">
        <v>0.158</v>
      </c>
      <c r="U213" s="32">
        <v>0.7</v>
      </c>
      <c r="V213" s="32">
        <v>0.7</v>
      </c>
      <c r="W213" s="32">
        <v>0.6</v>
      </c>
    </row>
    <row r="214" spans="1:23" s="34" customFormat="1" ht="12.75" customHeight="1">
      <c r="A214" s="28">
        <v>1960</v>
      </c>
      <c r="B214" s="30">
        <v>0.29599999999999999</v>
      </c>
      <c r="C214" s="29">
        <v>0.29599999999999999</v>
      </c>
      <c r="D214" s="30">
        <v>0.19400000000000001</v>
      </c>
      <c r="E214" s="29">
        <v>0.189</v>
      </c>
      <c r="F214" s="30">
        <v>0.184</v>
      </c>
      <c r="G214" s="29">
        <v>0.182</v>
      </c>
      <c r="H214" s="30">
        <v>0.17799999999999999</v>
      </c>
      <c r="I214" s="29">
        <v>0.17199999999999999</v>
      </c>
      <c r="J214" s="29">
        <v>0.16700000000000001</v>
      </c>
      <c r="K214" s="29">
        <v>0.16500000000000001</v>
      </c>
      <c r="L214" s="29">
        <v>0.161</v>
      </c>
      <c r="M214" s="29">
        <v>0.157</v>
      </c>
      <c r="N214" s="29">
        <v>0.152</v>
      </c>
      <c r="O214" s="31">
        <v>0.14699999999999999</v>
      </c>
      <c r="P214" s="31">
        <v>0.14299999999999999</v>
      </c>
      <c r="Q214" s="31">
        <v>0.13700000000000001</v>
      </c>
      <c r="R214" s="31">
        <v>0.13800000000000001</v>
      </c>
      <c r="S214" s="30">
        <v>0.15</v>
      </c>
      <c r="T214" s="29">
        <v>0.161</v>
      </c>
      <c r="U214" s="32">
        <v>1.7</v>
      </c>
      <c r="V214" s="32">
        <v>2</v>
      </c>
      <c r="W214" s="32">
        <v>1.9</v>
      </c>
    </row>
    <row r="215" spans="1:23" s="34" customFormat="1" ht="12.75" customHeight="1">
      <c r="A215" s="28">
        <v>1961</v>
      </c>
      <c r="B215" s="30">
        <v>0.29899999999999999</v>
      </c>
      <c r="C215" s="29">
        <v>0.29899999999999999</v>
      </c>
      <c r="D215" s="30">
        <v>0.19600000000000001</v>
      </c>
      <c r="E215" s="29">
        <v>0.191</v>
      </c>
      <c r="F215" s="30">
        <v>0.186</v>
      </c>
      <c r="G215" s="29">
        <v>0.183</v>
      </c>
      <c r="H215" s="30">
        <v>0.17899999999999999</v>
      </c>
      <c r="I215" s="29">
        <v>0.17399999999999999</v>
      </c>
      <c r="J215" s="29">
        <v>0.16900000000000001</v>
      </c>
      <c r="K215" s="29">
        <v>0.16600000000000001</v>
      </c>
      <c r="L215" s="29">
        <v>0.16300000000000001</v>
      </c>
      <c r="M215" s="29">
        <v>0.158</v>
      </c>
      <c r="N215" s="29">
        <v>0.153</v>
      </c>
      <c r="O215" s="31">
        <v>0.14799999999999999</v>
      </c>
      <c r="P215" s="31">
        <v>0.14399999999999999</v>
      </c>
      <c r="Q215" s="31">
        <v>0.13900000000000001</v>
      </c>
      <c r="R215" s="31">
        <v>0.14000000000000001</v>
      </c>
      <c r="S215" s="30">
        <v>0.151</v>
      </c>
      <c r="T215" s="29">
        <v>0.16300000000000001</v>
      </c>
      <c r="U215" s="32">
        <v>1</v>
      </c>
      <c r="V215" s="32">
        <v>0.7</v>
      </c>
      <c r="W215" s="32">
        <v>1.2</v>
      </c>
    </row>
    <row r="216" spans="1:23" s="34" customFormat="1" ht="12.75" customHeight="1">
      <c r="A216" s="28">
        <v>1962</v>
      </c>
      <c r="B216" s="30">
        <v>0.30199999999999999</v>
      </c>
      <c r="C216" s="29">
        <v>0.30199999999999999</v>
      </c>
      <c r="D216" s="30">
        <v>0.19800000000000001</v>
      </c>
      <c r="E216" s="29">
        <v>0.192</v>
      </c>
      <c r="F216" s="30">
        <v>0.188</v>
      </c>
      <c r="G216" s="29">
        <v>0.185</v>
      </c>
      <c r="H216" s="30">
        <v>0.18099999999999999</v>
      </c>
      <c r="I216" s="29">
        <v>0.17499999999999999</v>
      </c>
      <c r="J216" s="29">
        <v>0.17100000000000001</v>
      </c>
      <c r="K216" s="29">
        <v>0.16800000000000001</v>
      </c>
      <c r="L216" s="29">
        <v>0.16400000000000001</v>
      </c>
      <c r="M216" s="29">
        <v>0.16</v>
      </c>
      <c r="N216" s="29">
        <v>0.155</v>
      </c>
      <c r="O216" s="31">
        <v>0.15</v>
      </c>
      <c r="P216" s="31">
        <v>0.14599999999999999</v>
      </c>
      <c r="Q216" s="31">
        <v>0.14000000000000001</v>
      </c>
      <c r="R216" s="31">
        <v>0.14099999999999999</v>
      </c>
      <c r="S216" s="30">
        <v>0.152</v>
      </c>
      <c r="T216" s="29">
        <v>0.16400000000000001</v>
      </c>
      <c r="U216" s="32">
        <v>1</v>
      </c>
      <c r="V216" s="32">
        <v>0.7</v>
      </c>
      <c r="W216" s="32">
        <v>0.6</v>
      </c>
    </row>
    <row r="217" spans="1:23" s="34" customFormat="1" ht="12.75" customHeight="1">
      <c r="A217" s="28">
        <v>1963</v>
      </c>
      <c r="B217" s="30">
        <v>0.30599999999999999</v>
      </c>
      <c r="C217" s="29">
        <v>0.30599999999999999</v>
      </c>
      <c r="D217" s="30">
        <v>0.20100000000000001</v>
      </c>
      <c r="E217" s="29">
        <v>0.19500000000000001</v>
      </c>
      <c r="F217" s="30">
        <v>0.191</v>
      </c>
      <c r="G217" s="29">
        <v>0.188</v>
      </c>
      <c r="H217" s="30">
        <v>0.184</v>
      </c>
      <c r="I217" s="29">
        <v>0.17799999999999999</v>
      </c>
      <c r="J217" s="29">
        <v>0.17299999999999999</v>
      </c>
      <c r="K217" s="29">
        <v>0.17</v>
      </c>
      <c r="L217" s="29">
        <v>0.16600000000000001</v>
      </c>
      <c r="M217" s="29">
        <v>0.16200000000000001</v>
      </c>
      <c r="N217" s="29">
        <v>0.157</v>
      </c>
      <c r="O217" s="31">
        <v>0.152</v>
      </c>
      <c r="P217" s="31">
        <v>0.14799999999999999</v>
      </c>
      <c r="Q217" s="31">
        <v>0.14199999999999999</v>
      </c>
      <c r="R217" s="31">
        <v>0.14299999999999999</v>
      </c>
      <c r="S217" s="30">
        <v>0.155</v>
      </c>
      <c r="T217" s="29">
        <v>0.16600000000000001</v>
      </c>
      <c r="U217" s="32">
        <v>1.3</v>
      </c>
      <c r="V217" s="32">
        <v>2</v>
      </c>
      <c r="W217" s="32">
        <v>1.2</v>
      </c>
    </row>
    <row r="218" spans="1:23" s="34" customFormat="1" ht="12.75" customHeight="1">
      <c r="A218" s="28">
        <v>1964</v>
      </c>
      <c r="B218" s="30">
        <v>0.31</v>
      </c>
      <c r="C218" s="29">
        <v>0.31</v>
      </c>
      <c r="D218" s="30">
        <v>0.20300000000000001</v>
      </c>
      <c r="E218" s="29">
        <v>0.19800000000000001</v>
      </c>
      <c r="F218" s="30">
        <v>0.193</v>
      </c>
      <c r="G218" s="29">
        <v>0.19</v>
      </c>
      <c r="H218" s="30">
        <v>0.186</v>
      </c>
      <c r="I218" s="29">
        <v>0.18</v>
      </c>
      <c r="J218" s="29">
        <v>0.17499999999999999</v>
      </c>
      <c r="K218" s="29">
        <v>0.17199999999999999</v>
      </c>
      <c r="L218" s="29">
        <v>0.16800000000000001</v>
      </c>
      <c r="M218" s="29">
        <v>0.16400000000000001</v>
      </c>
      <c r="N218" s="29">
        <v>0.159</v>
      </c>
      <c r="O218" s="31">
        <v>0.154</v>
      </c>
      <c r="P218" s="31">
        <v>0.15</v>
      </c>
      <c r="Q218" s="31">
        <v>0.14399999999999999</v>
      </c>
      <c r="R218" s="31">
        <v>0.14499999999999999</v>
      </c>
      <c r="S218" s="30">
        <v>0.157</v>
      </c>
      <c r="T218" s="29">
        <v>0.16900000000000001</v>
      </c>
      <c r="U218" s="32">
        <v>1.3</v>
      </c>
      <c r="V218" s="32">
        <v>1.3</v>
      </c>
      <c r="W218" s="32">
        <v>1.8</v>
      </c>
    </row>
    <row r="219" spans="1:23" s="34" customFormat="1" ht="12.75" customHeight="1">
      <c r="A219" s="28">
        <v>1965</v>
      </c>
      <c r="B219" s="30">
        <v>0.315</v>
      </c>
      <c r="C219" s="29">
        <v>0.315</v>
      </c>
      <c r="D219" s="30">
        <v>0.20699999999999999</v>
      </c>
      <c r="E219" s="29">
        <v>0.20100000000000001</v>
      </c>
      <c r="F219" s="30">
        <v>0.19600000000000001</v>
      </c>
      <c r="G219" s="29">
        <v>0.193</v>
      </c>
      <c r="H219" s="30">
        <v>0.189</v>
      </c>
      <c r="I219" s="29">
        <v>0.183</v>
      </c>
      <c r="J219" s="29">
        <v>0.17799999999999999</v>
      </c>
      <c r="K219" s="29">
        <v>0.17499999999999999</v>
      </c>
      <c r="L219" s="29">
        <v>0.17100000000000001</v>
      </c>
      <c r="M219" s="29">
        <v>0.16700000000000001</v>
      </c>
      <c r="N219" s="29">
        <v>0.161</v>
      </c>
      <c r="O219" s="31">
        <v>0.156</v>
      </c>
      <c r="P219" s="31">
        <v>0.152</v>
      </c>
      <c r="Q219" s="31">
        <v>0.14599999999999999</v>
      </c>
      <c r="R219" s="31">
        <v>0.14699999999999999</v>
      </c>
      <c r="S219" s="30">
        <v>0.159</v>
      </c>
      <c r="T219" s="29">
        <v>0.17100000000000001</v>
      </c>
      <c r="U219" s="32">
        <v>1.6</v>
      </c>
      <c r="V219" s="32">
        <v>1.3</v>
      </c>
      <c r="W219" s="32">
        <v>1.2</v>
      </c>
    </row>
    <row r="220" spans="1:23" s="34" customFormat="1" ht="12.75" customHeight="1">
      <c r="A220" s="28">
        <v>1966</v>
      </c>
      <c r="B220" s="30">
        <v>0.32400000000000001</v>
      </c>
      <c r="C220" s="29">
        <v>0.32400000000000001</v>
      </c>
      <c r="D220" s="30">
        <v>0.21299999999999999</v>
      </c>
      <c r="E220" s="29">
        <v>0.20699999999999999</v>
      </c>
      <c r="F220" s="30">
        <v>0.20200000000000001</v>
      </c>
      <c r="G220" s="29">
        <v>0.19900000000000001</v>
      </c>
      <c r="H220" s="30">
        <v>0.19400000000000001</v>
      </c>
      <c r="I220" s="29">
        <v>0.188</v>
      </c>
      <c r="J220" s="29">
        <v>0.183</v>
      </c>
      <c r="K220" s="29">
        <v>0.18</v>
      </c>
      <c r="L220" s="29">
        <v>0.17599999999999999</v>
      </c>
      <c r="M220" s="29">
        <v>0.17199999999999999</v>
      </c>
      <c r="N220" s="29">
        <v>0.16600000000000001</v>
      </c>
      <c r="O220" s="31">
        <v>0.161</v>
      </c>
      <c r="P220" s="31">
        <v>0.156</v>
      </c>
      <c r="Q220" s="31">
        <v>0.15</v>
      </c>
      <c r="R220" s="31">
        <v>0.151</v>
      </c>
      <c r="S220" s="30">
        <v>0.16300000000000001</v>
      </c>
      <c r="T220" s="29">
        <v>0.17599999999999999</v>
      </c>
      <c r="U220" s="32">
        <v>2.9</v>
      </c>
      <c r="V220" s="32">
        <v>2.5</v>
      </c>
      <c r="W220" s="32">
        <v>2.9</v>
      </c>
    </row>
    <row r="221" spans="1:23" s="34" customFormat="1" ht="12.75" customHeight="1">
      <c r="A221" s="28">
        <v>1967</v>
      </c>
      <c r="B221" s="30">
        <v>0.33400000000000002</v>
      </c>
      <c r="C221" s="29">
        <v>0.33400000000000002</v>
      </c>
      <c r="D221" s="30">
        <v>0.219</v>
      </c>
      <c r="E221" s="29">
        <v>0.21299999999999999</v>
      </c>
      <c r="F221" s="30">
        <v>0.20799999999999999</v>
      </c>
      <c r="G221" s="29">
        <v>0.20499999999999999</v>
      </c>
      <c r="H221" s="30">
        <v>0.2</v>
      </c>
      <c r="I221" s="29">
        <v>0.19400000000000001</v>
      </c>
      <c r="J221" s="29">
        <v>0.189</v>
      </c>
      <c r="K221" s="29">
        <v>0.186</v>
      </c>
      <c r="L221" s="29">
        <v>0.182</v>
      </c>
      <c r="M221" s="29">
        <v>0.17699999999999999</v>
      </c>
      <c r="N221" s="29">
        <v>0.17100000000000001</v>
      </c>
      <c r="O221" s="31">
        <v>0.16600000000000001</v>
      </c>
      <c r="P221" s="31">
        <v>0.161</v>
      </c>
      <c r="Q221" s="31">
        <v>0.155</v>
      </c>
      <c r="R221" s="31">
        <v>0.156</v>
      </c>
      <c r="S221" s="30">
        <v>0.16900000000000001</v>
      </c>
      <c r="T221" s="29">
        <v>0.182</v>
      </c>
      <c r="U221" s="32">
        <v>3.1</v>
      </c>
      <c r="V221" s="32">
        <v>3.7</v>
      </c>
      <c r="W221" s="32">
        <v>3.4</v>
      </c>
    </row>
    <row r="222" spans="1:23" s="34" customFormat="1" ht="12.75" customHeight="1">
      <c r="A222" s="28">
        <v>1968</v>
      </c>
      <c r="B222" s="30">
        <v>0.34799999999999998</v>
      </c>
      <c r="C222" s="29">
        <v>0.34799999999999998</v>
      </c>
      <c r="D222" s="30">
        <v>0.22800000000000001</v>
      </c>
      <c r="E222" s="29">
        <v>0.222</v>
      </c>
      <c r="F222" s="30">
        <v>0.217</v>
      </c>
      <c r="G222" s="29">
        <v>0.21299999999999999</v>
      </c>
      <c r="H222" s="30">
        <v>0.20899999999999999</v>
      </c>
      <c r="I222" s="29">
        <v>0.20200000000000001</v>
      </c>
      <c r="J222" s="29">
        <v>0.19600000000000001</v>
      </c>
      <c r="K222" s="29">
        <v>0.193</v>
      </c>
      <c r="L222" s="29">
        <v>0.189</v>
      </c>
      <c r="M222" s="29">
        <v>0.184</v>
      </c>
      <c r="N222" s="29">
        <v>0.17799999999999999</v>
      </c>
      <c r="O222" s="31">
        <v>0.17299999999999999</v>
      </c>
      <c r="P222" s="31">
        <v>0.16800000000000001</v>
      </c>
      <c r="Q222" s="31">
        <v>0.16200000000000001</v>
      </c>
      <c r="R222" s="31">
        <v>0.16300000000000001</v>
      </c>
      <c r="S222" s="30">
        <v>0.17499999999999999</v>
      </c>
      <c r="T222" s="29">
        <v>0.189</v>
      </c>
      <c r="U222" s="32">
        <v>4.2</v>
      </c>
      <c r="V222" s="32">
        <v>3.6</v>
      </c>
      <c r="W222" s="32">
        <v>3.8</v>
      </c>
    </row>
    <row r="223" spans="1:23" s="34" customFormat="1" ht="12.75" customHeight="1">
      <c r="A223" s="28">
        <v>1969</v>
      </c>
      <c r="B223" s="30">
        <v>0.36699999999999999</v>
      </c>
      <c r="C223" s="29">
        <v>0.36699999999999999</v>
      </c>
      <c r="D223" s="30">
        <v>0.24099999999999999</v>
      </c>
      <c r="E223" s="29">
        <v>0.23400000000000001</v>
      </c>
      <c r="F223" s="30">
        <v>0.22900000000000001</v>
      </c>
      <c r="G223" s="29">
        <v>0.22500000000000001</v>
      </c>
      <c r="H223" s="30">
        <v>0.22</v>
      </c>
      <c r="I223" s="29">
        <v>0.21299999999999999</v>
      </c>
      <c r="J223" s="29">
        <v>0.20699999999999999</v>
      </c>
      <c r="K223" s="29">
        <v>0.20399999999999999</v>
      </c>
      <c r="L223" s="29">
        <v>0.19900000000000001</v>
      </c>
      <c r="M223" s="29">
        <v>0.19400000000000001</v>
      </c>
      <c r="N223" s="29">
        <v>0.188</v>
      </c>
      <c r="O223" s="31">
        <v>0.182</v>
      </c>
      <c r="P223" s="31">
        <v>0.17699999999999999</v>
      </c>
      <c r="Q223" s="31">
        <v>0.17</v>
      </c>
      <c r="R223" s="31">
        <v>0.17199999999999999</v>
      </c>
      <c r="S223" s="30">
        <v>0.183</v>
      </c>
      <c r="T223" s="29">
        <v>0.19700000000000001</v>
      </c>
      <c r="U223" s="32">
        <v>5.5</v>
      </c>
      <c r="V223" s="32">
        <v>4.5999999999999996</v>
      </c>
      <c r="W223" s="32">
        <v>4.2</v>
      </c>
    </row>
    <row r="224" spans="1:23" s="34" customFormat="1" ht="12.75" customHeight="1">
      <c r="A224" s="28">
        <v>1970</v>
      </c>
      <c r="B224" s="30">
        <v>0.38800000000000001</v>
      </c>
      <c r="C224" s="29">
        <v>0.38800000000000001</v>
      </c>
      <c r="D224" s="30">
        <v>0.255</v>
      </c>
      <c r="E224" s="29">
        <v>0.247</v>
      </c>
      <c r="F224" s="30">
        <v>0.24199999999999999</v>
      </c>
      <c r="G224" s="29">
        <v>0.23799999999999999</v>
      </c>
      <c r="H224" s="30">
        <v>0.23300000000000001</v>
      </c>
      <c r="I224" s="29">
        <v>0.22500000000000001</v>
      </c>
      <c r="J224" s="29">
        <v>0.219</v>
      </c>
      <c r="K224" s="29">
        <v>0.216</v>
      </c>
      <c r="L224" s="29">
        <v>0.21099999999999999</v>
      </c>
      <c r="M224" s="29">
        <v>0.20499999999999999</v>
      </c>
      <c r="N224" s="29">
        <v>0.19900000000000001</v>
      </c>
      <c r="O224" s="31">
        <v>0.192</v>
      </c>
      <c r="P224" s="31">
        <v>0.187</v>
      </c>
      <c r="Q224" s="31">
        <v>0.18</v>
      </c>
      <c r="R224" s="31">
        <v>0.18099999999999999</v>
      </c>
      <c r="S224" s="30">
        <v>0.192</v>
      </c>
      <c r="T224" s="29">
        <v>0.20699999999999999</v>
      </c>
      <c r="U224" s="32">
        <v>5.7</v>
      </c>
      <c r="V224" s="32">
        <v>4.9000000000000004</v>
      </c>
      <c r="W224" s="32">
        <v>5.0999999999999996</v>
      </c>
    </row>
    <row r="225" spans="1:23" s="34" customFormat="1" ht="12.75" customHeight="1">
      <c r="A225" s="28">
        <v>1971</v>
      </c>
      <c r="B225" s="30">
        <v>0.40500000000000003</v>
      </c>
      <c r="C225" s="29">
        <v>0.40500000000000003</v>
      </c>
      <c r="D225" s="30">
        <v>0.26600000000000001</v>
      </c>
      <c r="E225" s="29">
        <v>0.25800000000000001</v>
      </c>
      <c r="F225" s="30">
        <v>0.252</v>
      </c>
      <c r="G225" s="29">
        <v>0.248</v>
      </c>
      <c r="H225" s="30">
        <v>0.24299999999999999</v>
      </c>
      <c r="I225" s="29">
        <v>0.23499999999999999</v>
      </c>
      <c r="J225" s="29">
        <v>0.22900000000000001</v>
      </c>
      <c r="K225" s="29">
        <v>0.22500000000000001</v>
      </c>
      <c r="L225" s="29">
        <v>0.22</v>
      </c>
      <c r="M225" s="29">
        <v>0.214</v>
      </c>
      <c r="N225" s="29">
        <v>0.20699999999999999</v>
      </c>
      <c r="O225" s="31">
        <v>0.20100000000000001</v>
      </c>
      <c r="P225" s="31">
        <v>0.19500000000000001</v>
      </c>
      <c r="Q225" s="31">
        <v>0.188</v>
      </c>
      <c r="R225" s="31">
        <v>0.189</v>
      </c>
      <c r="S225" s="30">
        <v>0.2</v>
      </c>
      <c r="T225" s="29">
        <v>0.216</v>
      </c>
      <c r="U225" s="32">
        <v>4.4000000000000004</v>
      </c>
      <c r="V225" s="32">
        <v>4.2</v>
      </c>
      <c r="W225" s="32">
        <v>4.3</v>
      </c>
    </row>
    <row r="226" spans="1:23" s="34" customFormat="1" ht="12.75" customHeight="1">
      <c r="A226" s="28">
        <v>1972</v>
      </c>
      <c r="B226" s="30">
        <v>0.41799999999999998</v>
      </c>
      <c r="C226" s="29">
        <v>0.41799999999999998</v>
      </c>
      <c r="D226" s="30">
        <v>0.27400000000000002</v>
      </c>
      <c r="E226" s="29">
        <v>0.26600000000000001</v>
      </c>
      <c r="F226" s="30">
        <v>0.26</v>
      </c>
      <c r="G226" s="29">
        <v>0.25600000000000001</v>
      </c>
      <c r="H226" s="30">
        <v>0.251</v>
      </c>
      <c r="I226" s="29">
        <v>0.24299999999999999</v>
      </c>
      <c r="J226" s="29">
        <v>0.23599999999999999</v>
      </c>
      <c r="K226" s="29">
        <v>0.23200000000000001</v>
      </c>
      <c r="L226" s="29">
        <v>0.22700000000000001</v>
      </c>
      <c r="M226" s="29">
        <v>0.221</v>
      </c>
      <c r="N226" s="29">
        <v>0.214</v>
      </c>
      <c r="O226" s="31">
        <v>0.20699999999999999</v>
      </c>
      <c r="P226" s="31">
        <v>0.20200000000000001</v>
      </c>
      <c r="Q226" s="31">
        <v>0.19400000000000001</v>
      </c>
      <c r="R226" s="31">
        <v>0.19500000000000001</v>
      </c>
      <c r="S226" s="30">
        <v>0.20599999999999999</v>
      </c>
      <c r="T226" s="29">
        <v>0.222</v>
      </c>
      <c r="U226" s="32">
        <v>3.2</v>
      </c>
      <c r="V226" s="32">
        <v>3</v>
      </c>
      <c r="W226" s="32">
        <v>2.8</v>
      </c>
    </row>
    <row r="227" spans="1:23" s="34" customFormat="1" ht="12.75" customHeight="1">
      <c r="A227" s="28">
        <v>1973</v>
      </c>
      <c r="B227" s="30">
        <v>0.44400000000000001</v>
      </c>
      <c r="C227" s="29">
        <v>0.44400000000000001</v>
      </c>
      <c r="D227" s="30">
        <v>0.29099999999999998</v>
      </c>
      <c r="E227" s="29">
        <v>0.28299999999999997</v>
      </c>
      <c r="F227" s="30">
        <v>0.27700000000000002</v>
      </c>
      <c r="G227" s="29">
        <v>0.27200000000000002</v>
      </c>
      <c r="H227" s="30">
        <v>0.26700000000000002</v>
      </c>
      <c r="I227" s="29">
        <v>0.25800000000000001</v>
      </c>
      <c r="J227" s="29">
        <v>0.251</v>
      </c>
      <c r="K227" s="29">
        <v>0.247</v>
      </c>
      <c r="L227" s="29">
        <v>0.24099999999999999</v>
      </c>
      <c r="M227" s="29">
        <v>0.23499999999999999</v>
      </c>
      <c r="N227" s="29">
        <v>0.22700000000000001</v>
      </c>
      <c r="O227" s="31">
        <v>0.22</v>
      </c>
      <c r="P227" s="31">
        <v>0.214</v>
      </c>
      <c r="Q227" s="31">
        <v>0.20599999999999999</v>
      </c>
      <c r="R227" s="31">
        <v>0.20799999999999999</v>
      </c>
      <c r="S227" s="30">
        <v>0.219</v>
      </c>
      <c r="T227" s="29">
        <v>0.23599999999999999</v>
      </c>
      <c r="U227" s="32">
        <v>6.2</v>
      </c>
      <c r="V227" s="32">
        <v>6.3</v>
      </c>
      <c r="W227" s="32">
        <v>6.3</v>
      </c>
    </row>
    <row r="228" spans="1:23" s="34" customFormat="1" ht="12.75" customHeight="1">
      <c r="A228" s="28">
        <v>1974</v>
      </c>
      <c r="B228" s="30">
        <v>0.49299999999999999</v>
      </c>
      <c r="C228" s="29">
        <v>0.49299999999999999</v>
      </c>
      <c r="D228" s="30">
        <v>0.32300000000000001</v>
      </c>
      <c r="E228" s="29">
        <v>0.314</v>
      </c>
      <c r="F228" s="30">
        <v>0.307</v>
      </c>
      <c r="G228" s="29">
        <v>0.30199999999999999</v>
      </c>
      <c r="H228" s="30">
        <v>0.29599999999999999</v>
      </c>
      <c r="I228" s="29">
        <v>0.28599999999999998</v>
      </c>
      <c r="J228" s="29">
        <v>0.27800000000000002</v>
      </c>
      <c r="K228" s="29">
        <v>0.27400000000000002</v>
      </c>
      <c r="L228" s="29">
        <v>0.26800000000000002</v>
      </c>
      <c r="M228" s="29">
        <v>0.26100000000000001</v>
      </c>
      <c r="N228" s="29">
        <v>0.252</v>
      </c>
      <c r="O228" s="31">
        <v>0.245</v>
      </c>
      <c r="P228" s="31">
        <v>0.23799999999999999</v>
      </c>
      <c r="Q228" s="31">
        <v>0.22900000000000001</v>
      </c>
      <c r="R228" s="31">
        <v>0.23</v>
      </c>
      <c r="S228" s="30">
        <v>0.24099999999999999</v>
      </c>
      <c r="T228" s="29">
        <v>0.26</v>
      </c>
      <c r="U228" s="32">
        <v>11</v>
      </c>
      <c r="V228" s="32">
        <v>10</v>
      </c>
      <c r="W228" s="32">
        <v>10.199999999999999</v>
      </c>
    </row>
    <row r="229" spans="1:23" s="34" customFormat="1" ht="12.75" customHeight="1">
      <c r="A229" s="28">
        <v>1975</v>
      </c>
      <c r="B229" s="30">
        <v>0.53800000000000003</v>
      </c>
      <c r="C229" s="29">
        <v>0.53800000000000003</v>
      </c>
      <c r="D229" s="30">
        <v>0.35299999999999998</v>
      </c>
      <c r="E229" s="29">
        <v>0.34300000000000003</v>
      </c>
      <c r="F229" s="30">
        <v>0.33500000000000002</v>
      </c>
      <c r="G229" s="29">
        <v>0.33</v>
      </c>
      <c r="H229" s="30">
        <v>0.32300000000000001</v>
      </c>
      <c r="I229" s="29">
        <v>0.312</v>
      </c>
      <c r="J229" s="29">
        <v>0.30399999999999999</v>
      </c>
      <c r="K229" s="29">
        <v>0.29899999999999999</v>
      </c>
      <c r="L229" s="29">
        <v>0.29199999999999998</v>
      </c>
      <c r="M229" s="29">
        <v>0.28499999999999998</v>
      </c>
      <c r="N229" s="29">
        <v>0.27500000000000002</v>
      </c>
      <c r="O229" s="31">
        <v>0.26700000000000002</v>
      </c>
      <c r="P229" s="31">
        <v>0.25900000000000001</v>
      </c>
      <c r="Q229" s="31">
        <v>0.25</v>
      </c>
      <c r="R229" s="31">
        <v>0.252</v>
      </c>
      <c r="S229" s="30">
        <v>0.26100000000000001</v>
      </c>
      <c r="T229" s="29">
        <v>0.28100000000000003</v>
      </c>
      <c r="U229" s="32">
        <v>9.1</v>
      </c>
      <c r="V229" s="32">
        <v>8.3000000000000007</v>
      </c>
      <c r="W229" s="32">
        <v>8.1</v>
      </c>
    </row>
    <row r="230" spans="1:23" s="34" customFormat="1" ht="12.75" customHeight="1">
      <c r="A230" s="28">
        <v>1976</v>
      </c>
      <c r="B230" s="30">
        <v>0.56899999999999995</v>
      </c>
      <c r="C230" s="29">
        <v>0.56899999999999995</v>
      </c>
      <c r="D230" s="30">
        <v>0.373</v>
      </c>
      <c r="E230" s="29">
        <v>0.36299999999999999</v>
      </c>
      <c r="F230" s="30">
        <v>0.35499999999999998</v>
      </c>
      <c r="G230" s="29">
        <v>0.34899999999999998</v>
      </c>
      <c r="H230" s="30">
        <v>0.34200000000000003</v>
      </c>
      <c r="I230" s="29">
        <v>0.33</v>
      </c>
      <c r="J230" s="29">
        <v>0.32100000000000001</v>
      </c>
      <c r="K230" s="29">
        <v>0.316</v>
      </c>
      <c r="L230" s="29">
        <v>0.309</v>
      </c>
      <c r="M230" s="29">
        <v>0.30099999999999999</v>
      </c>
      <c r="N230" s="29">
        <v>0.29099999999999998</v>
      </c>
      <c r="O230" s="31">
        <v>0.28199999999999997</v>
      </c>
      <c r="P230" s="31">
        <v>0.27400000000000002</v>
      </c>
      <c r="Q230" s="31">
        <v>0.26400000000000001</v>
      </c>
      <c r="R230" s="31">
        <v>0.26600000000000001</v>
      </c>
      <c r="S230" s="30">
        <v>0.27600000000000002</v>
      </c>
      <c r="T230" s="29">
        <v>0.29699999999999999</v>
      </c>
      <c r="U230" s="32">
        <v>5.8</v>
      </c>
      <c r="V230" s="32">
        <v>5.7</v>
      </c>
      <c r="W230" s="32">
        <v>5.7</v>
      </c>
    </row>
    <row r="231" spans="1:23" s="34" customFormat="1" ht="12.75" customHeight="1">
      <c r="A231" s="28">
        <v>1977</v>
      </c>
      <c r="B231" s="30">
        <v>0.60599999999999998</v>
      </c>
      <c r="C231" s="29">
        <v>0.60599999999999998</v>
      </c>
      <c r="D231" s="30">
        <v>0.39800000000000002</v>
      </c>
      <c r="E231" s="29">
        <v>0.38600000000000001</v>
      </c>
      <c r="F231" s="30">
        <v>0.378</v>
      </c>
      <c r="G231" s="29">
        <v>0.372</v>
      </c>
      <c r="H231" s="30">
        <v>0.36399999999999999</v>
      </c>
      <c r="I231" s="29">
        <v>0.35199999999999998</v>
      </c>
      <c r="J231" s="29">
        <v>0.34200000000000003</v>
      </c>
      <c r="K231" s="29">
        <v>0.33700000000000002</v>
      </c>
      <c r="L231" s="29">
        <v>0.32900000000000001</v>
      </c>
      <c r="M231" s="29">
        <v>0.32100000000000001</v>
      </c>
      <c r="N231" s="29">
        <v>0.31</v>
      </c>
      <c r="O231" s="31">
        <v>0.30099999999999999</v>
      </c>
      <c r="P231" s="31">
        <v>0.29199999999999998</v>
      </c>
      <c r="Q231" s="31">
        <v>0.28100000000000003</v>
      </c>
      <c r="R231" s="31">
        <v>0.28299999999999997</v>
      </c>
      <c r="S231" s="30">
        <v>0.29399999999999998</v>
      </c>
      <c r="T231" s="29">
        <v>0.316</v>
      </c>
      <c r="U231" s="32">
        <v>6.5</v>
      </c>
      <c r="V231" s="32">
        <v>6.5</v>
      </c>
      <c r="W231" s="32">
        <v>6.4</v>
      </c>
    </row>
    <row r="232" spans="1:23" s="34" customFormat="1" ht="12.75" customHeight="1">
      <c r="A232" s="28">
        <v>1978</v>
      </c>
      <c r="B232" s="30">
        <v>0.65200000000000002</v>
      </c>
      <c r="C232" s="29">
        <v>0.65200000000000002</v>
      </c>
      <c r="D232" s="30">
        <v>0.42799999999999999</v>
      </c>
      <c r="E232" s="29">
        <v>0.41599999999999998</v>
      </c>
      <c r="F232" s="30">
        <v>0.40600000000000003</v>
      </c>
      <c r="G232" s="29">
        <v>0.4</v>
      </c>
      <c r="H232" s="30">
        <v>0.39100000000000001</v>
      </c>
      <c r="I232" s="29">
        <v>0.379</v>
      </c>
      <c r="J232" s="29">
        <v>0.36799999999999999</v>
      </c>
      <c r="K232" s="29">
        <v>0.36199999999999999</v>
      </c>
      <c r="L232" s="29">
        <v>0.35399999999999998</v>
      </c>
      <c r="M232" s="29">
        <v>0.34499999999999997</v>
      </c>
      <c r="N232" s="29">
        <v>0.33400000000000002</v>
      </c>
      <c r="O232" s="31">
        <v>0.32300000000000001</v>
      </c>
      <c r="P232" s="31">
        <v>0.314</v>
      </c>
      <c r="Q232" s="31">
        <v>0.30299999999999999</v>
      </c>
      <c r="R232" s="31">
        <v>0.30499999999999999</v>
      </c>
      <c r="S232" s="30">
        <v>0.314</v>
      </c>
      <c r="T232" s="29">
        <v>0.33</v>
      </c>
      <c r="U232" s="32">
        <v>7.6</v>
      </c>
      <c r="V232" s="32">
        <v>6.8</v>
      </c>
      <c r="W232" s="32">
        <v>4.4000000000000004</v>
      </c>
    </row>
    <row r="233" spans="1:23" s="34" customFormat="1" ht="12.75" customHeight="1">
      <c r="A233" s="28">
        <v>1979</v>
      </c>
      <c r="B233" s="30">
        <v>0.72599999999999998</v>
      </c>
      <c r="C233" s="29">
        <v>0.72599999999999998</v>
      </c>
      <c r="D233" s="30">
        <v>0.47599999999999998</v>
      </c>
      <c r="E233" s="29">
        <v>0.46300000000000002</v>
      </c>
      <c r="F233" s="30">
        <v>0.45200000000000001</v>
      </c>
      <c r="G233" s="29">
        <v>0.44500000000000001</v>
      </c>
      <c r="H233" s="30">
        <v>0.436</v>
      </c>
      <c r="I233" s="29">
        <v>0.42199999999999999</v>
      </c>
      <c r="J233" s="29">
        <v>0.41</v>
      </c>
      <c r="K233" s="29">
        <v>0.40400000000000003</v>
      </c>
      <c r="L233" s="29">
        <v>0.39500000000000002</v>
      </c>
      <c r="M233" s="29">
        <v>0.38400000000000001</v>
      </c>
      <c r="N233" s="29">
        <v>0.372</v>
      </c>
      <c r="O233" s="31">
        <v>0.36</v>
      </c>
      <c r="P233" s="31">
        <v>0.35</v>
      </c>
      <c r="Q233" s="31">
        <v>0.33700000000000002</v>
      </c>
      <c r="R233" s="31">
        <v>0.33900000000000002</v>
      </c>
      <c r="S233" s="30">
        <v>0.34399999999999997</v>
      </c>
      <c r="T233" s="29">
        <v>0.36199999999999999</v>
      </c>
      <c r="U233" s="32">
        <v>11.3</v>
      </c>
      <c r="V233" s="32">
        <v>9.6</v>
      </c>
      <c r="W233" s="32">
        <v>9.6999999999999993</v>
      </c>
    </row>
    <row r="234" spans="1:23" s="34" customFormat="1" ht="12.75" customHeight="1">
      <c r="A234" s="28">
        <v>1980</v>
      </c>
      <c r="B234" s="30">
        <v>0.82399999999999995</v>
      </c>
      <c r="C234" s="29">
        <v>0.82399999999999995</v>
      </c>
      <c r="D234" s="30">
        <v>0.54100000000000004</v>
      </c>
      <c r="E234" s="29">
        <v>0.52500000000000002</v>
      </c>
      <c r="F234" s="30">
        <v>0.51300000000000001</v>
      </c>
      <c r="G234" s="29">
        <v>0.50600000000000001</v>
      </c>
      <c r="H234" s="30">
        <v>0.495</v>
      </c>
      <c r="I234" s="29">
        <v>0.47899999999999998</v>
      </c>
      <c r="J234" s="29">
        <v>0.46500000000000002</v>
      </c>
      <c r="K234" s="29">
        <v>0.45800000000000002</v>
      </c>
      <c r="L234" s="29">
        <v>0.44800000000000001</v>
      </c>
      <c r="M234" s="29">
        <v>0.436</v>
      </c>
      <c r="N234" s="29">
        <v>0.42199999999999999</v>
      </c>
      <c r="O234" s="31">
        <v>0.40899999999999997</v>
      </c>
      <c r="P234" s="31">
        <v>0.39700000000000002</v>
      </c>
      <c r="Q234" s="31">
        <v>0.38300000000000001</v>
      </c>
      <c r="R234" s="31">
        <v>0.38500000000000001</v>
      </c>
      <c r="S234" s="30">
        <v>0.38200000000000001</v>
      </c>
      <c r="T234" s="29">
        <v>0.40200000000000002</v>
      </c>
      <c r="U234" s="32">
        <v>13.5</v>
      </c>
      <c r="V234" s="32">
        <v>11</v>
      </c>
      <c r="W234" s="32">
        <v>11</v>
      </c>
    </row>
    <row r="235" spans="1:23" s="34" customFormat="1" ht="12.75" customHeight="1">
      <c r="A235" s="28">
        <v>1981</v>
      </c>
      <c r="B235" s="30">
        <v>0.90900000000000003</v>
      </c>
      <c r="C235" s="29">
        <v>0.90900000000000003</v>
      </c>
      <c r="D235" s="30">
        <v>0.59599999999999997</v>
      </c>
      <c r="E235" s="29">
        <v>0.57899999999999996</v>
      </c>
      <c r="F235" s="30">
        <v>0.56599999999999995</v>
      </c>
      <c r="G235" s="29">
        <v>0.55800000000000005</v>
      </c>
      <c r="H235" s="30">
        <v>0.54600000000000004</v>
      </c>
      <c r="I235" s="29">
        <v>0.52800000000000002</v>
      </c>
      <c r="J235" s="29">
        <v>0.51300000000000001</v>
      </c>
      <c r="K235" s="29">
        <v>0.505</v>
      </c>
      <c r="L235" s="29">
        <v>0.49399999999999999</v>
      </c>
      <c r="M235" s="29">
        <v>0.48099999999999998</v>
      </c>
      <c r="N235" s="29">
        <v>0.46500000000000002</v>
      </c>
      <c r="O235" s="31">
        <v>0.45100000000000001</v>
      </c>
      <c r="P235" s="31">
        <v>0.438</v>
      </c>
      <c r="Q235" s="31">
        <v>0.42199999999999999</v>
      </c>
      <c r="R235" s="31">
        <v>0.42499999999999999</v>
      </c>
      <c r="S235" s="30">
        <v>0.41799999999999998</v>
      </c>
      <c r="T235" s="29">
        <v>0.44</v>
      </c>
      <c r="U235" s="32">
        <v>10.3</v>
      </c>
      <c r="V235" s="32">
        <v>9.4</v>
      </c>
      <c r="W235" s="32">
        <v>9.5</v>
      </c>
    </row>
    <row r="236" spans="1:23" s="34" customFormat="1" ht="12.75" customHeight="1">
      <c r="A236" s="28">
        <v>1982</v>
      </c>
      <c r="B236" s="30">
        <v>0.96499999999999997</v>
      </c>
      <c r="C236" s="29">
        <v>0.96499999999999997</v>
      </c>
      <c r="D236" s="30">
        <v>0.63300000000000001</v>
      </c>
      <c r="E236" s="29">
        <v>0.61499999999999999</v>
      </c>
      <c r="F236" s="30">
        <v>0.60099999999999998</v>
      </c>
      <c r="G236" s="29">
        <v>0.59199999999999997</v>
      </c>
      <c r="H236" s="30">
        <v>0.57899999999999996</v>
      </c>
      <c r="I236" s="29">
        <v>0.56000000000000005</v>
      </c>
      <c r="J236" s="29">
        <v>0.54500000000000004</v>
      </c>
      <c r="K236" s="29">
        <v>0.53600000000000003</v>
      </c>
      <c r="L236" s="29">
        <v>0.52400000000000002</v>
      </c>
      <c r="M236" s="29">
        <v>0.51100000000000001</v>
      </c>
      <c r="N236" s="29">
        <v>0.49399999999999999</v>
      </c>
      <c r="O236" s="31">
        <v>0.47899999999999998</v>
      </c>
      <c r="P236" s="31">
        <v>0.46500000000000002</v>
      </c>
      <c r="Q236" s="31">
        <v>0.44800000000000001</v>
      </c>
      <c r="R236" s="31">
        <v>0.45100000000000001</v>
      </c>
      <c r="S236" s="30">
        <v>0.44400000000000001</v>
      </c>
      <c r="T236" s="29">
        <v>0.46700000000000003</v>
      </c>
      <c r="U236" s="32">
        <v>6.2</v>
      </c>
      <c r="V236" s="32">
        <v>6.2</v>
      </c>
      <c r="W236" s="32">
        <v>6.1</v>
      </c>
    </row>
    <row r="237" spans="1:23" s="34" customFormat="1" ht="12.75" customHeight="1">
      <c r="A237" s="28">
        <v>1983</v>
      </c>
      <c r="B237" s="30">
        <v>0.996</v>
      </c>
      <c r="C237" s="29">
        <v>0.996</v>
      </c>
      <c r="D237" s="30">
        <v>0.65400000000000003</v>
      </c>
      <c r="E237" s="29">
        <v>0.63500000000000001</v>
      </c>
      <c r="F237" s="30">
        <v>0.621</v>
      </c>
      <c r="G237" s="29">
        <v>0.61099999999999999</v>
      </c>
      <c r="H237" s="30">
        <v>0.59799999999999998</v>
      </c>
      <c r="I237" s="29">
        <v>0.57799999999999996</v>
      </c>
      <c r="J237" s="29">
        <v>0.56200000000000006</v>
      </c>
      <c r="K237" s="29">
        <v>0.55400000000000005</v>
      </c>
      <c r="L237" s="29">
        <v>0.54100000000000004</v>
      </c>
      <c r="M237" s="29">
        <v>0.52700000000000002</v>
      </c>
      <c r="N237" s="29">
        <v>0.51</v>
      </c>
      <c r="O237" s="31">
        <v>0.49399999999999999</v>
      </c>
      <c r="P237" s="31">
        <v>0.48</v>
      </c>
      <c r="Q237" s="31">
        <v>0.46300000000000002</v>
      </c>
      <c r="R237" s="31">
        <v>0.46600000000000003</v>
      </c>
      <c r="S237" s="30">
        <v>0.46300000000000002</v>
      </c>
      <c r="T237" s="29">
        <v>0.48699999999999999</v>
      </c>
      <c r="U237" s="32">
        <v>3.2</v>
      </c>
      <c r="V237" s="32">
        <v>4.3</v>
      </c>
      <c r="W237" s="32">
        <v>4.3</v>
      </c>
    </row>
    <row r="238" spans="1:23" s="34" customFormat="1" ht="12.75" customHeight="1">
      <c r="A238" s="28">
        <v>1984</v>
      </c>
      <c r="B238" s="30">
        <v>1.0389999999999999</v>
      </c>
      <c r="C238" s="29">
        <v>1.0389999999999999</v>
      </c>
      <c r="D238" s="30">
        <v>0.68200000000000005</v>
      </c>
      <c r="E238" s="29">
        <v>0.66200000000000003</v>
      </c>
      <c r="F238" s="30">
        <v>0.64700000000000002</v>
      </c>
      <c r="G238" s="29">
        <v>0.63700000000000001</v>
      </c>
      <c r="H238" s="30">
        <v>0.624</v>
      </c>
      <c r="I238" s="29">
        <v>0.60299999999999998</v>
      </c>
      <c r="J238" s="29">
        <v>0.58699999999999997</v>
      </c>
      <c r="K238" s="29">
        <v>0.57799999999999996</v>
      </c>
      <c r="L238" s="29">
        <v>0.56499999999999995</v>
      </c>
      <c r="M238" s="29">
        <v>0.55000000000000004</v>
      </c>
      <c r="N238" s="29">
        <v>0.53200000000000003</v>
      </c>
      <c r="O238" s="31">
        <v>0.51500000000000001</v>
      </c>
      <c r="P238" s="31">
        <v>0.501</v>
      </c>
      <c r="Q238" s="31">
        <v>0.48299999999999998</v>
      </c>
      <c r="R238" s="31">
        <v>0.48599999999999999</v>
      </c>
      <c r="S238" s="30">
        <v>0.48299999999999998</v>
      </c>
      <c r="T238" s="29">
        <v>0.50700000000000001</v>
      </c>
      <c r="U238" s="32">
        <v>4.3</v>
      </c>
      <c r="V238" s="32">
        <v>4.3</v>
      </c>
      <c r="W238" s="32">
        <v>4.0999999999999996</v>
      </c>
    </row>
    <row r="239" spans="1:23" s="34" customFormat="1" ht="12.75" customHeight="1">
      <c r="A239" s="28">
        <v>1985</v>
      </c>
      <c r="B239" s="30">
        <v>1.0760000000000001</v>
      </c>
      <c r="C239" s="29">
        <v>1.0760000000000001</v>
      </c>
      <c r="D239" s="30">
        <v>0.70599999999999996</v>
      </c>
      <c r="E239" s="29">
        <v>0.68600000000000005</v>
      </c>
      <c r="F239" s="30">
        <v>0.67</v>
      </c>
      <c r="G239" s="29">
        <v>0.66</v>
      </c>
      <c r="H239" s="30">
        <v>0.64600000000000002</v>
      </c>
      <c r="I239" s="29">
        <v>0.625</v>
      </c>
      <c r="J239" s="29">
        <v>0.60799999999999998</v>
      </c>
      <c r="K239" s="29">
        <v>0.59799999999999998</v>
      </c>
      <c r="L239" s="29">
        <v>0.58499999999999996</v>
      </c>
      <c r="M239" s="29">
        <v>0.56999999999999995</v>
      </c>
      <c r="N239" s="29">
        <v>0.55100000000000005</v>
      </c>
      <c r="O239" s="31">
        <v>0.53400000000000003</v>
      </c>
      <c r="P239" s="31">
        <v>0.51900000000000002</v>
      </c>
      <c r="Q239" s="31">
        <v>0.5</v>
      </c>
      <c r="R239" s="31">
        <v>0.503</v>
      </c>
      <c r="S239" s="30">
        <v>0.5</v>
      </c>
      <c r="T239" s="29">
        <v>0.52400000000000002</v>
      </c>
      <c r="U239" s="32">
        <v>3.6</v>
      </c>
      <c r="V239" s="32">
        <v>3.5</v>
      </c>
      <c r="W239" s="32">
        <v>3.4</v>
      </c>
    </row>
    <row r="240" spans="1:23" s="34" customFormat="1" ht="12.75" customHeight="1">
      <c r="A240" s="28">
        <v>1986</v>
      </c>
      <c r="B240" s="30">
        <v>1.0960000000000001</v>
      </c>
      <c r="C240" s="29">
        <v>1.0960000000000001</v>
      </c>
      <c r="D240" s="30">
        <v>0.71899999999999997</v>
      </c>
      <c r="E240" s="29">
        <v>0.69899999999999995</v>
      </c>
      <c r="F240" s="30">
        <v>0.68300000000000005</v>
      </c>
      <c r="G240" s="29">
        <v>0.67200000000000004</v>
      </c>
      <c r="H240" s="30">
        <v>0.65800000000000003</v>
      </c>
      <c r="I240" s="29">
        <v>0.63600000000000001</v>
      </c>
      <c r="J240" s="29">
        <v>0.61899999999999999</v>
      </c>
      <c r="K240" s="29">
        <v>0.60899999999999999</v>
      </c>
      <c r="L240" s="29">
        <v>0.59599999999999997</v>
      </c>
      <c r="M240" s="29">
        <v>0.57999999999999996</v>
      </c>
      <c r="N240" s="29">
        <v>0.56100000000000005</v>
      </c>
      <c r="O240" s="31">
        <v>0.54400000000000004</v>
      </c>
      <c r="P240" s="31">
        <v>0.52900000000000003</v>
      </c>
      <c r="Q240" s="31">
        <v>0.50900000000000001</v>
      </c>
      <c r="R240" s="31">
        <v>0.51200000000000001</v>
      </c>
      <c r="S240" s="30">
        <v>0.50900000000000001</v>
      </c>
      <c r="T240" s="29">
        <v>0.53400000000000003</v>
      </c>
      <c r="U240" s="32">
        <v>1.9</v>
      </c>
      <c r="V240" s="32">
        <v>1.8</v>
      </c>
      <c r="W240" s="32">
        <v>1.9</v>
      </c>
    </row>
    <row r="241" spans="1:23" s="34" customFormat="1" ht="12.75" customHeight="1">
      <c r="A241" s="28">
        <v>1987</v>
      </c>
      <c r="B241" s="30">
        <v>1.1359999999999999</v>
      </c>
      <c r="C241" s="29">
        <v>1.1359999999999999</v>
      </c>
      <c r="D241" s="30">
        <v>0.745</v>
      </c>
      <c r="E241" s="29">
        <v>0.72399999999999998</v>
      </c>
      <c r="F241" s="30">
        <v>0.70799999999999996</v>
      </c>
      <c r="G241" s="29">
        <v>0.69699999999999995</v>
      </c>
      <c r="H241" s="30">
        <v>0.68200000000000005</v>
      </c>
      <c r="I241" s="29">
        <v>0.66</v>
      </c>
      <c r="J241" s="29">
        <v>0.64100000000000001</v>
      </c>
      <c r="K241" s="29">
        <v>0.63100000000000001</v>
      </c>
      <c r="L241" s="29">
        <v>0.61699999999999999</v>
      </c>
      <c r="M241" s="29">
        <v>0.60099999999999998</v>
      </c>
      <c r="N241" s="29">
        <v>0.58199999999999996</v>
      </c>
      <c r="O241" s="31">
        <v>0.56299999999999994</v>
      </c>
      <c r="P241" s="31">
        <v>0.54800000000000004</v>
      </c>
      <c r="Q241" s="31">
        <v>0.52800000000000002</v>
      </c>
      <c r="R241" s="31">
        <v>0.53100000000000003</v>
      </c>
      <c r="S241" s="30">
        <v>0.52800000000000002</v>
      </c>
      <c r="T241" s="29">
        <v>0.55200000000000005</v>
      </c>
      <c r="U241" s="32">
        <v>3.6</v>
      </c>
      <c r="V241" s="32">
        <v>3.7</v>
      </c>
      <c r="W241" s="32">
        <v>3.4</v>
      </c>
    </row>
    <row r="242" spans="1:23" s="34" customFormat="1" ht="12.75" customHeight="1">
      <c r="A242" s="28">
        <v>1988</v>
      </c>
      <c r="B242" s="30">
        <v>1.1830000000000001</v>
      </c>
      <c r="C242" s="29">
        <v>1.1830000000000001</v>
      </c>
      <c r="D242" s="30">
        <v>0.77600000000000002</v>
      </c>
      <c r="E242" s="29">
        <v>0.754</v>
      </c>
      <c r="F242" s="30">
        <v>0.73699999999999999</v>
      </c>
      <c r="G242" s="29">
        <v>0.72599999999999998</v>
      </c>
      <c r="H242" s="30">
        <v>0.71</v>
      </c>
      <c r="I242" s="29">
        <v>0.68700000000000006</v>
      </c>
      <c r="J242" s="29">
        <v>0.66800000000000004</v>
      </c>
      <c r="K242" s="29">
        <v>0.65800000000000003</v>
      </c>
      <c r="L242" s="29">
        <v>0.64300000000000002</v>
      </c>
      <c r="M242" s="29">
        <v>0.626</v>
      </c>
      <c r="N242" s="29">
        <v>0.60599999999999998</v>
      </c>
      <c r="O242" s="31">
        <v>0.58699999999999997</v>
      </c>
      <c r="P242" s="31">
        <v>0.57099999999999995</v>
      </c>
      <c r="Q242" s="31">
        <v>0.54900000000000004</v>
      </c>
      <c r="R242" s="31">
        <v>0.55300000000000005</v>
      </c>
      <c r="S242" s="30">
        <v>0.54900000000000004</v>
      </c>
      <c r="T242" s="29">
        <v>0.57199999999999995</v>
      </c>
      <c r="U242" s="32">
        <v>4.0999999999999996</v>
      </c>
      <c r="V242" s="32">
        <v>4</v>
      </c>
      <c r="W242" s="32">
        <v>3.6</v>
      </c>
    </row>
    <row r="243" spans="1:23" s="34" customFormat="1" ht="12.75" customHeight="1">
      <c r="A243" s="28">
        <v>1989</v>
      </c>
      <c r="B243" s="30">
        <v>1.24</v>
      </c>
      <c r="C243" s="29">
        <v>1.24</v>
      </c>
      <c r="D243" s="30">
        <v>0.81399999999999995</v>
      </c>
      <c r="E243" s="29">
        <v>0.79</v>
      </c>
      <c r="F243" s="30">
        <v>0.77300000000000002</v>
      </c>
      <c r="G243" s="29">
        <v>0.76100000000000001</v>
      </c>
      <c r="H243" s="30">
        <v>0.74399999999999999</v>
      </c>
      <c r="I243" s="29">
        <v>0.72</v>
      </c>
      <c r="J243" s="29">
        <v>0.7</v>
      </c>
      <c r="K243" s="29">
        <v>0.68899999999999995</v>
      </c>
      <c r="L243" s="29">
        <v>0.67400000000000004</v>
      </c>
      <c r="M243" s="29">
        <v>0.65600000000000003</v>
      </c>
      <c r="N243" s="29">
        <v>0.63500000000000001</v>
      </c>
      <c r="O243" s="31">
        <v>0.61499999999999999</v>
      </c>
      <c r="P243" s="31">
        <v>0.59799999999999998</v>
      </c>
      <c r="Q243" s="31">
        <v>0.57599999999999996</v>
      </c>
      <c r="R243" s="31">
        <v>0.57999999999999996</v>
      </c>
      <c r="S243" s="30">
        <v>0.57599999999999996</v>
      </c>
      <c r="T243" s="29">
        <v>0.59599999999999997</v>
      </c>
      <c r="U243" s="32">
        <v>4.8</v>
      </c>
      <c r="V243" s="32">
        <v>4.9000000000000004</v>
      </c>
      <c r="W243" s="32">
        <v>4.2</v>
      </c>
    </row>
    <row r="244" spans="1:23" s="34" customFormat="1" ht="12.75" customHeight="1">
      <c r="A244" s="28">
        <v>1990</v>
      </c>
      <c r="B244" s="30">
        <v>1.3069999999999999</v>
      </c>
      <c r="C244" s="29">
        <v>1.3069999999999999</v>
      </c>
      <c r="D244" s="30">
        <v>0.85799999999999998</v>
      </c>
      <c r="E244" s="29">
        <v>0.83299999999999996</v>
      </c>
      <c r="F244" s="30">
        <v>0.81399999999999995</v>
      </c>
      <c r="G244" s="29">
        <v>0.80200000000000005</v>
      </c>
      <c r="H244" s="30">
        <v>0.78500000000000003</v>
      </c>
      <c r="I244" s="29">
        <v>0.75900000000000001</v>
      </c>
      <c r="J244" s="29">
        <v>0.73799999999999999</v>
      </c>
      <c r="K244" s="29">
        <v>0.72699999999999998</v>
      </c>
      <c r="L244" s="29">
        <v>0.71</v>
      </c>
      <c r="M244" s="29">
        <v>0.69199999999999995</v>
      </c>
      <c r="N244" s="29">
        <v>0.66900000000000004</v>
      </c>
      <c r="O244" s="31">
        <v>0.64800000000000002</v>
      </c>
      <c r="P244" s="31">
        <v>0.63</v>
      </c>
      <c r="Q244" s="31">
        <v>0.60699999999999998</v>
      </c>
      <c r="R244" s="31">
        <v>0.61099999999999999</v>
      </c>
      <c r="S244" s="30">
        <v>0.60699999999999998</v>
      </c>
      <c r="T244" s="29">
        <v>0.626</v>
      </c>
      <c r="U244" s="32">
        <v>5.4</v>
      </c>
      <c r="V244" s="32">
        <v>5.4</v>
      </c>
      <c r="W244" s="32">
        <v>5</v>
      </c>
    </row>
    <row r="245" spans="1:23" s="34" customFormat="1" ht="12.75" customHeight="1">
      <c r="A245" s="28">
        <v>1991</v>
      </c>
      <c r="B245" s="30">
        <v>1.3620000000000001</v>
      </c>
      <c r="C245" s="29">
        <v>1.3620000000000001</v>
      </c>
      <c r="D245" s="30">
        <v>0.89400000000000002</v>
      </c>
      <c r="E245" s="29">
        <v>0.86799999999999999</v>
      </c>
      <c r="F245" s="30">
        <v>0.84899999999999998</v>
      </c>
      <c r="G245" s="29">
        <v>0.83599999999999997</v>
      </c>
      <c r="H245" s="30">
        <v>0.81799999999999995</v>
      </c>
      <c r="I245" s="29">
        <v>0.79100000000000004</v>
      </c>
      <c r="J245" s="29">
        <v>0.76900000000000002</v>
      </c>
      <c r="K245" s="29">
        <v>0.75700000000000001</v>
      </c>
      <c r="L245" s="29">
        <v>0.74</v>
      </c>
      <c r="M245" s="29">
        <v>0.72099999999999997</v>
      </c>
      <c r="N245" s="29">
        <v>0.69699999999999995</v>
      </c>
      <c r="O245" s="31">
        <v>0.67600000000000005</v>
      </c>
      <c r="P245" s="31">
        <v>0.65700000000000003</v>
      </c>
      <c r="Q245" s="31">
        <v>0.63300000000000001</v>
      </c>
      <c r="R245" s="31">
        <v>0.63700000000000001</v>
      </c>
      <c r="S245" s="30">
        <v>0.63300000000000001</v>
      </c>
      <c r="T245" s="29">
        <v>0.64900000000000002</v>
      </c>
      <c r="U245" s="32">
        <v>4.2</v>
      </c>
      <c r="V245" s="32">
        <v>4.3</v>
      </c>
      <c r="W245" s="32">
        <v>3.7</v>
      </c>
    </row>
    <row r="246" spans="1:23" s="34" customFormat="1" ht="12.75" customHeight="1">
      <c r="A246" s="28">
        <v>1992</v>
      </c>
      <c r="B246" s="30">
        <v>1.403</v>
      </c>
      <c r="C246" s="29">
        <v>1.403</v>
      </c>
      <c r="D246" s="30">
        <v>0.92100000000000004</v>
      </c>
      <c r="E246" s="29">
        <v>0.89400000000000002</v>
      </c>
      <c r="F246" s="30">
        <v>0.874</v>
      </c>
      <c r="G246" s="29">
        <v>0.86099999999999999</v>
      </c>
      <c r="H246" s="30">
        <v>0.84199999999999997</v>
      </c>
      <c r="I246" s="29">
        <v>0.81499999999999995</v>
      </c>
      <c r="J246" s="29">
        <v>0.79200000000000004</v>
      </c>
      <c r="K246" s="29">
        <v>0.78</v>
      </c>
      <c r="L246" s="29">
        <v>0.76300000000000001</v>
      </c>
      <c r="M246" s="29">
        <v>0.74299999999999999</v>
      </c>
      <c r="N246" s="29">
        <v>0.71799999999999997</v>
      </c>
      <c r="O246" s="31">
        <v>0.69599999999999995</v>
      </c>
      <c r="P246" s="31">
        <v>0.67700000000000005</v>
      </c>
      <c r="Q246" s="31">
        <v>0.65200000000000002</v>
      </c>
      <c r="R246" s="31">
        <v>0.65600000000000003</v>
      </c>
      <c r="S246" s="30">
        <v>0.65200000000000002</v>
      </c>
      <c r="T246" s="29">
        <v>0.66500000000000004</v>
      </c>
      <c r="U246" s="32">
        <v>3</v>
      </c>
      <c r="V246" s="32">
        <v>3</v>
      </c>
      <c r="W246" s="32">
        <v>2.5</v>
      </c>
    </row>
    <row r="247" spans="1:23" s="34" customFormat="1" ht="12.75" customHeight="1">
      <c r="A247" s="28">
        <v>1993</v>
      </c>
      <c r="B247" s="30">
        <v>1.4450000000000001</v>
      </c>
      <c r="C247" s="29">
        <v>1.4450000000000001</v>
      </c>
      <c r="D247" s="30">
        <v>0.94799999999999995</v>
      </c>
      <c r="E247" s="29">
        <v>0.92100000000000004</v>
      </c>
      <c r="F247" s="30">
        <v>0.9</v>
      </c>
      <c r="G247" s="29">
        <v>0.88700000000000001</v>
      </c>
      <c r="H247" s="30">
        <v>0.86699999999999999</v>
      </c>
      <c r="I247" s="29">
        <v>0.83899999999999997</v>
      </c>
      <c r="J247" s="29">
        <v>0.81599999999999995</v>
      </c>
      <c r="K247" s="29">
        <v>0.80300000000000005</v>
      </c>
      <c r="L247" s="29">
        <v>0.78500000000000003</v>
      </c>
      <c r="M247" s="29">
        <v>0.76500000000000001</v>
      </c>
      <c r="N247" s="29">
        <v>0.74</v>
      </c>
      <c r="O247" s="31">
        <v>0.71699999999999997</v>
      </c>
      <c r="P247" s="31">
        <v>0.69699999999999995</v>
      </c>
      <c r="Q247" s="31">
        <v>0.67100000000000004</v>
      </c>
      <c r="R247" s="31">
        <v>0.67600000000000005</v>
      </c>
      <c r="S247" s="30">
        <v>0.67100000000000004</v>
      </c>
      <c r="T247" s="29">
        <v>0.68200000000000005</v>
      </c>
      <c r="U247" s="32">
        <v>3</v>
      </c>
      <c r="V247" s="32">
        <v>2.9</v>
      </c>
      <c r="W247" s="32">
        <v>2.6</v>
      </c>
    </row>
    <row r="248" spans="1:23" s="34" customFormat="1" ht="12.75" customHeight="1">
      <c r="A248" s="28">
        <v>1994</v>
      </c>
      <c r="B248" s="30">
        <v>1.482</v>
      </c>
      <c r="C248" s="29">
        <v>1.482</v>
      </c>
      <c r="D248" s="30">
        <v>0.97199999999999998</v>
      </c>
      <c r="E248" s="29">
        <v>0.94499999999999995</v>
      </c>
      <c r="F248" s="30">
        <v>0.92300000000000004</v>
      </c>
      <c r="G248" s="29">
        <v>0.90900000000000003</v>
      </c>
      <c r="H248" s="30">
        <v>0.89</v>
      </c>
      <c r="I248" s="29">
        <v>0.86099999999999999</v>
      </c>
      <c r="J248" s="29">
        <v>0.83699999999999997</v>
      </c>
      <c r="K248" s="29">
        <v>0.82399999999999995</v>
      </c>
      <c r="L248" s="29">
        <v>0.80500000000000005</v>
      </c>
      <c r="M248" s="29">
        <v>0.78500000000000003</v>
      </c>
      <c r="N248" s="29">
        <v>0.75900000000000001</v>
      </c>
      <c r="O248" s="31">
        <v>0.73499999999999999</v>
      </c>
      <c r="P248" s="31">
        <v>0.71499999999999997</v>
      </c>
      <c r="Q248" s="31">
        <v>0.68799999999999994</v>
      </c>
      <c r="R248" s="31">
        <v>0.69299999999999995</v>
      </c>
      <c r="S248" s="30">
        <v>0.68799999999999994</v>
      </c>
      <c r="T248" s="29">
        <v>0.69599999999999995</v>
      </c>
      <c r="U248" s="32">
        <v>2.6</v>
      </c>
      <c r="V248" s="32">
        <v>2.5</v>
      </c>
      <c r="W248" s="32">
        <v>2.1</v>
      </c>
    </row>
    <row r="249" spans="1:23" s="34" customFormat="1" ht="12.75" customHeight="1">
      <c r="A249" s="28">
        <v>1995</v>
      </c>
      <c r="B249" s="30">
        <v>1.524</v>
      </c>
      <c r="C249" s="29">
        <v>1.524</v>
      </c>
      <c r="D249" s="30">
        <v>1</v>
      </c>
      <c r="E249" s="29">
        <v>0.97099999999999997</v>
      </c>
      <c r="F249" s="30">
        <v>0.95</v>
      </c>
      <c r="G249" s="29">
        <v>0.93500000000000005</v>
      </c>
      <c r="H249" s="30">
        <v>0.91500000000000004</v>
      </c>
      <c r="I249" s="29">
        <v>0.88500000000000001</v>
      </c>
      <c r="J249" s="29">
        <v>0.86099999999999999</v>
      </c>
      <c r="K249" s="29">
        <v>0.84699999999999998</v>
      </c>
      <c r="L249" s="29">
        <v>0.82799999999999996</v>
      </c>
      <c r="M249" s="29">
        <v>0.80700000000000005</v>
      </c>
      <c r="N249" s="29">
        <v>0.78</v>
      </c>
      <c r="O249" s="31">
        <v>0.75600000000000001</v>
      </c>
      <c r="P249" s="31">
        <v>0.73499999999999999</v>
      </c>
      <c r="Q249" s="31">
        <v>0.70799999999999996</v>
      </c>
      <c r="R249" s="31">
        <v>0.71199999999999997</v>
      </c>
      <c r="S249" s="30">
        <v>0.70799999999999996</v>
      </c>
      <c r="T249" s="29">
        <v>0.71299999999999997</v>
      </c>
      <c r="U249" s="32">
        <v>2.8</v>
      </c>
      <c r="V249" s="32">
        <v>2.9</v>
      </c>
      <c r="W249" s="32">
        <v>2.4</v>
      </c>
    </row>
    <row r="250" spans="1:23" s="34" customFormat="1" ht="12.75" customHeight="1">
      <c r="A250" s="28">
        <v>1996</v>
      </c>
      <c r="B250" s="30">
        <v>1.569</v>
      </c>
      <c r="C250" s="29">
        <v>1.569</v>
      </c>
      <c r="D250" s="30">
        <v>1.03</v>
      </c>
      <c r="E250" s="29">
        <v>1</v>
      </c>
      <c r="F250" s="30">
        <v>0.97799999999999998</v>
      </c>
      <c r="G250" s="29">
        <v>0.96299999999999997</v>
      </c>
      <c r="H250" s="30">
        <v>0.94199999999999995</v>
      </c>
      <c r="I250" s="29">
        <v>0.91100000000000003</v>
      </c>
      <c r="J250" s="29">
        <v>0.88600000000000001</v>
      </c>
      <c r="K250" s="29">
        <v>0.872</v>
      </c>
      <c r="L250" s="29">
        <v>0.85299999999999998</v>
      </c>
      <c r="M250" s="29">
        <v>0.83099999999999996</v>
      </c>
      <c r="N250" s="29">
        <v>0.80300000000000005</v>
      </c>
      <c r="O250" s="31">
        <v>0.77800000000000002</v>
      </c>
      <c r="P250" s="31">
        <v>0.75700000000000001</v>
      </c>
      <c r="Q250" s="31">
        <v>0.72899999999999998</v>
      </c>
      <c r="R250" s="31">
        <v>0.73399999999999999</v>
      </c>
      <c r="S250" s="30">
        <v>0.72899999999999998</v>
      </c>
      <c r="T250" s="29">
        <v>0.73199999999999998</v>
      </c>
      <c r="U250" s="32">
        <v>3</v>
      </c>
      <c r="V250" s="32">
        <v>3</v>
      </c>
      <c r="W250" s="32">
        <v>2.7</v>
      </c>
    </row>
    <row r="251" spans="1:23" s="34" customFormat="1" ht="12.75" customHeight="1">
      <c r="A251" s="28">
        <v>1997</v>
      </c>
      <c r="B251" s="30">
        <v>1.605</v>
      </c>
      <c r="C251" s="29">
        <v>1.605</v>
      </c>
      <c r="D251" s="30">
        <v>1.0529999999999999</v>
      </c>
      <c r="E251" s="29">
        <v>1.0229999999999999</v>
      </c>
      <c r="F251" s="30">
        <v>1</v>
      </c>
      <c r="G251" s="29">
        <v>0.98499999999999999</v>
      </c>
      <c r="H251" s="30">
        <v>0.96299999999999997</v>
      </c>
      <c r="I251" s="29">
        <v>0.93200000000000005</v>
      </c>
      <c r="J251" s="29">
        <v>0.90600000000000003</v>
      </c>
      <c r="K251" s="29">
        <v>0.89200000000000002</v>
      </c>
      <c r="L251" s="29">
        <v>0.872</v>
      </c>
      <c r="M251" s="29">
        <v>0.85</v>
      </c>
      <c r="N251" s="29">
        <v>0.82199999999999995</v>
      </c>
      <c r="O251" s="31">
        <v>0.79600000000000004</v>
      </c>
      <c r="P251" s="31">
        <v>0.77400000000000002</v>
      </c>
      <c r="Q251" s="31">
        <v>0.745</v>
      </c>
      <c r="R251" s="31">
        <v>0.75</v>
      </c>
      <c r="S251" s="30">
        <v>0.745</v>
      </c>
      <c r="T251" s="29">
        <v>0.748</v>
      </c>
      <c r="U251" s="32">
        <v>2.2999999999999998</v>
      </c>
      <c r="V251" s="32">
        <v>2.2000000000000002</v>
      </c>
      <c r="W251" s="32">
        <v>2.2000000000000002</v>
      </c>
    </row>
    <row r="252" spans="1:23" s="34" customFormat="1" ht="12.75" customHeight="1">
      <c r="A252" s="28">
        <v>1998</v>
      </c>
      <c r="B252" s="30">
        <v>1.63</v>
      </c>
      <c r="C252" s="29">
        <v>1.63</v>
      </c>
      <c r="D252" s="30">
        <v>1.07</v>
      </c>
      <c r="E252" s="29">
        <v>1.0389999999999999</v>
      </c>
      <c r="F252" s="30">
        <v>1.016</v>
      </c>
      <c r="G252" s="29">
        <v>1</v>
      </c>
      <c r="H252" s="30">
        <v>0.97799999999999998</v>
      </c>
      <c r="I252" s="29">
        <v>0.94699999999999995</v>
      </c>
      <c r="J252" s="29">
        <v>0.92</v>
      </c>
      <c r="K252" s="29">
        <v>0.90600000000000003</v>
      </c>
      <c r="L252" s="29">
        <v>0.88600000000000001</v>
      </c>
      <c r="M252" s="29">
        <v>0.86299999999999999</v>
      </c>
      <c r="N252" s="29">
        <v>0.83499999999999996</v>
      </c>
      <c r="O252" s="31">
        <v>0.80900000000000005</v>
      </c>
      <c r="P252" s="31">
        <v>0.78600000000000003</v>
      </c>
      <c r="Q252" s="31">
        <v>0.75700000000000001</v>
      </c>
      <c r="R252" s="31">
        <v>0.76200000000000001</v>
      </c>
      <c r="S252" s="30">
        <v>0.75700000000000001</v>
      </c>
      <c r="T252" s="29">
        <v>0.75800000000000001</v>
      </c>
      <c r="U252" s="32">
        <v>1.6</v>
      </c>
      <c r="V252" s="32">
        <v>1.6</v>
      </c>
      <c r="W252" s="32">
        <v>1.3</v>
      </c>
    </row>
    <row r="253" spans="1:23" s="34" customFormat="1" ht="12.75" customHeight="1">
      <c r="A253" s="28">
        <v>1999</v>
      </c>
      <c r="B253" s="30">
        <v>1.6659999999999999</v>
      </c>
      <c r="C253" s="29">
        <v>1.6659999999999999</v>
      </c>
      <c r="D253" s="30">
        <v>1.093</v>
      </c>
      <c r="E253" s="29">
        <v>1.0620000000000001</v>
      </c>
      <c r="F253" s="30">
        <v>1.038</v>
      </c>
      <c r="G253" s="29">
        <v>1.022</v>
      </c>
      <c r="H253" s="30">
        <v>1</v>
      </c>
      <c r="I253" s="29">
        <v>0.96699999999999997</v>
      </c>
      <c r="J253" s="29">
        <v>0.94099999999999995</v>
      </c>
      <c r="K253" s="29">
        <v>0.92600000000000005</v>
      </c>
      <c r="L253" s="29">
        <v>0.90500000000000003</v>
      </c>
      <c r="M253" s="29">
        <v>0.88200000000000001</v>
      </c>
      <c r="N253" s="29">
        <v>0.85299999999999998</v>
      </c>
      <c r="O253" s="31">
        <v>0.82599999999999996</v>
      </c>
      <c r="P253" s="31">
        <v>0.80400000000000005</v>
      </c>
      <c r="Q253" s="31">
        <v>0.77400000000000002</v>
      </c>
      <c r="R253" s="31">
        <v>0.77900000000000003</v>
      </c>
      <c r="S253" s="30">
        <v>0.77400000000000002</v>
      </c>
      <c r="T253" s="29">
        <v>0.77400000000000002</v>
      </c>
      <c r="U253" s="32">
        <v>2.2000000000000002</v>
      </c>
      <c r="V253" s="32">
        <v>2.2000000000000002</v>
      </c>
      <c r="W253" s="32">
        <v>2.1</v>
      </c>
    </row>
    <row r="254" spans="1:23" s="34" customFormat="1" ht="12.75" customHeight="1">
      <c r="A254" s="28">
        <v>2000</v>
      </c>
      <c r="B254" s="30">
        <v>1.722</v>
      </c>
      <c r="C254" s="29">
        <v>1.722</v>
      </c>
      <c r="D254" s="30">
        <v>1.1299999999999999</v>
      </c>
      <c r="E254" s="29">
        <v>1.0980000000000001</v>
      </c>
      <c r="F254" s="30">
        <v>1.073</v>
      </c>
      <c r="G254" s="29">
        <v>1.056</v>
      </c>
      <c r="H254" s="30">
        <v>1.034</v>
      </c>
      <c r="I254" s="29">
        <v>1</v>
      </c>
      <c r="J254" s="29">
        <v>0.97199999999999998</v>
      </c>
      <c r="K254" s="29">
        <v>0.95699999999999996</v>
      </c>
      <c r="L254" s="29">
        <v>0.93600000000000005</v>
      </c>
      <c r="M254" s="29">
        <v>0.91200000000000003</v>
      </c>
      <c r="N254" s="29">
        <v>0.88200000000000001</v>
      </c>
      <c r="O254" s="31">
        <v>0.85399999999999998</v>
      </c>
      <c r="P254" s="31">
        <v>0.83099999999999996</v>
      </c>
      <c r="Q254" s="31">
        <v>0.8</v>
      </c>
      <c r="R254" s="31">
        <v>0.80500000000000005</v>
      </c>
      <c r="S254" s="30">
        <v>0.8</v>
      </c>
      <c r="T254" s="29">
        <v>0.8</v>
      </c>
      <c r="U254" s="32">
        <v>3.4</v>
      </c>
      <c r="V254" s="32">
        <v>3.4</v>
      </c>
      <c r="W254" s="32">
        <v>3.4</v>
      </c>
    </row>
    <row r="255" spans="1:23" s="34" customFormat="1" ht="12.75" customHeight="1">
      <c r="A255" s="28">
        <v>2001</v>
      </c>
      <c r="B255" s="30">
        <v>1.7709999999999999</v>
      </c>
      <c r="C255" s="29">
        <v>1.7709999999999999</v>
      </c>
      <c r="D255" s="30">
        <v>1.1619999999999999</v>
      </c>
      <c r="E255" s="29">
        <v>1.129</v>
      </c>
      <c r="F255" s="30">
        <v>1.103</v>
      </c>
      <c r="G255" s="29">
        <v>1.087</v>
      </c>
      <c r="H255" s="30">
        <v>1.0629999999999999</v>
      </c>
      <c r="I255" s="29">
        <v>1.028</v>
      </c>
      <c r="J255" s="29">
        <v>1</v>
      </c>
      <c r="K255" s="29">
        <v>0.98399999999999999</v>
      </c>
      <c r="L255" s="29">
        <v>0.96299999999999997</v>
      </c>
      <c r="M255" s="29">
        <v>0.93799999999999994</v>
      </c>
      <c r="N255" s="29">
        <v>0.90700000000000003</v>
      </c>
      <c r="O255" s="31">
        <v>0.878</v>
      </c>
      <c r="P255" s="31">
        <v>0.85399999999999998</v>
      </c>
      <c r="Q255" s="31">
        <v>0.82299999999999995</v>
      </c>
      <c r="R255" s="31">
        <v>0.82799999999999996</v>
      </c>
      <c r="S255" s="30">
        <v>0.82299999999999995</v>
      </c>
      <c r="T255" s="29">
        <v>0.82199999999999995</v>
      </c>
      <c r="U255" s="32">
        <v>2.8</v>
      </c>
      <c r="V255" s="32">
        <v>2.9</v>
      </c>
      <c r="W255" s="32">
        <v>2.7</v>
      </c>
    </row>
    <row r="256" spans="1:23" s="34" customFormat="1" ht="12.75" customHeight="1">
      <c r="A256" s="28">
        <v>2002</v>
      </c>
      <c r="B256" s="30">
        <v>1.7989999999999999</v>
      </c>
      <c r="C256" s="29">
        <v>1.7990000000000002</v>
      </c>
      <c r="D256" s="30">
        <v>1.18</v>
      </c>
      <c r="E256" s="29">
        <v>1.147</v>
      </c>
      <c r="F256" s="30">
        <v>1.121</v>
      </c>
      <c r="G256" s="29">
        <v>1.1040000000000001</v>
      </c>
      <c r="H256" s="30">
        <v>1.08</v>
      </c>
      <c r="I256" s="29">
        <v>1.0449999999999999</v>
      </c>
      <c r="J256" s="29">
        <v>1.016</v>
      </c>
      <c r="K256" s="29">
        <v>1</v>
      </c>
      <c r="L256" s="29">
        <v>0.97799999999999998</v>
      </c>
      <c r="M256" s="29">
        <v>0.95199999999999996</v>
      </c>
      <c r="N256" s="29">
        <v>0.92100000000000004</v>
      </c>
      <c r="O256" s="31">
        <v>0.89200000000000002</v>
      </c>
      <c r="P256" s="31">
        <v>0.86799999999999999</v>
      </c>
      <c r="Q256" s="31">
        <v>0.83599999999999997</v>
      </c>
      <c r="R256" s="31">
        <v>0.84099999999999997</v>
      </c>
      <c r="S256" s="30">
        <v>0.83599999999999997</v>
      </c>
      <c r="T256" s="29">
        <v>0.83599999999999997</v>
      </c>
      <c r="U256" s="32">
        <v>1.6</v>
      </c>
      <c r="V256" s="32">
        <v>1.6</v>
      </c>
      <c r="W256" s="32">
        <v>1.7</v>
      </c>
    </row>
    <row r="257" spans="1:23" s="34" customFormat="1" ht="12.75" customHeight="1">
      <c r="A257" s="28">
        <v>2003</v>
      </c>
      <c r="B257" s="30">
        <v>1.84</v>
      </c>
      <c r="C257" s="29">
        <v>1.84</v>
      </c>
      <c r="D257" s="30">
        <v>1.2070000000000001</v>
      </c>
      <c r="E257" s="29">
        <v>1.173</v>
      </c>
      <c r="F257" s="30">
        <v>1.1459999999999999</v>
      </c>
      <c r="G257" s="29">
        <v>1.129</v>
      </c>
      <c r="H257" s="30">
        <v>1.1040000000000001</v>
      </c>
      <c r="I257" s="29">
        <v>1.069</v>
      </c>
      <c r="J257" s="29">
        <v>1.0389999999999999</v>
      </c>
      <c r="K257" s="29">
        <v>1.0229999999999999</v>
      </c>
      <c r="L257" s="29">
        <v>1</v>
      </c>
      <c r="M257" s="29">
        <v>0.97399999999999998</v>
      </c>
      <c r="N257" s="29">
        <v>0.94199999999999995</v>
      </c>
      <c r="O257" s="31">
        <v>0.91300000000000003</v>
      </c>
      <c r="P257" s="31">
        <v>0.88700000000000001</v>
      </c>
      <c r="Q257" s="31">
        <v>0.85499999999999998</v>
      </c>
      <c r="R257" s="31">
        <v>0.86</v>
      </c>
      <c r="S257" s="30">
        <v>0.85499999999999998</v>
      </c>
      <c r="T257" s="29">
        <v>0.85399999999999998</v>
      </c>
      <c r="U257" s="32">
        <v>2.2999999999999998</v>
      </c>
      <c r="V257" s="32">
        <v>2.2999999999999998</v>
      </c>
      <c r="W257" s="32">
        <v>2.2000000000000002</v>
      </c>
    </row>
    <row r="258" spans="1:23" s="34" customFormat="1" ht="12.75" customHeight="1">
      <c r="A258" s="28">
        <v>2004</v>
      </c>
      <c r="B258" s="30">
        <v>1.889</v>
      </c>
      <c r="C258" s="29">
        <v>1.889</v>
      </c>
      <c r="D258" s="30">
        <v>1.24</v>
      </c>
      <c r="E258" s="29">
        <v>1.204</v>
      </c>
      <c r="F258" s="30">
        <v>1.177</v>
      </c>
      <c r="G258" s="29">
        <v>1.159</v>
      </c>
      <c r="H258" s="30">
        <v>1.1339999999999999</v>
      </c>
      <c r="I258" s="29">
        <v>1.097</v>
      </c>
      <c r="J258" s="29">
        <v>1.0669999999999999</v>
      </c>
      <c r="K258" s="29">
        <v>1.05</v>
      </c>
      <c r="L258" s="29">
        <v>1.0269999999999999</v>
      </c>
      <c r="M258" s="29">
        <v>1</v>
      </c>
      <c r="N258" s="29">
        <v>0.96699999999999997</v>
      </c>
      <c r="O258" s="31">
        <v>0.93700000000000006</v>
      </c>
      <c r="P258" s="31">
        <v>0.91100000000000003</v>
      </c>
      <c r="Q258" s="31">
        <v>0.877</v>
      </c>
      <c r="R258" s="31">
        <v>0.88300000000000001</v>
      </c>
      <c r="S258" s="30">
        <v>0.877</v>
      </c>
      <c r="T258" s="29">
        <v>0.877</v>
      </c>
      <c r="U258" s="32">
        <v>2.7</v>
      </c>
      <c r="V258" s="32">
        <v>2.6</v>
      </c>
      <c r="W258" s="32">
        <v>2.7</v>
      </c>
    </row>
    <row r="259" spans="1:23" s="34" customFormat="1" ht="12.75" customHeight="1">
      <c r="A259" s="28">
        <v>2005</v>
      </c>
      <c r="B259" s="30">
        <v>1.9530000000000001</v>
      </c>
      <c r="C259" s="29">
        <v>1.9530000000000001</v>
      </c>
      <c r="D259" s="30">
        <v>1.2809999999999999</v>
      </c>
      <c r="E259" s="29">
        <v>1.2450000000000001</v>
      </c>
      <c r="F259" s="30">
        <v>1.2170000000000001</v>
      </c>
      <c r="G259" s="29">
        <v>1.198</v>
      </c>
      <c r="H259" s="30">
        <v>1.1719999999999999</v>
      </c>
      <c r="I259" s="29">
        <v>1.1339999999999999</v>
      </c>
      <c r="J259" s="29">
        <v>1.103</v>
      </c>
      <c r="K259" s="29">
        <v>1.0860000000000001</v>
      </c>
      <c r="L259" s="29">
        <v>1.0609999999999999</v>
      </c>
      <c r="M259" s="29">
        <v>1.034</v>
      </c>
      <c r="N259" s="29">
        <v>1</v>
      </c>
      <c r="O259" s="31">
        <v>0.96899999999999997</v>
      </c>
      <c r="P259" s="31">
        <v>0.94199999999999995</v>
      </c>
      <c r="Q259" s="31">
        <v>0.90700000000000003</v>
      </c>
      <c r="R259" s="31">
        <v>0.91300000000000003</v>
      </c>
      <c r="S259" s="30">
        <v>0.90700000000000003</v>
      </c>
      <c r="T259" s="29">
        <v>0.90700000000000003</v>
      </c>
      <c r="U259" s="32">
        <v>3.4</v>
      </c>
      <c r="V259" s="32">
        <v>3.4</v>
      </c>
      <c r="W259" s="32">
        <v>3.4</v>
      </c>
    </row>
    <row r="260" spans="1:23" s="34" customFormat="1" ht="12.75" customHeight="1">
      <c r="A260" s="28">
        <v>2006</v>
      </c>
      <c r="B260" s="30">
        <v>2.016</v>
      </c>
      <c r="C260" s="29">
        <v>2.016</v>
      </c>
      <c r="D260" s="30">
        <v>1.323</v>
      </c>
      <c r="E260" s="29">
        <v>1.2849999999999999</v>
      </c>
      <c r="F260" s="30">
        <v>1.256</v>
      </c>
      <c r="G260" s="29">
        <v>1.2370000000000001</v>
      </c>
      <c r="H260" s="30">
        <v>1.21</v>
      </c>
      <c r="I260" s="29">
        <v>1.171</v>
      </c>
      <c r="J260" s="29">
        <v>1.1379999999999999</v>
      </c>
      <c r="K260" s="29">
        <v>1.121</v>
      </c>
      <c r="L260" s="29">
        <v>1.0960000000000001</v>
      </c>
      <c r="M260" s="29">
        <v>1.0669999999999999</v>
      </c>
      <c r="N260" s="29">
        <v>1.032</v>
      </c>
      <c r="O260" s="31">
        <v>1</v>
      </c>
      <c r="P260" s="31">
        <v>0.97199999999999998</v>
      </c>
      <c r="Q260" s="31">
        <v>0.93600000000000005</v>
      </c>
      <c r="R260" s="31">
        <v>0.94199999999999995</v>
      </c>
      <c r="S260" s="30">
        <v>0.93600000000000005</v>
      </c>
      <c r="T260" s="29">
        <v>0.93600000000000005</v>
      </c>
      <c r="U260" s="32">
        <v>3.2</v>
      </c>
      <c r="V260" s="32">
        <v>3.2</v>
      </c>
      <c r="W260" s="32">
        <v>3.2</v>
      </c>
    </row>
    <row r="261" spans="1:23" s="34" customFormat="1" ht="12.75" customHeight="1">
      <c r="A261" s="28">
        <v>2007</v>
      </c>
      <c r="B261" s="30"/>
      <c r="C261" s="29">
        <v>2.07342</v>
      </c>
      <c r="D261" s="30">
        <v>1.361</v>
      </c>
      <c r="E261" s="29">
        <v>1.321</v>
      </c>
      <c r="F261" s="30">
        <v>1.292</v>
      </c>
      <c r="G261" s="29">
        <v>1.272</v>
      </c>
      <c r="H261" s="30">
        <v>1.2450000000000001</v>
      </c>
      <c r="I261" s="29">
        <v>1.204</v>
      </c>
      <c r="J261" s="29">
        <v>1.171</v>
      </c>
      <c r="K261" s="29">
        <v>1.153</v>
      </c>
      <c r="L261" s="29">
        <v>1.127</v>
      </c>
      <c r="M261" s="29">
        <v>1.0980000000000001</v>
      </c>
      <c r="N261" s="29">
        <v>1.0620000000000001</v>
      </c>
      <c r="O261" s="31">
        <v>1.028</v>
      </c>
      <c r="P261" s="31">
        <v>1</v>
      </c>
      <c r="Q261" s="31">
        <v>0.96299999999999997</v>
      </c>
      <c r="R261" s="31">
        <v>0.96899999999999997</v>
      </c>
      <c r="S261" s="30">
        <v>0.96299999999999997</v>
      </c>
      <c r="T261" s="29">
        <v>0.96299999999999997</v>
      </c>
      <c r="U261" s="32">
        <v>2.8</v>
      </c>
      <c r="V261" s="32">
        <v>2.9</v>
      </c>
      <c r="W261" s="32">
        <v>2.9</v>
      </c>
    </row>
    <row r="262" spans="1:23" s="34" customFormat="1" ht="12.75" customHeight="1">
      <c r="A262" s="28">
        <v>2008</v>
      </c>
      <c r="B262" s="30"/>
      <c r="C262" s="29">
        <v>2.1530300000000002</v>
      </c>
      <c r="D262" s="30">
        <v>1.413</v>
      </c>
      <c r="E262" s="29">
        <v>1.3720000000000001</v>
      </c>
      <c r="F262" s="30">
        <v>1.341</v>
      </c>
      <c r="G262" s="29">
        <v>1.321</v>
      </c>
      <c r="H262" s="30">
        <v>1.292</v>
      </c>
      <c r="I262" s="29">
        <v>1.25</v>
      </c>
      <c r="J262" s="29">
        <v>1.216</v>
      </c>
      <c r="K262" s="29">
        <v>1.1970000000000001</v>
      </c>
      <c r="L262" s="29">
        <v>1.17</v>
      </c>
      <c r="M262" s="29">
        <v>1.1399999999999999</v>
      </c>
      <c r="N262" s="29">
        <v>1.1020000000000001</v>
      </c>
      <c r="O262" s="31">
        <v>1.0680000000000001</v>
      </c>
      <c r="P262" s="31">
        <v>1.038</v>
      </c>
      <c r="Q262" s="31">
        <v>1</v>
      </c>
      <c r="R262" s="31">
        <v>1.0069999999999999</v>
      </c>
      <c r="S262" s="30">
        <v>1</v>
      </c>
      <c r="T262" s="29">
        <v>1</v>
      </c>
      <c r="U262" s="32">
        <v>3.8</v>
      </c>
      <c r="V262" s="32">
        <v>3.8</v>
      </c>
      <c r="W262" s="37">
        <v>3.8</v>
      </c>
    </row>
    <row r="263" spans="1:23" s="34" customFormat="1" ht="12.75" customHeight="1">
      <c r="A263" s="28">
        <v>2009</v>
      </c>
      <c r="B263" s="30"/>
      <c r="C263" s="29">
        <v>2.1389999999999998</v>
      </c>
      <c r="D263" s="30">
        <v>1.4039999999999999</v>
      </c>
      <c r="E263" s="29">
        <v>1.363</v>
      </c>
      <c r="F263" s="30">
        <v>1.333</v>
      </c>
      <c r="G263" s="29">
        <v>1.3120000000000001</v>
      </c>
      <c r="H263" s="30">
        <v>1.284</v>
      </c>
      <c r="I263" s="29">
        <v>1.242</v>
      </c>
      <c r="J263" s="29">
        <v>1.208</v>
      </c>
      <c r="K263" s="29">
        <v>1.1890000000000001</v>
      </c>
      <c r="L263" s="29">
        <v>1.163</v>
      </c>
      <c r="M263" s="29">
        <v>1.1319999999999999</v>
      </c>
      <c r="N263" s="29">
        <v>1.095</v>
      </c>
      <c r="O263" s="31">
        <v>1.0609999999999999</v>
      </c>
      <c r="P263" s="31">
        <v>1.032</v>
      </c>
      <c r="Q263" s="31">
        <v>0.99299999999999999</v>
      </c>
      <c r="R263" s="31">
        <v>1</v>
      </c>
      <c r="S263" s="30">
        <v>0.99299999999999999</v>
      </c>
      <c r="T263" s="29"/>
      <c r="U263" s="32">
        <v>-0.7</v>
      </c>
      <c r="V263" s="32">
        <v>-0.7</v>
      </c>
      <c r="W263" s="37"/>
    </row>
    <row r="264" spans="1:23" s="34" customFormat="1" ht="12.75" customHeight="1">
      <c r="A264" s="28">
        <v>2010</v>
      </c>
      <c r="B264" s="30"/>
      <c r="C264" s="29">
        <v>2.1709999999999998</v>
      </c>
      <c r="D264" s="30">
        <v>1.425</v>
      </c>
      <c r="E264" s="29">
        <v>1.3839999999999999</v>
      </c>
      <c r="F264" s="30">
        <v>1.353</v>
      </c>
      <c r="G264" s="29">
        <v>1.3320000000000001</v>
      </c>
      <c r="H264" s="30">
        <v>1.3029999999999999</v>
      </c>
      <c r="I264" s="29">
        <v>1.2609999999999999</v>
      </c>
      <c r="J264" s="29">
        <v>1.226</v>
      </c>
      <c r="K264" s="29">
        <v>1.2070000000000001</v>
      </c>
      <c r="L264" s="29">
        <v>1.18</v>
      </c>
      <c r="M264" s="29">
        <v>1.149</v>
      </c>
      <c r="N264" s="29">
        <v>1.1120000000000001</v>
      </c>
      <c r="O264" s="31">
        <v>1.077</v>
      </c>
      <c r="P264" s="31">
        <v>1.0469999999999999</v>
      </c>
      <c r="Q264" s="31">
        <v>1.008</v>
      </c>
      <c r="R264" s="31">
        <v>1.0149999999999999</v>
      </c>
      <c r="S264" s="30">
        <v>1.008</v>
      </c>
      <c r="T264" s="29"/>
      <c r="U264" s="32">
        <v>1.5</v>
      </c>
      <c r="V264" s="32">
        <v>1.5</v>
      </c>
      <c r="W264" s="37"/>
    </row>
    <row r="265" spans="1:23" s="34" customFormat="1" ht="12.75" customHeight="1">
      <c r="A265" s="28">
        <v>2011</v>
      </c>
      <c r="B265" s="30"/>
      <c r="C265" s="29">
        <v>2.2040000000000002</v>
      </c>
      <c r="D265" s="30">
        <v>1.446</v>
      </c>
      <c r="E265" s="29">
        <v>1.405</v>
      </c>
      <c r="F265" s="30">
        <v>1.373</v>
      </c>
      <c r="G265" s="29">
        <v>1.3520000000000001</v>
      </c>
      <c r="H265" s="30">
        <v>1.323</v>
      </c>
      <c r="I265" s="29">
        <v>1.28</v>
      </c>
      <c r="J265" s="29">
        <v>1.244</v>
      </c>
      <c r="K265" s="29">
        <v>1.2250000000000001</v>
      </c>
      <c r="L265" s="29">
        <v>1.198</v>
      </c>
      <c r="M265" s="29">
        <v>1.167</v>
      </c>
      <c r="N265" s="29">
        <v>1.129</v>
      </c>
      <c r="O265" s="31">
        <v>1.093</v>
      </c>
      <c r="P265" s="31">
        <v>1.0629999999999999</v>
      </c>
      <c r="Q265" s="31">
        <v>1.024</v>
      </c>
      <c r="R265" s="31">
        <v>1.03</v>
      </c>
      <c r="S265" s="30">
        <v>1.024</v>
      </c>
      <c r="T265" s="29"/>
      <c r="U265" s="32">
        <v>1.5</v>
      </c>
      <c r="V265" s="32">
        <v>1.6</v>
      </c>
      <c r="W265" s="37"/>
    </row>
    <row r="266" spans="1:23" s="34" customFormat="1" ht="12.75" customHeight="1">
      <c r="A266" s="28">
        <v>2012</v>
      </c>
      <c r="B266" s="30"/>
      <c r="C266" s="29">
        <v>2.2389999999999999</v>
      </c>
      <c r="D266" s="30">
        <v>1.4690000000000001</v>
      </c>
      <c r="E266" s="29">
        <v>1.427</v>
      </c>
      <c r="F266" s="30">
        <v>1.395</v>
      </c>
      <c r="G266" s="29">
        <v>1.3740000000000001</v>
      </c>
      <c r="H266" s="30">
        <v>1.3440000000000001</v>
      </c>
      <c r="I266" s="29">
        <v>1.3</v>
      </c>
      <c r="J266" s="29">
        <v>1.264</v>
      </c>
      <c r="K266" s="29">
        <v>1.2450000000000001</v>
      </c>
      <c r="L266" s="29">
        <v>1.2170000000000001</v>
      </c>
      <c r="M266" s="29">
        <v>1.1850000000000001</v>
      </c>
      <c r="N266" s="29">
        <v>1.1459999999999999</v>
      </c>
      <c r="O266" s="31">
        <v>1.111</v>
      </c>
      <c r="P266" s="31">
        <v>1.08</v>
      </c>
      <c r="Q266" s="31">
        <v>1.04</v>
      </c>
      <c r="R266" s="31">
        <v>1.0469999999999999</v>
      </c>
      <c r="S266" s="30">
        <v>1.04</v>
      </c>
      <c r="T266" s="29"/>
      <c r="U266" s="32">
        <v>1.6</v>
      </c>
      <c r="V266" s="32">
        <v>1.6</v>
      </c>
      <c r="W266" s="37"/>
    </row>
    <row r="267" spans="1:23" s="34" customFormat="1" ht="12.75" customHeight="1">
      <c r="A267" s="28">
        <v>2013</v>
      </c>
      <c r="B267" s="30"/>
      <c r="C267" s="29">
        <v>2.2759999999999998</v>
      </c>
      <c r="D267" s="30">
        <v>1.4930000000000001</v>
      </c>
      <c r="E267" s="29">
        <v>1.4510000000000001</v>
      </c>
      <c r="F267" s="30">
        <v>1.4179999999999999</v>
      </c>
      <c r="G267" s="29">
        <v>1.3959999999999999</v>
      </c>
      <c r="H267" s="30">
        <v>1.3660000000000001</v>
      </c>
      <c r="I267" s="29">
        <v>1.3220000000000001</v>
      </c>
      <c r="J267" s="29">
        <v>1.2849999999999999</v>
      </c>
      <c r="K267" s="29">
        <v>1.2649999999999999</v>
      </c>
      <c r="L267" s="29">
        <v>1.2370000000000001</v>
      </c>
      <c r="M267" s="29">
        <v>1.2050000000000001</v>
      </c>
      <c r="N267" s="29">
        <v>1.165</v>
      </c>
      <c r="O267" s="31">
        <v>1.129</v>
      </c>
      <c r="P267" s="31">
        <v>1.0980000000000001</v>
      </c>
      <c r="Q267" s="31">
        <v>1.0569999999999999</v>
      </c>
      <c r="R267" s="31">
        <v>1.0640000000000001</v>
      </c>
      <c r="S267" s="30">
        <v>1.0569999999999999</v>
      </c>
      <c r="T267" s="29"/>
      <c r="U267" s="32">
        <v>1.7</v>
      </c>
      <c r="V267" s="32">
        <v>1.6</v>
      </c>
      <c r="W267" s="37"/>
    </row>
    <row r="268" spans="1:23" s="34" customFormat="1" ht="12.75" customHeight="1">
      <c r="A268" s="28">
        <v>2014</v>
      </c>
      <c r="B268" s="30"/>
      <c r="C268" s="29">
        <v>2.3140000000000001</v>
      </c>
      <c r="D268" s="30">
        <v>1.518</v>
      </c>
      <c r="E268" s="29">
        <v>1.4750000000000001</v>
      </c>
      <c r="F268" s="30">
        <v>1.4419999999999999</v>
      </c>
      <c r="G268" s="29">
        <v>1.42</v>
      </c>
      <c r="H268" s="30">
        <v>1.389</v>
      </c>
      <c r="I268" s="29">
        <v>1.3440000000000001</v>
      </c>
      <c r="J268" s="29">
        <v>1.3069999999999999</v>
      </c>
      <c r="K268" s="29">
        <v>1.286</v>
      </c>
      <c r="L268" s="29">
        <v>1.258</v>
      </c>
      <c r="M268" s="29">
        <v>1.2250000000000001</v>
      </c>
      <c r="N268" s="29">
        <v>1.1850000000000001</v>
      </c>
      <c r="O268" s="31">
        <v>1.1479999999999999</v>
      </c>
      <c r="P268" s="31">
        <v>1.1160000000000001</v>
      </c>
      <c r="Q268" s="31">
        <v>1.075</v>
      </c>
      <c r="R268" s="31">
        <v>1.0820000000000001</v>
      </c>
      <c r="S268" s="30">
        <v>1.075</v>
      </c>
      <c r="T268" s="29"/>
      <c r="U268" s="32">
        <v>1.7</v>
      </c>
      <c r="V268" s="32">
        <v>1.7</v>
      </c>
      <c r="W268" s="37"/>
    </row>
    <row r="269" spans="1:23" s="34" customFormat="1" ht="12.75" customHeight="1">
      <c r="A269" s="28">
        <v>2015</v>
      </c>
      <c r="B269" s="30"/>
      <c r="C269" s="29">
        <v>2.3519999999999999</v>
      </c>
      <c r="D269" s="30">
        <v>1.5429999999999999</v>
      </c>
      <c r="E269" s="29">
        <v>1.4990000000000001</v>
      </c>
      <c r="F269" s="30">
        <v>1.4650000000000001</v>
      </c>
      <c r="G269" s="29">
        <v>1.4430000000000001</v>
      </c>
      <c r="H269" s="30">
        <v>1.4119999999999999</v>
      </c>
      <c r="I269" s="29">
        <v>1.3660000000000001</v>
      </c>
      <c r="J269" s="29">
        <v>1.3280000000000001</v>
      </c>
      <c r="K269" s="29">
        <v>1.3069999999999999</v>
      </c>
      <c r="L269" s="29">
        <v>1.278</v>
      </c>
      <c r="M269" s="29">
        <v>1.2450000000000001</v>
      </c>
      <c r="N269" s="29">
        <v>1.204</v>
      </c>
      <c r="O269" s="31">
        <v>1.167</v>
      </c>
      <c r="P269" s="31">
        <v>1.1339999999999999</v>
      </c>
      <c r="Q269" s="31">
        <v>1.0920000000000001</v>
      </c>
      <c r="R269" s="31">
        <v>1.1000000000000001</v>
      </c>
      <c r="S269" s="30">
        <v>1.0920000000000001</v>
      </c>
      <c r="T269" s="29"/>
      <c r="U269" s="32">
        <v>1.6</v>
      </c>
      <c r="V269" s="32">
        <v>1.6</v>
      </c>
      <c r="W269" s="37"/>
    </row>
    <row r="270" spans="1:23" s="34" customFormat="1" ht="12.75" customHeight="1">
      <c r="A270" s="28">
        <v>2016</v>
      </c>
      <c r="B270" s="30"/>
      <c r="C270" s="29">
        <v>2.391</v>
      </c>
      <c r="D270" s="30">
        <v>1.569</v>
      </c>
      <c r="E270" s="29">
        <v>1.524</v>
      </c>
      <c r="F270" s="30">
        <v>1.49</v>
      </c>
      <c r="G270" s="29">
        <v>1.4670000000000001</v>
      </c>
      <c r="H270" s="30">
        <v>1.4350000000000001</v>
      </c>
      <c r="I270" s="29">
        <v>1.389</v>
      </c>
      <c r="J270" s="29">
        <v>1.35</v>
      </c>
      <c r="K270" s="29">
        <v>1.329</v>
      </c>
      <c r="L270" s="29">
        <v>1.2989999999999999</v>
      </c>
      <c r="M270" s="29">
        <v>1.266</v>
      </c>
      <c r="N270" s="29">
        <v>1.224</v>
      </c>
      <c r="O270" s="31">
        <v>1.1859999999999999</v>
      </c>
      <c r="P270" s="31">
        <v>1.153</v>
      </c>
      <c r="Q270" s="31">
        <v>1.111</v>
      </c>
      <c r="R270" s="31">
        <v>1.1180000000000001</v>
      </c>
      <c r="S270" s="30">
        <v>1.111</v>
      </c>
      <c r="T270" s="29"/>
      <c r="U270" s="32">
        <v>1.7</v>
      </c>
      <c r="V270" s="32">
        <v>1.7</v>
      </c>
      <c r="W270" s="37"/>
    </row>
    <row r="271" spans="1:23" s="34" customFormat="1" ht="12.75" customHeight="1">
      <c r="A271" s="28">
        <v>2017</v>
      </c>
      <c r="B271" s="30"/>
      <c r="C271" s="29">
        <v>2.4300000000000002</v>
      </c>
      <c r="D271" s="30">
        <v>1.5940000000000001</v>
      </c>
      <c r="E271" s="29">
        <v>1.5489999999999999</v>
      </c>
      <c r="F271" s="30">
        <v>1.514</v>
      </c>
      <c r="G271" s="29">
        <v>1.4910000000000001</v>
      </c>
      <c r="H271" s="30">
        <v>1.4590000000000001</v>
      </c>
      <c r="I271" s="29">
        <v>1.411</v>
      </c>
      <c r="J271" s="29">
        <v>1.3720000000000001</v>
      </c>
      <c r="K271" s="29">
        <v>1.351</v>
      </c>
      <c r="L271" s="29">
        <v>1.321</v>
      </c>
      <c r="M271" s="29">
        <v>1.286</v>
      </c>
      <c r="N271" s="29">
        <v>1.244</v>
      </c>
      <c r="O271" s="31">
        <v>1.2050000000000001</v>
      </c>
      <c r="P271" s="31">
        <v>1.1719999999999999</v>
      </c>
      <c r="Q271" s="31">
        <v>1.129</v>
      </c>
      <c r="R271" s="31">
        <v>1.1359999999999999</v>
      </c>
      <c r="S271" s="30">
        <v>1.129</v>
      </c>
      <c r="T271" s="29"/>
      <c r="U271" s="32">
        <v>1.6</v>
      </c>
      <c r="V271" s="32">
        <v>1.6</v>
      </c>
      <c r="W271" s="37"/>
    </row>
    <row r="272" spans="1:23" s="34" customFormat="1" ht="12.75" customHeight="1">
      <c r="A272" s="28">
        <v>2018</v>
      </c>
      <c r="B272" s="30"/>
      <c r="C272" s="29">
        <v>2.4700000000000002</v>
      </c>
      <c r="D272" s="30">
        <v>1.621</v>
      </c>
      <c r="E272" s="29">
        <v>1.5740000000000001</v>
      </c>
      <c r="F272" s="30">
        <v>1.5389999999999999</v>
      </c>
      <c r="G272" s="29">
        <v>1.5149999999999999</v>
      </c>
      <c r="H272" s="30">
        <v>1.4830000000000001</v>
      </c>
      <c r="I272" s="29">
        <v>1.4339999999999999</v>
      </c>
      <c r="J272" s="29">
        <v>1.395</v>
      </c>
      <c r="K272" s="29">
        <v>1.373</v>
      </c>
      <c r="L272" s="29">
        <v>1.3420000000000001</v>
      </c>
      <c r="M272" s="29">
        <v>1.3080000000000001</v>
      </c>
      <c r="N272" s="29">
        <v>1.2649999999999999</v>
      </c>
      <c r="O272" s="31">
        <v>1.2250000000000001</v>
      </c>
      <c r="P272" s="31">
        <v>1.1910000000000001</v>
      </c>
      <c r="Q272" s="31">
        <v>1.147</v>
      </c>
      <c r="R272" s="31">
        <v>1.155</v>
      </c>
      <c r="S272" s="30">
        <v>1.147</v>
      </c>
      <c r="T272" s="29"/>
      <c r="U272" s="32">
        <v>1.6</v>
      </c>
      <c r="V272" s="32">
        <v>1.6</v>
      </c>
      <c r="W272" s="37"/>
    </row>
    <row r="273" spans="1:23" s="34" customFormat="1" ht="12.75" customHeight="1">
      <c r="A273" s="28">
        <v>2019</v>
      </c>
      <c r="B273" s="30"/>
      <c r="C273" s="29">
        <v>2.5110000000000001</v>
      </c>
      <c r="D273" s="30">
        <v>1.6479999999999999</v>
      </c>
      <c r="E273" s="29">
        <v>1.6</v>
      </c>
      <c r="F273" s="30">
        <v>1.5640000000000001</v>
      </c>
      <c r="G273" s="29">
        <v>1.54</v>
      </c>
      <c r="H273" s="30">
        <v>1.5069999999999999</v>
      </c>
      <c r="I273" s="29">
        <v>1.458</v>
      </c>
      <c r="J273" s="29">
        <v>1.4179999999999999</v>
      </c>
      <c r="K273" s="29">
        <v>1.3959999999999999</v>
      </c>
      <c r="L273" s="29">
        <v>1.365</v>
      </c>
      <c r="M273" s="29">
        <v>1.329</v>
      </c>
      <c r="N273" s="29">
        <v>1.286</v>
      </c>
      <c r="O273" s="31">
        <v>1.246</v>
      </c>
      <c r="P273" s="31">
        <v>1.2110000000000001</v>
      </c>
      <c r="Q273" s="31">
        <v>1.1659999999999999</v>
      </c>
      <c r="R273" s="31">
        <v>1.1739999999999999</v>
      </c>
      <c r="S273" s="30">
        <v>1.1659999999999999</v>
      </c>
      <c r="T273" s="29"/>
      <c r="U273" s="32">
        <v>1.7</v>
      </c>
      <c r="V273" s="32">
        <v>1.7</v>
      </c>
      <c r="W273" s="37"/>
    </row>
    <row r="274" spans="1:23" s="34" customFormat="1" ht="12.75" customHeight="1">
      <c r="A274" s="28"/>
      <c r="B274" s="30"/>
      <c r="C274" s="30"/>
      <c r="D274" s="29"/>
      <c r="E274" s="30"/>
      <c r="F274" s="29"/>
      <c r="G274" s="30"/>
      <c r="H274" s="29"/>
      <c r="I274" s="29"/>
      <c r="J274" s="29"/>
      <c r="K274" s="29"/>
      <c r="L274" s="29"/>
      <c r="M274" s="29"/>
      <c r="N274" s="29"/>
      <c r="O274" s="29"/>
      <c r="P274" s="31"/>
      <c r="Q274" s="30"/>
      <c r="R274" s="30"/>
      <c r="S274" s="29"/>
      <c r="T274" s="32"/>
      <c r="U274" s="32"/>
      <c r="V274" s="37"/>
      <c r="W274" s="37"/>
    </row>
    <row r="275" spans="1:23" ht="81.75" customHeight="1">
      <c r="B275" s="152" t="s">
        <v>105</v>
      </c>
      <c r="C275" s="153"/>
      <c r="D275" s="153"/>
      <c r="E275" s="153"/>
      <c r="F275" s="153"/>
      <c r="G275" s="153"/>
      <c r="H275" s="153"/>
      <c r="I275" s="153"/>
      <c r="J275" s="153"/>
      <c r="K275" s="153"/>
      <c r="L275" s="154"/>
      <c r="M275" s="41"/>
      <c r="N275" s="41"/>
      <c r="O275" s="14"/>
      <c r="P275" s="42"/>
      <c r="Q275" s="42"/>
      <c r="R275" s="42"/>
      <c r="S275" s="42"/>
      <c r="U275" s="43"/>
      <c r="V275" s="43"/>
      <c r="W275" s="43"/>
    </row>
    <row r="276" spans="1:23" ht="12.75" customHeight="1">
      <c r="B276" s="155"/>
      <c r="C276" s="156"/>
      <c r="D276" s="156"/>
      <c r="E276" s="156"/>
      <c r="F276" s="156"/>
      <c r="G276" s="156"/>
      <c r="H276" s="156"/>
      <c r="I276" s="156"/>
      <c r="J276" s="156"/>
      <c r="K276" s="156"/>
      <c r="L276" s="156"/>
      <c r="M276" s="14"/>
      <c r="N276" s="14"/>
      <c r="O276" s="14"/>
      <c r="P276" s="42"/>
      <c r="Q276" s="42"/>
      <c r="R276" s="42"/>
      <c r="S276" s="44"/>
    </row>
    <row r="277" spans="1:23" ht="12.75" customHeight="1">
      <c r="B277" s="157" t="s">
        <v>106</v>
      </c>
      <c r="C277" s="158"/>
      <c r="D277" s="158"/>
      <c r="E277" s="158"/>
      <c r="F277" s="158"/>
      <c r="G277" s="158"/>
      <c r="H277" s="158"/>
      <c r="I277" s="158"/>
      <c r="J277" s="158"/>
      <c r="K277" s="158"/>
      <c r="L277" s="159"/>
      <c r="M277" s="14"/>
      <c r="N277" s="14"/>
      <c r="O277" s="14"/>
      <c r="P277" s="42"/>
      <c r="Q277" s="42"/>
      <c r="R277" s="42"/>
      <c r="S277" s="44"/>
    </row>
    <row r="278" spans="1:23" ht="12.75" customHeight="1">
      <c r="B278" s="155"/>
      <c r="C278" s="156"/>
      <c r="D278" s="156"/>
      <c r="E278" s="156"/>
      <c r="F278" s="156"/>
      <c r="G278" s="156"/>
      <c r="H278" s="156"/>
      <c r="I278" s="156"/>
      <c r="J278" s="156"/>
      <c r="K278" s="156"/>
      <c r="L278" s="156"/>
      <c r="M278" s="14"/>
      <c r="N278" s="14"/>
      <c r="O278" s="14"/>
      <c r="P278" s="42"/>
      <c r="Q278" s="42"/>
      <c r="R278" s="42"/>
      <c r="S278" s="44"/>
    </row>
    <row r="279" spans="1:23" ht="36" customHeight="1">
      <c r="B279" s="160" t="s">
        <v>107</v>
      </c>
      <c r="C279" s="158"/>
      <c r="D279" s="158"/>
      <c r="E279" s="158"/>
      <c r="F279" s="158"/>
      <c r="G279" s="158"/>
      <c r="H279" s="158"/>
      <c r="I279" s="158"/>
      <c r="J279" s="158"/>
      <c r="K279" s="158"/>
      <c r="L279" s="159"/>
      <c r="M279" s="14"/>
      <c r="N279" s="14"/>
      <c r="O279" s="14"/>
      <c r="P279" s="42"/>
      <c r="Q279" s="42"/>
      <c r="R279" s="42"/>
      <c r="S279" s="44"/>
    </row>
    <row r="280" spans="1:23" ht="36" customHeight="1">
      <c r="B280" s="160" t="s">
        <v>108</v>
      </c>
      <c r="C280" s="158"/>
      <c r="D280" s="158"/>
      <c r="E280" s="158"/>
      <c r="F280" s="158"/>
      <c r="G280" s="158"/>
      <c r="H280" s="158"/>
      <c r="I280" s="158"/>
      <c r="J280" s="158"/>
      <c r="K280" s="158"/>
      <c r="L280" s="159"/>
      <c r="M280" s="14"/>
      <c r="N280" s="14"/>
      <c r="O280" s="14"/>
      <c r="P280" s="42"/>
      <c r="Q280" s="42"/>
      <c r="R280" s="42"/>
      <c r="S280" s="44"/>
    </row>
    <row r="281" spans="1:23" ht="12.75" customHeight="1">
      <c r="B281" s="120"/>
      <c r="C281" s="121"/>
      <c r="D281" s="121"/>
      <c r="E281" s="121"/>
      <c r="F281" s="121"/>
      <c r="G281" s="121"/>
      <c r="H281" s="121"/>
      <c r="I281" s="121"/>
      <c r="J281" s="121"/>
      <c r="K281" s="121"/>
      <c r="L281" s="121"/>
      <c r="M281" s="14"/>
      <c r="N281" s="14"/>
      <c r="O281" s="14"/>
      <c r="P281" s="42"/>
      <c r="Q281" s="42"/>
      <c r="R281" s="42"/>
      <c r="S281" s="44"/>
    </row>
    <row r="282" spans="1:23" ht="12.75" customHeight="1">
      <c r="B282" s="150" t="s">
        <v>109</v>
      </c>
      <c r="C282" s="151"/>
      <c r="D282" s="151"/>
      <c r="E282" s="151"/>
      <c r="F282" s="151"/>
      <c r="G282" s="151"/>
      <c r="H282" s="151"/>
      <c r="I282" s="151"/>
      <c r="J282" s="151"/>
      <c r="K282" s="151"/>
      <c r="L282" s="151"/>
      <c r="M282" s="14"/>
      <c r="N282" s="14"/>
      <c r="O282" s="14"/>
      <c r="P282" s="42"/>
      <c r="Q282" s="42"/>
      <c r="R282" s="42"/>
      <c r="S282" s="44"/>
    </row>
    <row r="283" spans="1:23" ht="12.75" customHeight="1">
      <c r="B283" s="150" t="s">
        <v>110</v>
      </c>
      <c r="C283" s="151"/>
      <c r="D283" s="151"/>
      <c r="E283" s="151"/>
      <c r="F283" s="151"/>
      <c r="G283" s="151"/>
      <c r="H283" s="151"/>
      <c r="I283" s="151"/>
      <c r="J283" s="151"/>
      <c r="K283" s="151"/>
      <c r="L283" s="151"/>
      <c r="M283" s="14"/>
      <c r="N283" s="14"/>
      <c r="O283" s="14"/>
      <c r="P283" s="42"/>
      <c r="Q283" s="42"/>
      <c r="R283" s="42"/>
      <c r="S283" s="44"/>
    </row>
    <row r="284" spans="1:23" ht="12.75" customHeight="1">
      <c r="B284" s="150" t="s">
        <v>111</v>
      </c>
      <c r="C284" s="151"/>
      <c r="D284" s="151"/>
      <c r="E284" s="151"/>
      <c r="F284" s="151"/>
      <c r="G284" s="151"/>
      <c r="H284" s="151"/>
      <c r="I284" s="151"/>
      <c r="J284" s="151"/>
      <c r="K284" s="151"/>
      <c r="L284" s="151"/>
      <c r="M284" s="14"/>
      <c r="N284" s="14"/>
      <c r="O284" s="14"/>
      <c r="P284" s="42"/>
      <c r="Q284" s="42"/>
      <c r="R284" s="42"/>
      <c r="S284" s="44"/>
    </row>
    <row r="285" spans="1:23" ht="12.75" customHeight="1">
      <c r="B285" s="150" t="s">
        <v>112</v>
      </c>
      <c r="C285" s="151"/>
      <c r="D285" s="151"/>
      <c r="E285" s="151"/>
      <c r="F285" s="151"/>
      <c r="G285" s="151"/>
      <c r="H285" s="151"/>
      <c r="I285" s="151"/>
      <c r="J285" s="151"/>
      <c r="K285" s="151"/>
      <c r="L285" s="151"/>
      <c r="M285" s="14"/>
      <c r="N285" s="14"/>
      <c r="O285" s="14"/>
      <c r="P285" s="42"/>
      <c r="Q285" s="42"/>
      <c r="R285" s="42"/>
      <c r="S285" s="44"/>
    </row>
    <row r="286" spans="1:23" ht="12.75" customHeight="1">
      <c r="B286" s="150" t="s">
        <v>113</v>
      </c>
      <c r="C286" s="151"/>
      <c r="D286" s="151"/>
      <c r="E286" s="151"/>
      <c r="F286" s="151"/>
      <c r="G286" s="151"/>
      <c r="H286" s="151"/>
      <c r="I286" s="151"/>
      <c r="J286" s="151"/>
      <c r="K286" s="151"/>
      <c r="L286" s="151"/>
      <c r="M286" s="14"/>
      <c r="N286" s="14"/>
      <c r="O286" s="14"/>
      <c r="P286" s="42"/>
      <c r="Q286" s="42"/>
      <c r="R286" s="42"/>
      <c r="S286" s="44"/>
    </row>
    <row r="287" spans="1:23" ht="12.75" customHeight="1">
      <c r="B287" s="150" t="s">
        <v>114</v>
      </c>
      <c r="C287" s="151"/>
      <c r="D287" s="151"/>
      <c r="E287" s="151"/>
      <c r="F287" s="151"/>
      <c r="G287" s="151"/>
      <c r="H287" s="151"/>
      <c r="I287" s="151"/>
      <c r="J287" s="151"/>
      <c r="K287" s="151"/>
      <c r="L287" s="151"/>
      <c r="M287" s="14"/>
      <c r="N287" s="14"/>
      <c r="O287" s="14"/>
      <c r="P287" s="42"/>
      <c r="Q287" s="42"/>
      <c r="R287" s="42"/>
      <c r="S287" s="44"/>
    </row>
    <row r="288" spans="1:23" ht="12.75" customHeight="1">
      <c r="B288" s="150" t="s">
        <v>115</v>
      </c>
      <c r="C288" s="151"/>
      <c r="D288" s="151"/>
      <c r="E288" s="151"/>
      <c r="F288" s="151"/>
      <c r="G288" s="151"/>
      <c r="H288" s="151"/>
      <c r="I288" s="151"/>
      <c r="J288" s="151"/>
      <c r="K288" s="151"/>
      <c r="L288" s="151"/>
      <c r="M288" s="14"/>
      <c r="N288" s="14"/>
      <c r="O288" s="14"/>
      <c r="P288" s="42"/>
      <c r="Q288" s="42"/>
      <c r="R288" s="42"/>
      <c r="S288" s="44"/>
    </row>
    <row r="289" spans="1:19" ht="15">
      <c r="B289" s="150" t="s">
        <v>116</v>
      </c>
      <c r="C289" s="151"/>
      <c r="D289" s="151"/>
      <c r="E289" s="151"/>
      <c r="F289" s="151"/>
      <c r="G289" s="151"/>
      <c r="H289" s="151"/>
      <c r="I289" s="151"/>
      <c r="J289" s="151"/>
      <c r="K289" s="151"/>
      <c r="L289" s="151"/>
      <c r="M289" s="14"/>
      <c r="N289" s="14"/>
      <c r="O289" s="14"/>
      <c r="P289" s="42"/>
      <c r="Q289" s="42"/>
      <c r="R289" s="42"/>
      <c r="S289" s="44"/>
    </row>
    <row r="290" spans="1:19" ht="15">
      <c r="B290" s="150" t="s">
        <v>117</v>
      </c>
      <c r="C290" s="151"/>
      <c r="D290" s="151"/>
      <c r="E290" s="151"/>
      <c r="F290" s="151"/>
      <c r="G290" s="151"/>
      <c r="H290" s="151"/>
      <c r="I290" s="151"/>
      <c r="J290" s="151"/>
      <c r="K290" s="151"/>
      <c r="L290" s="151"/>
      <c r="M290" s="14"/>
      <c r="N290" s="14"/>
      <c r="O290" s="14"/>
      <c r="P290" s="42"/>
      <c r="Q290" s="42"/>
      <c r="R290" s="42"/>
      <c r="S290" s="44"/>
    </row>
    <row r="291" spans="1:19" ht="15">
      <c r="B291" s="150" t="s">
        <v>118</v>
      </c>
      <c r="C291" s="151"/>
      <c r="D291" s="151"/>
      <c r="E291" s="151"/>
      <c r="F291" s="151"/>
      <c r="G291" s="151"/>
      <c r="H291" s="151"/>
      <c r="I291" s="151"/>
      <c r="J291" s="151"/>
      <c r="K291" s="151"/>
      <c r="L291" s="151"/>
      <c r="M291" s="14"/>
      <c r="N291" s="14"/>
      <c r="O291" s="14"/>
      <c r="P291" s="42"/>
      <c r="Q291" s="42"/>
      <c r="R291" s="42"/>
      <c r="S291" s="44"/>
    </row>
    <row r="292" spans="1:19" ht="15">
      <c r="B292" s="150" t="s">
        <v>119</v>
      </c>
      <c r="C292" s="151"/>
      <c r="D292" s="151"/>
      <c r="E292" s="151"/>
      <c r="F292" s="151"/>
      <c r="G292" s="151"/>
      <c r="H292" s="151"/>
      <c r="I292" s="151"/>
      <c r="J292" s="151"/>
      <c r="K292" s="151"/>
      <c r="L292" s="151"/>
      <c r="M292" s="14"/>
      <c r="N292" s="14"/>
      <c r="O292" s="14"/>
      <c r="P292" s="42"/>
      <c r="Q292" s="42"/>
      <c r="R292" s="42"/>
      <c r="S292" s="44"/>
    </row>
    <row r="293" spans="1:19" ht="15">
      <c r="B293" s="150" t="s">
        <v>120</v>
      </c>
      <c r="C293" s="151"/>
      <c r="D293" s="151"/>
      <c r="E293" s="151"/>
      <c r="F293" s="151"/>
      <c r="G293" s="151"/>
      <c r="H293" s="151"/>
      <c r="I293" s="151"/>
      <c r="J293" s="151"/>
      <c r="K293" s="151"/>
      <c r="L293" s="151"/>
      <c r="M293" s="14"/>
      <c r="N293" s="14"/>
      <c r="O293" s="14"/>
      <c r="P293" s="42"/>
      <c r="Q293" s="42"/>
      <c r="R293" s="42"/>
      <c r="S293" s="44"/>
    </row>
    <row r="294" spans="1:19" ht="15">
      <c r="B294" s="150" t="s">
        <v>121</v>
      </c>
      <c r="C294" s="151"/>
      <c r="D294" s="151"/>
      <c r="E294" s="151"/>
      <c r="F294" s="151"/>
      <c r="G294" s="151"/>
      <c r="H294" s="151"/>
      <c r="I294" s="151"/>
      <c r="J294" s="151"/>
      <c r="K294" s="151"/>
      <c r="L294" s="151"/>
      <c r="M294" s="14"/>
      <c r="N294" s="14"/>
      <c r="O294" s="14"/>
      <c r="P294" s="42"/>
      <c r="Q294" s="42"/>
      <c r="R294" s="42"/>
      <c r="S294" s="44"/>
    </row>
    <row r="295" spans="1:19" ht="15">
      <c r="B295" s="150" t="s">
        <v>122</v>
      </c>
      <c r="C295" s="151"/>
      <c r="D295" s="151"/>
      <c r="E295" s="151"/>
      <c r="F295" s="151"/>
      <c r="G295" s="151"/>
      <c r="H295" s="151"/>
      <c r="I295" s="151"/>
      <c r="J295" s="151"/>
      <c r="K295" s="151"/>
      <c r="L295" s="151"/>
      <c r="M295" s="14"/>
      <c r="N295" s="14"/>
      <c r="O295" s="14"/>
      <c r="P295" s="42"/>
      <c r="Q295" s="42"/>
      <c r="R295" s="42"/>
      <c r="S295" s="44"/>
    </row>
    <row r="296" spans="1:19" ht="15">
      <c r="B296" s="150" t="s">
        <v>123</v>
      </c>
      <c r="C296" s="151"/>
      <c r="D296" s="151"/>
      <c r="E296" s="151"/>
      <c r="F296" s="151"/>
      <c r="G296" s="151"/>
      <c r="H296" s="151"/>
      <c r="I296" s="151"/>
      <c r="J296" s="151"/>
      <c r="K296" s="151"/>
      <c r="L296" s="151"/>
      <c r="M296" s="14"/>
      <c r="N296" s="14"/>
      <c r="O296" s="14"/>
      <c r="P296" s="42"/>
      <c r="Q296" s="42"/>
      <c r="R296" s="42"/>
      <c r="S296" s="44"/>
    </row>
    <row r="297" spans="1:19" ht="15">
      <c r="B297" s="150"/>
      <c r="C297" s="151"/>
      <c r="D297" s="151"/>
      <c r="E297" s="151"/>
      <c r="F297" s="151"/>
      <c r="G297" s="151"/>
      <c r="H297" s="151"/>
      <c r="I297" s="151"/>
      <c r="J297" s="151"/>
      <c r="K297" s="151"/>
      <c r="L297" s="151"/>
      <c r="M297" s="14"/>
      <c r="N297" s="14"/>
      <c r="O297" s="14"/>
      <c r="P297" s="42"/>
      <c r="Q297" s="42"/>
      <c r="R297" s="42"/>
      <c r="S297" s="44"/>
    </row>
    <row r="298" spans="1:19" ht="15">
      <c r="B298" s="150" t="s">
        <v>124</v>
      </c>
      <c r="C298" s="151"/>
      <c r="D298" s="151"/>
      <c r="E298" s="151"/>
      <c r="F298" s="151"/>
      <c r="G298" s="151"/>
      <c r="H298" s="151"/>
      <c r="I298" s="151"/>
      <c r="J298" s="151"/>
      <c r="K298" s="151"/>
      <c r="L298" s="151"/>
      <c r="M298" s="14"/>
      <c r="N298" s="14"/>
      <c r="O298" s="14"/>
      <c r="P298" s="42"/>
      <c r="Q298" s="42"/>
      <c r="R298" s="42"/>
      <c r="S298" s="44"/>
    </row>
    <row r="299" spans="1:19" ht="15">
      <c r="B299" s="150"/>
      <c r="C299" s="151"/>
      <c r="D299" s="151"/>
      <c r="E299" s="151"/>
      <c r="F299" s="151"/>
      <c r="G299" s="151"/>
      <c r="H299" s="151"/>
      <c r="I299" s="151"/>
      <c r="J299" s="151"/>
      <c r="K299" s="151"/>
      <c r="L299" s="151"/>
      <c r="M299" s="14"/>
      <c r="N299" s="14"/>
      <c r="O299" s="14"/>
      <c r="P299" s="42"/>
      <c r="Q299" s="42"/>
      <c r="R299" s="42"/>
      <c r="S299" s="44"/>
    </row>
    <row r="300" spans="1:19" ht="15">
      <c r="B300" s="150" t="s">
        <v>125</v>
      </c>
      <c r="C300" s="151"/>
      <c r="D300" s="151"/>
      <c r="E300" s="151"/>
      <c r="F300" s="151"/>
      <c r="G300" s="151"/>
      <c r="H300" s="151"/>
      <c r="I300" s="151"/>
      <c r="J300" s="151"/>
      <c r="K300" s="151"/>
      <c r="L300" s="151"/>
      <c r="M300" s="14"/>
      <c r="N300" s="14"/>
      <c r="O300" s="14"/>
      <c r="P300" s="42"/>
      <c r="Q300" s="42"/>
      <c r="R300" s="42"/>
      <c r="S300" s="44"/>
    </row>
    <row r="301" spans="1:19" ht="15">
      <c r="B301" s="150"/>
      <c r="C301" s="151"/>
      <c r="D301" s="151"/>
      <c r="E301" s="151"/>
      <c r="F301" s="151"/>
      <c r="G301" s="151"/>
      <c r="H301" s="151"/>
      <c r="I301" s="151"/>
      <c r="J301" s="151"/>
      <c r="K301" s="151"/>
      <c r="L301" s="151"/>
      <c r="M301" s="14"/>
      <c r="N301" s="14"/>
      <c r="O301" s="14"/>
      <c r="P301" s="42"/>
      <c r="Q301" s="42"/>
      <c r="R301" s="42"/>
      <c r="S301" s="44"/>
    </row>
    <row r="302" spans="1:19" ht="15">
      <c r="B302" s="150" t="s">
        <v>126</v>
      </c>
      <c r="C302" s="151"/>
      <c r="D302" s="151"/>
      <c r="E302" s="151"/>
      <c r="F302" s="151"/>
      <c r="G302" s="151"/>
      <c r="H302" s="151"/>
      <c r="I302" s="151"/>
      <c r="J302" s="151"/>
      <c r="K302" s="151"/>
      <c r="L302" s="151"/>
      <c r="M302" s="14"/>
      <c r="N302" s="14"/>
      <c r="O302" s="14"/>
      <c r="P302" s="42"/>
      <c r="Q302" s="42"/>
      <c r="R302" s="42"/>
      <c r="S302" s="44"/>
    </row>
    <row r="303" spans="1:19" ht="15">
      <c r="B303" s="150" t="s">
        <v>127</v>
      </c>
      <c r="C303" s="151"/>
      <c r="D303" s="151"/>
      <c r="E303" s="151"/>
      <c r="F303" s="151"/>
      <c r="G303" s="151"/>
      <c r="H303" s="151"/>
      <c r="I303" s="151"/>
      <c r="J303" s="151"/>
      <c r="K303" s="151"/>
      <c r="L303" s="151"/>
      <c r="M303" s="14"/>
      <c r="N303" s="14"/>
      <c r="O303" s="14"/>
      <c r="P303" s="42"/>
      <c r="Q303" s="42"/>
      <c r="R303" s="42"/>
      <c r="S303" s="44"/>
    </row>
    <row r="304" spans="1:19" s="49" customFormat="1" ht="12">
      <c r="A304" s="45"/>
      <c r="B304" s="150" t="s">
        <v>128</v>
      </c>
      <c r="C304" s="151"/>
      <c r="D304" s="151"/>
      <c r="E304" s="151"/>
      <c r="F304" s="151"/>
      <c r="G304" s="151"/>
      <c r="H304" s="151"/>
      <c r="I304" s="151"/>
      <c r="J304" s="151"/>
      <c r="K304" s="151"/>
      <c r="L304" s="151"/>
      <c r="M304" s="46"/>
      <c r="N304" s="46"/>
      <c r="O304" s="46"/>
      <c r="P304" s="47"/>
      <c r="Q304" s="47"/>
      <c r="R304" s="48"/>
    </row>
    <row r="305" spans="1:23" ht="12.75" customHeight="1">
      <c r="B305" s="150" t="s">
        <v>129</v>
      </c>
      <c r="C305" s="151"/>
      <c r="D305" s="151"/>
      <c r="E305" s="151"/>
      <c r="F305" s="151"/>
      <c r="G305" s="151"/>
      <c r="H305" s="151"/>
      <c r="I305" s="151"/>
      <c r="J305" s="151"/>
      <c r="K305" s="151"/>
      <c r="L305" s="151"/>
      <c r="M305" s="14"/>
      <c r="N305" s="14"/>
      <c r="O305" s="14"/>
      <c r="P305" s="42"/>
      <c r="Q305" s="42"/>
      <c r="R305" s="42"/>
      <c r="S305" s="44"/>
    </row>
    <row r="306" spans="1:23" ht="12.75" customHeight="1">
      <c r="B306" s="150"/>
      <c r="C306" s="151"/>
      <c r="D306" s="151"/>
      <c r="E306" s="151"/>
      <c r="F306" s="151"/>
      <c r="G306" s="151"/>
      <c r="H306" s="151"/>
      <c r="I306" s="151"/>
      <c r="J306" s="151"/>
      <c r="K306" s="151"/>
      <c r="L306" s="151"/>
      <c r="M306" s="14"/>
      <c r="N306" s="14"/>
      <c r="O306" s="14"/>
      <c r="P306" s="42"/>
      <c r="Q306" s="42"/>
      <c r="R306" s="42"/>
      <c r="S306" s="44"/>
      <c r="U306" s="43"/>
      <c r="V306" s="43"/>
      <c r="W306" s="43"/>
    </row>
    <row r="307" spans="1:23" s="49" customFormat="1" ht="80" customHeight="1">
      <c r="A307" s="45"/>
      <c r="B307" s="150" t="s">
        <v>130</v>
      </c>
      <c r="C307" s="151"/>
      <c r="D307" s="151"/>
      <c r="E307" s="151"/>
      <c r="F307" s="151"/>
      <c r="G307" s="151"/>
      <c r="H307" s="151"/>
      <c r="I307" s="151"/>
      <c r="J307" s="151"/>
      <c r="K307" s="151"/>
      <c r="L307" s="151"/>
      <c r="M307" s="46"/>
      <c r="N307" s="46"/>
      <c r="O307" s="46"/>
      <c r="P307" s="47"/>
      <c r="Q307" s="47"/>
      <c r="R307" s="48"/>
    </row>
    <row r="308" spans="1:23" ht="12.75" customHeight="1">
      <c r="B308" s="150"/>
      <c r="C308" s="151"/>
      <c r="D308" s="151"/>
      <c r="E308" s="151"/>
      <c r="F308" s="151"/>
      <c r="G308" s="151"/>
      <c r="H308" s="151"/>
      <c r="I308" s="151"/>
      <c r="J308" s="151"/>
      <c r="K308" s="151"/>
      <c r="L308" s="151"/>
      <c r="M308" s="14"/>
      <c r="N308" s="14"/>
      <c r="O308" s="14"/>
      <c r="P308" s="42"/>
      <c r="Q308" s="42"/>
      <c r="R308" s="42"/>
      <c r="S308" s="44"/>
      <c r="U308" s="43"/>
      <c r="V308" s="43"/>
      <c r="W308" s="43"/>
    </row>
    <row r="309" spans="1:23" ht="73.5" customHeight="1">
      <c r="B309" s="150" t="s">
        <v>131</v>
      </c>
      <c r="C309" s="151"/>
      <c r="D309" s="151"/>
      <c r="E309" s="151"/>
      <c r="F309" s="151"/>
      <c r="G309" s="151"/>
      <c r="H309" s="151"/>
      <c r="I309" s="151"/>
      <c r="J309" s="151"/>
      <c r="K309" s="151"/>
      <c r="L309" s="151"/>
      <c r="M309" s="14"/>
      <c r="N309" s="14"/>
      <c r="O309" s="14"/>
      <c r="P309" s="42"/>
      <c r="Q309" s="42"/>
      <c r="R309" s="42"/>
      <c r="S309" s="44"/>
      <c r="U309" s="43"/>
      <c r="V309" s="43"/>
      <c r="W309" s="43"/>
    </row>
    <row r="310" spans="1:23" ht="12.75" customHeight="1">
      <c r="A310" s="50"/>
      <c r="B310" s="150"/>
      <c r="C310" s="151"/>
      <c r="D310" s="151"/>
      <c r="E310" s="151"/>
      <c r="F310" s="151"/>
      <c r="G310" s="151"/>
      <c r="H310" s="151"/>
      <c r="I310" s="151"/>
      <c r="J310" s="151"/>
      <c r="K310" s="151"/>
      <c r="L310" s="151"/>
      <c r="M310" s="14"/>
      <c r="N310" s="14"/>
      <c r="O310" s="14"/>
      <c r="P310" s="42"/>
      <c r="Q310" s="42"/>
      <c r="R310" s="42"/>
      <c r="S310" s="44"/>
    </row>
    <row r="311" spans="1:23" ht="58.5" customHeight="1">
      <c r="B311" s="150" t="s">
        <v>132</v>
      </c>
      <c r="C311" s="151"/>
      <c r="D311" s="151"/>
      <c r="E311" s="151"/>
      <c r="F311" s="151"/>
      <c r="G311" s="151"/>
      <c r="H311" s="151"/>
      <c r="I311" s="151"/>
      <c r="J311" s="151"/>
      <c r="K311" s="151"/>
      <c r="L311" s="151"/>
      <c r="M311" s="14"/>
      <c r="N311" s="14"/>
      <c r="O311" s="14"/>
      <c r="P311" s="42"/>
      <c r="Q311" s="42"/>
      <c r="R311" s="42"/>
      <c r="S311" s="44"/>
    </row>
    <row r="312" spans="1:23" ht="11.25" customHeight="1">
      <c r="B312" s="150"/>
      <c r="C312" s="151"/>
      <c r="D312" s="151"/>
      <c r="E312" s="151"/>
      <c r="F312" s="151"/>
      <c r="G312" s="151"/>
      <c r="H312" s="151"/>
      <c r="I312" s="151"/>
      <c r="J312" s="151"/>
      <c r="K312" s="151"/>
      <c r="L312" s="151"/>
      <c r="M312" s="41"/>
      <c r="N312" s="41"/>
      <c r="O312" s="41"/>
      <c r="P312" s="44"/>
      <c r="Q312" s="44"/>
      <c r="R312" s="44"/>
      <c r="S312" s="44"/>
    </row>
    <row r="313" spans="1:23" ht="46.5" customHeight="1">
      <c r="B313" s="150" t="s">
        <v>133</v>
      </c>
      <c r="C313" s="151"/>
      <c r="D313" s="151"/>
      <c r="E313" s="151"/>
      <c r="F313" s="151"/>
      <c r="G313" s="151"/>
      <c r="H313" s="151"/>
      <c r="I313" s="151"/>
      <c r="J313" s="151"/>
      <c r="K313" s="151"/>
      <c r="L313" s="151"/>
      <c r="M313" s="41"/>
      <c r="N313" s="41"/>
      <c r="O313" s="41"/>
      <c r="P313" s="44"/>
      <c r="Q313" s="44"/>
      <c r="R313" s="44"/>
      <c r="S313" s="44"/>
    </row>
    <row r="314" spans="1:23" ht="12" customHeight="1">
      <c r="B314" s="120"/>
      <c r="C314" s="121"/>
      <c r="D314" s="121"/>
      <c r="E314" s="121"/>
      <c r="F314" s="121"/>
      <c r="G314" s="121"/>
      <c r="H314" s="121"/>
      <c r="I314" s="121"/>
      <c r="J314" s="121"/>
      <c r="K314" s="121"/>
      <c r="L314" s="121"/>
      <c r="M314" s="14"/>
      <c r="N314" s="14"/>
      <c r="O314" s="14"/>
      <c r="P314" s="44"/>
      <c r="Q314" s="44"/>
      <c r="R314" s="44"/>
      <c r="S314" s="44"/>
    </row>
    <row r="315" spans="1:23" ht="12" customHeight="1">
      <c r="B315" s="165" t="s">
        <v>134</v>
      </c>
      <c r="C315" s="166"/>
      <c r="D315" s="166"/>
      <c r="E315" s="166"/>
      <c r="F315" s="166"/>
      <c r="G315" s="166"/>
      <c r="H315" s="166"/>
      <c r="I315" s="166"/>
      <c r="J315" s="166"/>
      <c r="K315" s="166"/>
      <c r="L315" s="167"/>
      <c r="M315" s="14"/>
      <c r="N315" s="14"/>
      <c r="O315" s="14"/>
      <c r="P315" s="44"/>
      <c r="Q315" s="44"/>
      <c r="R315" s="44"/>
      <c r="S315" s="44"/>
    </row>
    <row r="316" spans="1:23" ht="12">
      <c r="B316" s="168" t="s">
        <v>135</v>
      </c>
      <c r="C316" s="169"/>
      <c r="D316" s="169"/>
      <c r="E316" s="169"/>
      <c r="F316" s="169"/>
      <c r="G316" s="169"/>
      <c r="H316" s="169"/>
      <c r="I316" s="169"/>
      <c r="J316" s="169"/>
      <c r="K316" s="169"/>
      <c r="L316" s="170"/>
      <c r="M316" s="51"/>
      <c r="N316" s="51"/>
      <c r="O316" s="51"/>
    </row>
    <row r="317" spans="1:23" ht="12">
      <c r="B317" s="161" t="s">
        <v>136</v>
      </c>
      <c r="C317" s="162"/>
      <c r="D317" s="162"/>
      <c r="E317" s="162"/>
      <c r="F317" s="162"/>
      <c r="G317" s="162"/>
      <c r="H317" s="162"/>
      <c r="I317" s="162"/>
      <c r="J317" s="162"/>
      <c r="K317" s="162"/>
      <c r="L317" s="163"/>
    </row>
    <row r="318" spans="1:23" ht="15">
      <c r="B318" s="120"/>
      <c r="C318" s="121"/>
      <c r="D318" s="121"/>
      <c r="E318" s="121"/>
      <c r="F318" s="121"/>
      <c r="G318" s="121"/>
      <c r="H318" s="121"/>
      <c r="I318" s="121"/>
      <c r="J318" s="121"/>
      <c r="K318" s="121"/>
      <c r="L318" s="121"/>
    </row>
    <row r="319" spans="1:23">
      <c r="B319" s="164" t="s">
        <v>137</v>
      </c>
      <c r="C319" s="164"/>
      <c r="D319" s="164"/>
      <c r="E319" s="164"/>
      <c r="F319" s="164"/>
      <c r="G319" s="164"/>
      <c r="H319" s="164"/>
      <c r="I319" s="164"/>
      <c r="J319" s="164"/>
      <c r="K319" s="164"/>
      <c r="L319" s="164"/>
    </row>
  </sheetData>
  <mergeCells count="71">
    <mergeCell ref="B317:L317"/>
    <mergeCell ref="B318:L318"/>
    <mergeCell ref="B319:L319"/>
    <mergeCell ref="B311:L311"/>
    <mergeCell ref="B312:L312"/>
    <mergeCell ref="B313:L313"/>
    <mergeCell ref="B314:L314"/>
    <mergeCell ref="B315:L315"/>
    <mergeCell ref="B316:L316"/>
    <mergeCell ref="B310:L310"/>
    <mergeCell ref="B299:L299"/>
    <mergeCell ref="B300:L300"/>
    <mergeCell ref="B301:L301"/>
    <mergeCell ref="B302:L302"/>
    <mergeCell ref="B303:L303"/>
    <mergeCell ref="B304:L304"/>
    <mergeCell ref="B305:L305"/>
    <mergeCell ref="B306:L306"/>
    <mergeCell ref="B307:L307"/>
    <mergeCell ref="B308:L308"/>
    <mergeCell ref="B309:L309"/>
    <mergeCell ref="B298:L298"/>
    <mergeCell ref="B287:L287"/>
    <mergeCell ref="B288:L288"/>
    <mergeCell ref="B289:L289"/>
    <mergeCell ref="B290:L290"/>
    <mergeCell ref="B291:L291"/>
    <mergeCell ref="B292:L292"/>
    <mergeCell ref="B293:L293"/>
    <mergeCell ref="B294:L294"/>
    <mergeCell ref="B295:L295"/>
    <mergeCell ref="B296:L296"/>
    <mergeCell ref="B297:L297"/>
    <mergeCell ref="B286:L286"/>
    <mergeCell ref="B275:L275"/>
    <mergeCell ref="B276:L276"/>
    <mergeCell ref="B277:L277"/>
    <mergeCell ref="B278:L278"/>
    <mergeCell ref="B279:L279"/>
    <mergeCell ref="B280:L280"/>
    <mergeCell ref="B281:L281"/>
    <mergeCell ref="B282:L282"/>
    <mergeCell ref="B283:L283"/>
    <mergeCell ref="B284:L284"/>
    <mergeCell ref="B285:L285"/>
    <mergeCell ref="B26:L26"/>
    <mergeCell ref="B15:L15"/>
    <mergeCell ref="B16:L16"/>
    <mergeCell ref="B17:L17"/>
    <mergeCell ref="B18:L18"/>
    <mergeCell ref="B19:L19"/>
    <mergeCell ref="B20:L20"/>
    <mergeCell ref="B21:L21"/>
    <mergeCell ref="B22:L22"/>
    <mergeCell ref="B23:L23"/>
    <mergeCell ref="B24:L24"/>
    <mergeCell ref="B25:L25"/>
    <mergeCell ref="B14:L14"/>
    <mergeCell ref="B1:L1"/>
    <mergeCell ref="B2:L2"/>
    <mergeCell ref="B3:L3"/>
    <mergeCell ref="B4:L4"/>
    <mergeCell ref="B5:L5"/>
    <mergeCell ref="B6:L6"/>
    <mergeCell ref="B7:L7"/>
    <mergeCell ref="B8:L8"/>
    <mergeCell ref="B9:L9"/>
    <mergeCell ref="B10:L10"/>
    <mergeCell ref="B11:L11"/>
    <mergeCell ref="B12:L12"/>
    <mergeCell ref="B13:L13"/>
  </mergeCells>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3"/>
  <sheetViews>
    <sheetView workbookViewId="0">
      <pane xSplit="1" ySplit="5" topLeftCell="B6" activePane="bottomRight" state="frozen"/>
      <selection pane="topRight" activeCell="B1" sqref="B1"/>
      <selection pane="bottomLeft" activeCell="A6" sqref="A6"/>
      <selection pane="bottomRight" activeCell="N35" sqref="N35"/>
    </sheetView>
  </sheetViews>
  <sheetFormatPr baseColWidth="10" defaultColWidth="11" defaultRowHeight="15" x14ac:dyDescent="0"/>
  <cols>
    <col min="1" max="2" width="11" style="84"/>
    <col min="4" max="4" width="13" bestFit="1" customWidth="1"/>
  </cols>
  <sheetData>
    <row r="1" spans="1:7">
      <c r="A1" s="82"/>
      <c r="B1" s="83" t="s">
        <v>221</v>
      </c>
      <c r="D1" t="s">
        <v>226</v>
      </c>
      <c r="E1" s="88" t="s">
        <v>227</v>
      </c>
    </row>
    <row r="2" spans="1:7">
      <c r="E2" s="88" t="s">
        <v>228</v>
      </c>
    </row>
    <row r="3" spans="1:7">
      <c r="B3" s="84" t="s">
        <v>222</v>
      </c>
      <c r="E3" s="88" t="s">
        <v>229</v>
      </c>
    </row>
    <row r="4" spans="1:7">
      <c r="A4" s="84" t="s">
        <v>223</v>
      </c>
      <c r="B4" s="84" t="s">
        <v>224</v>
      </c>
    </row>
    <row r="5" spans="1:7">
      <c r="B5" s="84" t="s">
        <v>225</v>
      </c>
    </row>
    <row r="6" spans="1:7">
      <c r="A6" s="84">
        <v>1800</v>
      </c>
      <c r="B6" s="84">
        <v>172</v>
      </c>
    </row>
    <row r="7" spans="1:7">
      <c r="A7" s="84">
        <v>1801</v>
      </c>
      <c r="B7" s="84">
        <v>168</v>
      </c>
    </row>
    <row r="8" spans="1:7">
      <c r="A8" s="84">
        <v>1802</v>
      </c>
      <c r="B8" s="84">
        <v>145</v>
      </c>
    </row>
    <row r="9" spans="1:7">
      <c r="A9" s="84">
        <v>1803</v>
      </c>
      <c r="B9" s="84">
        <v>152</v>
      </c>
    </row>
    <row r="10" spans="1:7">
      <c r="A10" s="84">
        <v>1804</v>
      </c>
      <c r="B10" s="84">
        <v>152</v>
      </c>
    </row>
    <row r="11" spans="1:7">
      <c r="A11" s="84">
        <v>1805</v>
      </c>
      <c r="B11" s="84">
        <v>152</v>
      </c>
    </row>
    <row r="12" spans="1:7">
      <c r="A12" s="84">
        <v>1806</v>
      </c>
      <c r="B12" s="84">
        <v>158</v>
      </c>
      <c r="G12" s="89"/>
    </row>
    <row r="13" spans="1:7">
      <c r="A13" s="84">
        <v>1807</v>
      </c>
      <c r="B13" s="84">
        <v>148</v>
      </c>
    </row>
    <row r="14" spans="1:7">
      <c r="A14" s="84">
        <v>1808</v>
      </c>
      <c r="B14" s="84">
        <v>162</v>
      </c>
    </row>
    <row r="15" spans="1:7">
      <c r="A15" s="84">
        <v>1809</v>
      </c>
      <c r="B15" s="84">
        <v>158</v>
      </c>
      <c r="G15" s="89"/>
    </row>
    <row r="16" spans="1:7">
      <c r="A16" s="84">
        <v>1810</v>
      </c>
      <c r="B16" s="84">
        <v>158</v>
      </c>
    </row>
    <row r="17" spans="1:7">
      <c r="A17" s="84">
        <v>1811</v>
      </c>
      <c r="B17" s="84">
        <v>168</v>
      </c>
    </row>
    <row r="18" spans="1:7">
      <c r="A18" s="84">
        <v>1812</v>
      </c>
      <c r="B18" s="84">
        <v>172</v>
      </c>
      <c r="G18" s="89"/>
    </row>
    <row r="19" spans="1:7">
      <c r="A19" s="84">
        <v>1813</v>
      </c>
      <c r="B19" s="84">
        <v>195</v>
      </c>
    </row>
    <row r="20" spans="1:7">
      <c r="A20" s="84">
        <v>1814</v>
      </c>
      <c r="B20" s="84">
        <v>212</v>
      </c>
    </row>
    <row r="21" spans="1:7">
      <c r="A21" s="84">
        <v>1815</v>
      </c>
      <c r="B21" s="84">
        <v>185</v>
      </c>
    </row>
    <row r="22" spans="1:7">
      <c r="A22" s="84">
        <v>1816</v>
      </c>
      <c r="B22" s="84">
        <v>172</v>
      </c>
    </row>
    <row r="23" spans="1:7">
      <c r="A23" s="84">
        <v>1817</v>
      </c>
      <c r="B23" s="84">
        <v>162</v>
      </c>
    </row>
    <row r="24" spans="1:7">
      <c r="A24" s="84">
        <v>1818</v>
      </c>
      <c r="B24" s="84">
        <v>155</v>
      </c>
    </row>
    <row r="25" spans="1:7">
      <c r="A25" s="84">
        <v>1819</v>
      </c>
      <c r="B25" s="84">
        <v>155</v>
      </c>
    </row>
    <row r="26" spans="1:7">
      <c r="A26" s="84">
        <v>1820</v>
      </c>
      <c r="B26" s="84">
        <v>141</v>
      </c>
    </row>
    <row r="27" spans="1:7">
      <c r="A27" s="84">
        <v>1821</v>
      </c>
      <c r="B27" s="84">
        <v>135</v>
      </c>
    </row>
    <row r="28" spans="1:7">
      <c r="A28" s="84">
        <v>1822</v>
      </c>
      <c r="B28" s="84">
        <v>135</v>
      </c>
    </row>
    <row r="29" spans="1:7">
      <c r="A29" s="84">
        <v>1823</v>
      </c>
      <c r="B29" s="84">
        <v>121</v>
      </c>
    </row>
    <row r="30" spans="1:7">
      <c r="A30" s="84">
        <v>1824</v>
      </c>
      <c r="B30" s="84">
        <v>111</v>
      </c>
    </row>
    <row r="31" spans="1:7">
      <c r="A31" s="84">
        <v>1825</v>
      </c>
      <c r="B31" s="84">
        <v>114</v>
      </c>
    </row>
    <row r="32" spans="1:7">
      <c r="A32" s="84">
        <v>1826</v>
      </c>
      <c r="B32" s="84">
        <v>114</v>
      </c>
    </row>
    <row r="33" spans="1:2">
      <c r="A33" s="84">
        <v>1827</v>
      </c>
      <c r="B33" s="84">
        <v>114</v>
      </c>
    </row>
    <row r="34" spans="1:2">
      <c r="A34" s="84">
        <v>1828</v>
      </c>
      <c r="B34" s="84">
        <v>111</v>
      </c>
    </row>
    <row r="35" spans="1:2">
      <c r="A35" s="84">
        <v>1829</v>
      </c>
      <c r="B35" s="84">
        <v>108</v>
      </c>
    </row>
    <row r="36" spans="1:2">
      <c r="A36" s="84">
        <v>1830</v>
      </c>
      <c r="B36" s="84">
        <v>108</v>
      </c>
    </row>
    <row r="37" spans="1:2">
      <c r="A37" s="84">
        <v>1831</v>
      </c>
      <c r="B37" s="84">
        <v>108</v>
      </c>
    </row>
    <row r="38" spans="1:2">
      <c r="A38" s="84">
        <v>1832</v>
      </c>
      <c r="B38" s="84">
        <v>101</v>
      </c>
    </row>
    <row r="39" spans="1:2">
      <c r="A39" s="84">
        <v>1833</v>
      </c>
      <c r="B39" s="84">
        <v>98</v>
      </c>
    </row>
    <row r="40" spans="1:2">
      <c r="A40" s="84">
        <v>1834</v>
      </c>
      <c r="B40" s="84">
        <v>101</v>
      </c>
    </row>
    <row r="41" spans="1:2">
      <c r="A41" s="84">
        <v>1835</v>
      </c>
      <c r="B41" s="84">
        <v>104</v>
      </c>
    </row>
    <row r="42" spans="1:2">
      <c r="A42" s="84">
        <v>1836</v>
      </c>
      <c r="B42" s="84">
        <v>111</v>
      </c>
    </row>
    <row r="43" spans="1:2">
      <c r="A43" s="84">
        <v>1837</v>
      </c>
      <c r="B43" s="84">
        <v>111.4</v>
      </c>
    </row>
    <row r="44" spans="1:2">
      <c r="A44" s="84">
        <v>1838</v>
      </c>
      <c r="B44" s="84">
        <v>108</v>
      </c>
    </row>
    <row r="45" spans="1:2">
      <c r="A45" s="84">
        <v>1839</v>
      </c>
      <c r="B45" s="84">
        <v>108</v>
      </c>
    </row>
    <row r="46" spans="1:2">
      <c r="A46" s="84">
        <v>1840</v>
      </c>
      <c r="B46" s="84">
        <v>101</v>
      </c>
    </row>
    <row r="47" spans="1:2">
      <c r="A47" s="84">
        <v>1841</v>
      </c>
      <c r="B47" s="84">
        <v>104</v>
      </c>
    </row>
    <row r="48" spans="1:2">
      <c r="A48" s="84">
        <v>1842</v>
      </c>
      <c r="B48" s="84">
        <v>98</v>
      </c>
    </row>
    <row r="49" spans="1:2">
      <c r="A49" s="84">
        <v>1843</v>
      </c>
      <c r="B49" s="84">
        <v>94</v>
      </c>
    </row>
    <row r="50" spans="1:2">
      <c r="A50" s="84">
        <v>1844</v>
      </c>
      <c r="B50" s="84">
        <v>94</v>
      </c>
    </row>
    <row r="51" spans="1:2">
      <c r="A51" s="84">
        <v>1845</v>
      </c>
      <c r="B51" s="84">
        <v>94</v>
      </c>
    </row>
    <row r="52" spans="1:2">
      <c r="A52" s="84">
        <v>1846</v>
      </c>
      <c r="B52" s="84">
        <v>91</v>
      </c>
    </row>
    <row r="53" spans="1:2">
      <c r="A53" s="84">
        <v>1847</v>
      </c>
      <c r="B53" s="84">
        <v>94</v>
      </c>
    </row>
    <row r="54" spans="1:2">
      <c r="A54" s="84">
        <v>1848</v>
      </c>
      <c r="B54" s="84">
        <v>88</v>
      </c>
    </row>
    <row r="55" spans="1:2">
      <c r="A55" s="84">
        <v>1849</v>
      </c>
      <c r="B55" s="84">
        <v>84</v>
      </c>
    </row>
    <row r="56" spans="1:2">
      <c r="A56" s="84">
        <v>1850</v>
      </c>
      <c r="B56" s="84">
        <v>84</v>
      </c>
    </row>
    <row r="57" spans="1:2">
      <c r="A57" s="84">
        <v>1851</v>
      </c>
      <c r="B57" s="84">
        <v>84</v>
      </c>
    </row>
    <row r="58" spans="1:2">
      <c r="A58" s="84">
        <v>1852</v>
      </c>
      <c r="B58" s="84">
        <v>84</v>
      </c>
    </row>
    <row r="59" spans="1:2">
      <c r="A59" s="84">
        <v>1853</v>
      </c>
      <c r="B59" s="84">
        <v>84</v>
      </c>
    </row>
    <row r="60" spans="1:2">
      <c r="A60" s="84">
        <v>1854</v>
      </c>
      <c r="B60" s="84">
        <v>91</v>
      </c>
    </row>
    <row r="61" spans="1:2">
      <c r="A61" s="84">
        <v>1855</v>
      </c>
      <c r="B61" s="84">
        <v>94</v>
      </c>
    </row>
    <row r="62" spans="1:2">
      <c r="A62" s="84">
        <v>1856</v>
      </c>
      <c r="B62" s="84">
        <v>91</v>
      </c>
    </row>
    <row r="63" spans="1:2">
      <c r="A63" s="84">
        <v>1857</v>
      </c>
      <c r="B63" s="84">
        <v>94</v>
      </c>
    </row>
    <row r="64" spans="1:2">
      <c r="A64" s="84">
        <v>1858</v>
      </c>
      <c r="B64" s="84">
        <v>88</v>
      </c>
    </row>
    <row r="65" spans="1:2">
      <c r="A65" s="84">
        <v>1859</v>
      </c>
      <c r="B65" s="84">
        <v>91</v>
      </c>
    </row>
    <row r="66" spans="1:2">
      <c r="A66" s="84">
        <v>1860</v>
      </c>
      <c r="B66" s="84">
        <v>91</v>
      </c>
    </row>
    <row r="67" spans="1:2">
      <c r="A67" s="84">
        <v>1861</v>
      </c>
      <c r="B67" s="84">
        <v>91</v>
      </c>
    </row>
    <row r="68" spans="1:2">
      <c r="A68" s="84">
        <v>1862</v>
      </c>
      <c r="B68" s="84">
        <v>101</v>
      </c>
    </row>
    <row r="69" spans="1:2">
      <c r="A69" s="84">
        <v>1863</v>
      </c>
      <c r="B69" s="84">
        <v>125</v>
      </c>
    </row>
    <row r="70" spans="1:2">
      <c r="A70" s="84">
        <v>1864</v>
      </c>
      <c r="B70" s="84">
        <v>158</v>
      </c>
    </row>
    <row r="71" spans="1:2">
      <c r="A71" s="84">
        <v>1865</v>
      </c>
      <c r="B71" s="84">
        <v>155</v>
      </c>
    </row>
    <row r="72" spans="1:2">
      <c r="A72" s="84">
        <v>1866</v>
      </c>
      <c r="B72" s="84">
        <v>148</v>
      </c>
    </row>
    <row r="73" spans="1:2">
      <c r="A73" s="84">
        <v>1867</v>
      </c>
      <c r="B73" s="84">
        <v>141</v>
      </c>
    </row>
    <row r="74" spans="1:2">
      <c r="A74" s="84">
        <v>1868</v>
      </c>
      <c r="B74" s="84">
        <v>135</v>
      </c>
    </row>
    <row r="75" spans="1:2">
      <c r="A75" s="84">
        <v>1869</v>
      </c>
      <c r="B75" s="84">
        <v>135</v>
      </c>
    </row>
    <row r="76" spans="1:2">
      <c r="A76" s="84">
        <v>1870</v>
      </c>
      <c r="B76" s="84">
        <v>128</v>
      </c>
    </row>
    <row r="77" spans="1:2">
      <c r="A77" s="84">
        <v>1871</v>
      </c>
      <c r="B77" s="84">
        <v>121</v>
      </c>
    </row>
    <row r="78" spans="1:2">
      <c r="A78" s="84">
        <v>1872</v>
      </c>
      <c r="B78" s="84">
        <v>121</v>
      </c>
    </row>
    <row r="79" spans="1:2">
      <c r="A79" s="84">
        <v>1873</v>
      </c>
      <c r="B79" s="84">
        <v>121</v>
      </c>
    </row>
    <row r="80" spans="1:2">
      <c r="A80" s="84">
        <v>1874</v>
      </c>
      <c r="B80" s="84">
        <v>114</v>
      </c>
    </row>
    <row r="81" spans="1:2">
      <c r="A81" s="84">
        <v>1875</v>
      </c>
      <c r="B81" s="84">
        <v>111</v>
      </c>
    </row>
    <row r="82" spans="1:2">
      <c r="A82" s="84">
        <v>1876</v>
      </c>
      <c r="B82" s="84">
        <v>108</v>
      </c>
    </row>
    <row r="83" spans="1:2">
      <c r="A83" s="84">
        <v>1877</v>
      </c>
      <c r="B83" s="84">
        <v>108</v>
      </c>
    </row>
    <row r="84" spans="1:2">
      <c r="A84" s="84">
        <v>1878</v>
      </c>
      <c r="B84" s="84">
        <v>98</v>
      </c>
    </row>
    <row r="85" spans="1:2">
      <c r="A85" s="84">
        <v>1879</v>
      </c>
      <c r="B85" s="84">
        <v>94</v>
      </c>
    </row>
    <row r="86" spans="1:2">
      <c r="A86" s="84">
        <v>1880</v>
      </c>
      <c r="B86" s="84">
        <v>98</v>
      </c>
    </row>
    <row r="87" spans="1:2">
      <c r="A87" s="84">
        <v>1881</v>
      </c>
      <c r="B87" s="84">
        <v>98</v>
      </c>
    </row>
    <row r="88" spans="1:2">
      <c r="A88" s="84">
        <v>1882</v>
      </c>
      <c r="B88" s="84">
        <v>98</v>
      </c>
    </row>
    <row r="89" spans="1:2">
      <c r="A89" s="84">
        <v>1883</v>
      </c>
      <c r="B89" s="84">
        <v>94</v>
      </c>
    </row>
    <row r="90" spans="1:2">
      <c r="A90" s="84">
        <v>1884</v>
      </c>
      <c r="B90" s="84">
        <v>91</v>
      </c>
    </row>
    <row r="91" spans="1:2">
      <c r="A91" s="84">
        <v>1885</v>
      </c>
      <c r="B91" s="84">
        <v>91</v>
      </c>
    </row>
    <row r="92" spans="1:2">
      <c r="A92" s="84">
        <v>1886</v>
      </c>
      <c r="B92" s="84">
        <v>91</v>
      </c>
    </row>
    <row r="93" spans="1:2">
      <c r="A93" s="84">
        <v>1887</v>
      </c>
      <c r="B93" s="84">
        <v>91</v>
      </c>
    </row>
    <row r="94" spans="1:2">
      <c r="A94" s="84">
        <v>1888</v>
      </c>
      <c r="B94" s="84">
        <v>91</v>
      </c>
    </row>
    <row r="95" spans="1:2">
      <c r="A95" s="84">
        <v>1889</v>
      </c>
      <c r="B95" s="84">
        <v>91</v>
      </c>
    </row>
    <row r="96" spans="1:2">
      <c r="A96" s="84">
        <v>1890</v>
      </c>
      <c r="B96" s="84">
        <v>91</v>
      </c>
    </row>
    <row r="97" spans="1:2">
      <c r="A97" s="84">
        <v>1891</v>
      </c>
      <c r="B97" s="84">
        <v>91</v>
      </c>
    </row>
    <row r="98" spans="1:2">
      <c r="A98" s="84">
        <v>1892</v>
      </c>
      <c r="B98" s="84">
        <v>91</v>
      </c>
    </row>
    <row r="99" spans="1:2">
      <c r="A99" s="84">
        <v>1893</v>
      </c>
      <c r="B99" s="84">
        <v>91</v>
      </c>
    </row>
    <row r="100" spans="1:2">
      <c r="A100" s="84">
        <v>1894</v>
      </c>
      <c r="B100" s="84">
        <v>88</v>
      </c>
    </row>
    <row r="101" spans="1:2">
      <c r="A101" s="84">
        <v>1895</v>
      </c>
      <c r="B101" s="84">
        <v>84</v>
      </c>
    </row>
    <row r="102" spans="1:2">
      <c r="A102" s="84">
        <v>1896</v>
      </c>
      <c r="B102" s="84">
        <v>84</v>
      </c>
    </row>
    <row r="103" spans="1:2">
      <c r="A103" s="84">
        <v>1897</v>
      </c>
      <c r="B103" s="84">
        <v>84</v>
      </c>
    </row>
    <row r="104" spans="1:2">
      <c r="A104" s="84">
        <v>1898</v>
      </c>
      <c r="B104" s="84">
        <v>84</v>
      </c>
    </row>
    <row r="105" spans="1:2">
      <c r="A105" s="84">
        <v>1899</v>
      </c>
      <c r="B105" s="84">
        <v>84</v>
      </c>
    </row>
    <row r="106" spans="1:2">
      <c r="A106" s="84">
        <v>1900</v>
      </c>
      <c r="B106" s="84">
        <v>84</v>
      </c>
    </row>
    <row r="107" spans="1:2">
      <c r="A107" s="84">
        <v>1901</v>
      </c>
      <c r="B107" s="84">
        <v>84</v>
      </c>
    </row>
    <row r="108" spans="1:2">
      <c r="A108" s="84">
        <v>1902</v>
      </c>
      <c r="B108" s="84">
        <v>88</v>
      </c>
    </row>
    <row r="109" spans="1:2">
      <c r="A109" s="84">
        <v>1903</v>
      </c>
      <c r="B109" s="84">
        <v>91</v>
      </c>
    </row>
    <row r="110" spans="1:2">
      <c r="A110" s="84">
        <v>1904</v>
      </c>
      <c r="B110" s="84">
        <v>91</v>
      </c>
    </row>
    <row r="111" spans="1:2">
      <c r="A111" s="84">
        <v>1905</v>
      </c>
      <c r="B111" s="84">
        <v>91</v>
      </c>
    </row>
    <row r="112" spans="1:2">
      <c r="A112" s="84">
        <v>1906</v>
      </c>
      <c r="B112" s="84">
        <v>91</v>
      </c>
    </row>
    <row r="113" spans="1:2">
      <c r="A113" s="84">
        <v>1907</v>
      </c>
      <c r="B113" s="84">
        <v>94</v>
      </c>
    </row>
    <row r="114" spans="1:2">
      <c r="A114" s="84">
        <v>1908</v>
      </c>
      <c r="B114" s="84">
        <v>91</v>
      </c>
    </row>
    <row r="115" spans="1:2">
      <c r="A115" s="84">
        <v>1909</v>
      </c>
      <c r="B115" s="84">
        <v>91</v>
      </c>
    </row>
    <row r="116" spans="1:2">
      <c r="A116" s="84">
        <v>1910</v>
      </c>
      <c r="B116" s="84">
        <v>94</v>
      </c>
    </row>
    <row r="117" spans="1:2">
      <c r="A117" s="84">
        <v>1911</v>
      </c>
      <c r="B117" s="84">
        <v>94</v>
      </c>
    </row>
    <row r="118" spans="1:2">
      <c r="A118" s="84">
        <v>1912</v>
      </c>
      <c r="B118" s="84">
        <v>98</v>
      </c>
    </row>
    <row r="119" spans="1:2">
      <c r="A119" s="84">
        <v>1913</v>
      </c>
      <c r="B119" s="84">
        <v>100</v>
      </c>
    </row>
    <row r="120" spans="1:2">
      <c r="A120" s="84">
        <v>1914</v>
      </c>
      <c r="B120" s="84">
        <v>101</v>
      </c>
    </row>
    <row r="121" spans="1:2">
      <c r="A121" s="84">
        <v>1915</v>
      </c>
      <c r="B121" s="84">
        <v>102</v>
      </c>
    </row>
    <row r="122" spans="1:2">
      <c r="A122" s="84">
        <v>1916</v>
      </c>
      <c r="B122" s="84">
        <v>110</v>
      </c>
    </row>
    <row r="123" spans="1:2">
      <c r="A123" s="84">
        <v>1917</v>
      </c>
      <c r="B123" s="84">
        <v>129</v>
      </c>
    </row>
    <row r="124" spans="1:2">
      <c r="A124" s="84">
        <v>1918</v>
      </c>
      <c r="B124" s="84">
        <v>152</v>
      </c>
    </row>
    <row r="125" spans="1:2">
      <c r="A125" s="84">
        <v>1919</v>
      </c>
      <c r="B125" s="84">
        <v>174</v>
      </c>
    </row>
    <row r="126" spans="1:2">
      <c r="A126" s="84">
        <v>1920</v>
      </c>
      <c r="B126" s="84">
        <v>202</v>
      </c>
    </row>
    <row r="127" spans="1:2">
      <c r="A127" s="84">
        <v>1921</v>
      </c>
      <c r="B127" s="84">
        <v>180</v>
      </c>
    </row>
    <row r="128" spans="1:2">
      <c r="A128" s="84">
        <v>1922</v>
      </c>
      <c r="B128" s="84">
        <v>169</v>
      </c>
    </row>
    <row r="129" spans="1:2">
      <c r="A129" s="84">
        <v>1923</v>
      </c>
      <c r="B129" s="84">
        <v>172</v>
      </c>
    </row>
    <row r="130" spans="1:2">
      <c r="A130" s="84">
        <v>1924</v>
      </c>
      <c r="B130" s="84">
        <v>172</v>
      </c>
    </row>
    <row r="131" spans="1:2">
      <c r="A131" s="84">
        <v>1925</v>
      </c>
      <c r="B131" s="84">
        <v>177</v>
      </c>
    </row>
    <row r="132" spans="1:2">
      <c r="A132" s="84">
        <v>1926</v>
      </c>
      <c r="B132" s="84">
        <v>178</v>
      </c>
    </row>
    <row r="133" spans="1:2">
      <c r="A133" s="84">
        <v>1927</v>
      </c>
      <c r="B133" s="84">
        <v>175</v>
      </c>
    </row>
    <row r="134" spans="1:2">
      <c r="A134" s="84">
        <v>1928</v>
      </c>
      <c r="B134" s="84">
        <v>173</v>
      </c>
    </row>
    <row r="135" spans="1:2">
      <c r="A135" s="84">
        <v>1929</v>
      </c>
      <c r="B135" s="84">
        <v>173</v>
      </c>
    </row>
    <row r="136" spans="1:2">
      <c r="A136" s="84">
        <v>1930</v>
      </c>
      <c r="B136" s="84">
        <v>168</v>
      </c>
    </row>
    <row r="137" spans="1:2">
      <c r="A137" s="84">
        <v>1931</v>
      </c>
      <c r="B137" s="84">
        <v>154</v>
      </c>
    </row>
    <row r="138" spans="1:2">
      <c r="A138" s="84">
        <v>1932</v>
      </c>
      <c r="B138" s="84">
        <v>138</v>
      </c>
    </row>
    <row r="139" spans="1:2">
      <c r="A139" s="84">
        <v>1933</v>
      </c>
      <c r="B139" s="84">
        <v>131</v>
      </c>
    </row>
    <row r="140" spans="1:2">
      <c r="A140" s="84">
        <v>1934</v>
      </c>
      <c r="B140" s="84">
        <v>135</v>
      </c>
    </row>
    <row r="141" spans="1:2">
      <c r="A141" s="84">
        <v>1935</v>
      </c>
      <c r="B141" s="84">
        <v>138</v>
      </c>
    </row>
    <row r="142" spans="1:2">
      <c r="A142" s="84">
        <v>1936</v>
      </c>
      <c r="B142" s="84">
        <v>140</v>
      </c>
    </row>
    <row r="143" spans="1:2">
      <c r="A143" s="84">
        <v>1937</v>
      </c>
      <c r="B143" s="84">
        <v>145</v>
      </c>
    </row>
    <row r="144" spans="1:2">
      <c r="A144" s="84">
        <v>1938</v>
      </c>
      <c r="B144" s="84">
        <v>142</v>
      </c>
    </row>
    <row r="145" spans="1:2">
      <c r="A145" s="84">
        <v>1939</v>
      </c>
      <c r="B145" s="85">
        <v>140.58000000000001</v>
      </c>
    </row>
    <row r="146" spans="1:2">
      <c r="A146" s="84">
        <v>1940</v>
      </c>
      <c r="B146" s="85">
        <v>142</v>
      </c>
    </row>
    <row r="147" spans="1:2">
      <c r="A147" s="84">
        <v>1941</v>
      </c>
      <c r="B147" s="85">
        <v>149.1</v>
      </c>
    </row>
    <row r="148" spans="1:2">
      <c r="A148" s="84">
        <v>1942</v>
      </c>
      <c r="B148" s="85">
        <v>164.72</v>
      </c>
    </row>
    <row r="149" spans="1:2">
      <c r="A149" s="84">
        <v>1943</v>
      </c>
      <c r="B149" s="85">
        <v>174.66</v>
      </c>
    </row>
    <row r="150" spans="1:2">
      <c r="A150" s="84">
        <v>1944</v>
      </c>
      <c r="B150" s="85">
        <v>177.5</v>
      </c>
    </row>
    <row r="151" spans="1:2">
      <c r="A151" s="84">
        <v>1945</v>
      </c>
      <c r="B151" s="85">
        <v>181.76</v>
      </c>
    </row>
    <row r="152" spans="1:2">
      <c r="A152" s="84">
        <v>1946</v>
      </c>
      <c r="B152" s="85">
        <v>197.38</v>
      </c>
    </row>
    <row r="153" spans="1:2">
      <c r="A153" s="84">
        <v>1947</v>
      </c>
      <c r="B153" s="85">
        <v>225.78</v>
      </c>
    </row>
    <row r="154" spans="1:2">
      <c r="A154" s="84">
        <v>1948</v>
      </c>
      <c r="B154" s="85">
        <v>242.82</v>
      </c>
    </row>
    <row r="155" spans="1:2">
      <c r="A155" s="84">
        <v>1949</v>
      </c>
      <c r="B155" s="85">
        <v>239.98</v>
      </c>
    </row>
    <row r="156" spans="1:2">
      <c r="A156" s="84">
        <v>1950</v>
      </c>
      <c r="B156" s="85">
        <v>242.82</v>
      </c>
    </row>
    <row r="157" spans="1:2">
      <c r="A157" s="84">
        <v>1951</v>
      </c>
      <c r="B157" s="85">
        <v>261.27999999999997</v>
      </c>
    </row>
    <row r="158" spans="1:2">
      <c r="A158" s="84">
        <v>1952</v>
      </c>
      <c r="B158" s="85">
        <v>266.95999999999998</v>
      </c>
    </row>
    <row r="159" spans="1:2">
      <c r="A159" s="84">
        <v>1953</v>
      </c>
      <c r="B159" s="85">
        <v>269.8</v>
      </c>
    </row>
    <row r="160" spans="1:2">
      <c r="A160" s="84">
        <v>1954</v>
      </c>
      <c r="B160" s="85">
        <v>271.22000000000003</v>
      </c>
    </row>
    <row r="161" spans="1:2">
      <c r="A161" s="84">
        <v>1955</v>
      </c>
      <c r="B161" s="85">
        <v>269.8</v>
      </c>
    </row>
    <row r="162" spans="1:2">
      <c r="A162" s="84">
        <v>1956</v>
      </c>
      <c r="B162" s="85">
        <v>274.06</v>
      </c>
    </row>
    <row r="163" spans="1:2">
      <c r="A163" s="84">
        <v>1957</v>
      </c>
      <c r="B163" s="85">
        <v>284</v>
      </c>
    </row>
    <row r="164" spans="1:2">
      <c r="A164" s="84">
        <v>1958</v>
      </c>
      <c r="B164" s="85">
        <v>291.10000000000002</v>
      </c>
    </row>
    <row r="165" spans="1:2">
      <c r="A165" s="84">
        <v>1959</v>
      </c>
      <c r="B165" s="85">
        <v>293.94</v>
      </c>
    </row>
    <row r="166" spans="1:2">
      <c r="A166" s="84">
        <v>1960</v>
      </c>
      <c r="B166" s="85">
        <v>298.2</v>
      </c>
    </row>
    <row r="167" spans="1:2">
      <c r="A167" s="84">
        <v>1961</v>
      </c>
      <c r="B167" s="85">
        <v>301.04000000000002</v>
      </c>
    </row>
    <row r="168" spans="1:2">
      <c r="A168" s="84">
        <v>1962</v>
      </c>
      <c r="B168" s="85">
        <v>305.3</v>
      </c>
    </row>
    <row r="169" spans="1:2">
      <c r="A169" s="84">
        <v>1963</v>
      </c>
      <c r="B169" s="85">
        <v>308.14</v>
      </c>
    </row>
    <row r="170" spans="1:2">
      <c r="A170" s="84">
        <v>1964</v>
      </c>
      <c r="B170" s="85">
        <v>312.39999999999998</v>
      </c>
    </row>
    <row r="171" spans="1:2">
      <c r="A171" s="84">
        <v>1965</v>
      </c>
      <c r="B171" s="85">
        <v>318.08</v>
      </c>
    </row>
    <row r="172" spans="1:2">
      <c r="A172" s="84">
        <v>1966</v>
      </c>
      <c r="B172" s="85">
        <v>326.60000000000002</v>
      </c>
    </row>
    <row r="173" spans="1:2">
      <c r="A173" s="84">
        <v>1967</v>
      </c>
      <c r="B173" s="85">
        <v>336.54</v>
      </c>
    </row>
    <row r="174" spans="1:2">
      <c r="A174" s="84">
        <v>1968</v>
      </c>
      <c r="B174" s="85">
        <v>350.74</v>
      </c>
    </row>
    <row r="175" spans="1:2">
      <c r="A175" s="84">
        <v>1969</v>
      </c>
      <c r="B175" s="85">
        <v>369.2</v>
      </c>
    </row>
    <row r="176" spans="1:2">
      <c r="A176" s="84">
        <v>1970</v>
      </c>
      <c r="B176" s="85">
        <v>391.92</v>
      </c>
    </row>
    <row r="177" spans="1:2">
      <c r="A177" s="84">
        <v>1971</v>
      </c>
      <c r="B177" s="85">
        <v>407.54</v>
      </c>
    </row>
    <row r="178" spans="1:2">
      <c r="A178" s="84">
        <v>1972</v>
      </c>
      <c r="B178" s="85">
        <v>421.74</v>
      </c>
    </row>
    <row r="179" spans="1:2">
      <c r="A179" s="84">
        <v>1973</v>
      </c>
      <c r="B179" s="85">
        <v>447.3</v>
      </c>
    </row>
    <row r="180" spans="1:2">
      <c r="A180" s="84">
        <v>1974</v>
      </c>
      <c r="B180" s="85">
        <v>497</v>
      </c>
    </row>
    <row r="181" spans="1:2">
      <c r="A181" s="84">
        <v>1975</v>
      </c>
      <c r="B181" s="85">
        <v>543.86</v>
      </c>
    </row>
    <row r="182" spans="1:2">
      <c r="A182" s="84">
        <v>1976</v>
      </c>
      <c r="B182" s="86">
        <v>577.32830769230759</v>
      </c>
    </row>
    <row r="183" spans="1:2">
      <c r="A183" s="84">
        <v>1977</v>
      </c>
      <c r="B183" s="86">
        <v>610.79661538461528</v>
      </c>
    </row>
    <row r="184" spans="1:2">
      <c r="A184" s="84">
        <v>1978</v>
      </c>
      <c r="B184" s="86">
        <v>660.99907692307693</v>
      </c>
    </row>
    <row r="185" spans="1:2">
      <c r="A185" s="84">
        <v>1979</v>
      </c>
      <c r="B185" s="86">
        <v>736.30276923076917</v>
      </c>
    </row>
    <row r="186" spans="1:2">
      <c r="A186" s="84">
        <v>1980</v>
      </c>
      <c r="B186" s="86">
        <v>836.70769230769224</v>
      </c>
    </row>
    <row r="187" spans="1:2">
      <c r="A187" s="84">
        <v>1981</v>
      </c>
      <c r="B187" s="86">
        <v>920.37846153846147</v>
      </c>
    </row>
    <row r="188" spans="1:2">
      <c r="A188" s="84">
        <v>1982</v>
      </c>
      <c r="B188" s="86">
        <v>978.94799999999987</v>
      </c>
    </row>
    <row r="189" spans="1:2">
      <c r="A189" s="84">
        <v>1983</v>
      </c>
      <c r="B189" s="86">
        <v>1012.4163076923076</v>
      </c>
    </row>
    <row r="190" spans="1:2">
      <c r="A190" s="84">
        <v>1984</v>
      </c>
      <c r="B190" s="86">
        <v>1054.2516923076923</v>
      </c>
    </row>
    <row r="191" spans="1:2">
      <c r="A191" s="84">
        <v>1985</v>
      </c>
      <c r="B191" s="86">
        <v>1096.0870769230769</v>
      </c>
    </row>
    <row r="192" spans="1:2">
      <c r="A192" s="84">
        <v>1986</v>
      </c>
      <c r="B192" s="86">
        <v>1112.8212307692306</v>
      </c>
    </row>
    <row r="193" spans="1:2">
      <c r="A193" s="84">
        <v>1987</v>
      </c>
      <c r="B193" s="86">
        <v>1154.6566153846152</v>
      </c>
    </row>
    <row r="194" spans="1:2">
      <c r="A194" s="84">
        <v>1988</v>
      </c>
      <c r="B194" s="86">
        <v>1204.8590769230768</v>
      </c>
    </row>
    <row r="195" spans="1:2">
      <c r="A195" s="84">
        <v>1989</v>
      </c>
      <c r="B195" s="86">
        <v>1263.4286153846153</v>
      </c>
    </row>
    <row r="196" spans="1:2">
      <c r="A196" s="84">
        <v>1990</v>
      </c>
      <c r="B196" s="86">
        <v>1330.3652307692307</v>
      </c>
    </row>
    <row r="197" spans="1:2">
      <c r="A197" s="84">
        <v>1991</v>
      </c>
      <c r="B197" s="86">
        <v>1388.9347692307692</v>
      </c>
    </row>
    <row r="198" spans="1:2">
      <c r="A198" s="84">
        <v>1992</v>
      </c>
      <c r="B198" s="86">
        <v>1430.7701538461538</v>
      </c>
    </row>
    <row r="199" spans="1:2">
      <c r="A199" s="84">
        <v>1993</v>
      </c>
      <c r="B199" s="86">
        <v>1472.6055384615383</v>
      </c>
    </row>
    <row r="200" spans="1:2">
      <c r="A200" s="84">
        <v>1994</v>
      </c>
      <c r="B200" s="87">
        <v>1511.0028881137312</v>
      </c>
    </row>
    <row r="201" spans="1:2">
      <c r="A201" s="84">
        <v>1995</v>
      </c>
      <c r="B201" s="87">
        <v>1553.3930790426512</v>
      </c>
    </row>
    <row r="202" spans="1:2">
      <c r="A202" s="84">
        <v>1996</v>
      </c>
      <c r="B202" s="87">
        <v>1598.9261447723504</v>
      </c>
    </row>
    <row r="203" spans="1:2">
      <c r="A203" s="84">
        <v>1997</v>
      </c>
      <c r="B203" s="87">
        <v>1636.3041314906666</v>
      </c>
    </row>
    <row r="204" spans="1:2">
      <c r="A204" s="84">
        <v>1998</v>
      </c>
      <c r="B204" s="87">
        <v>1661.7041209999138</v>
      </c>
    </row>
    <row r="205" spans="1:2">
      <c r="A205" s="84">
        <v>1999</v>
      </c>
      <c r="B205" s="87">
        <v>1698.0625692439826</v>
      </c>
    </row>
    <row r="206" spans="1:2">
      <c r="A206" s="84">
        <v>2000</v>
      </c>
      <c r="B206" s="87">
        <v>1755.4037091037096</v>
      </c>
    </row>
    <row r="207" spans="1:2">
      <c r="A207" s="84">
        <v>2001</v>
      </c>
      <c r="B207" s="87">
        <v>1805.0149287303989</v>
      </c>
    </row>
    <row r="208" spans="1:2">
      <c r="A208" s="84">
        <v>2002</v>
      </c>
      <c r="B208" s="87">
        <v>1833.6420524184621</v>
      </c>
    </row>
    <row r="209" spans="1:2">
      <c r="A209" s="84">
        <v>2003</v>
      </c>
      <c r="B209" s="87">
        <v>1875.2679405724382</v>
      </c>
    </row>
    <row r="210" spans="1:2">
      <c r="A210" s="84">
        <v>2004</v>
      </c>
      <c r="B210" s="87">
        <v>1925.4724866528045</v>
      </c>
    </row>
    <row r="211" spans="1:2">
      <c r="A211" s="84">
        <v>2005</v>
      </c>
      <c r="B211" s="87">
        <v>1990.7998356870992</v>
      </c>
    </row>
    <row r="212" spans="1:2">
      <c r="A212" s="84">
        <v>2006</v>
      </c>
      <c r="B212" s="87">
        <v>2055.021280384658</v>
      </c>
    </row>
    <row r="213" spans="1:2">
      <c r="A213" s="84">
        <v>2007</v>
      </c>
      <c r="B213" s="87">
        <v>2113.6447426538857</v>
      </c>
    </row>
  </sheetData>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3"/>
  <sheetViews>
    <sheetView workbookViewId="0">
      <pane xSplit="1" ySplit="1" topLeftCell="B2" activePane="bottomRight" state="frozen"/>
      <selection pane="topRight" activeCell="B1" sqref="B1"/>
      <selection pane="bottomLeft" activeCell="A2" sqref="A2"/>
      <selection pane="bottomRight" activeCell="N37" sqref="N37"/>
    </sheetView>
  </sheetViews>
  <sheetFormatPr baseColWidth="10" defaultColWidth="11" defaultRowHeight="15" x14ac:dyDescent="0"/>
  <sheetData>
    <row r="1" spans="1:9">
      <c r="A1" t="s">
        <v>0</v>
      </c>
      <c r="B1" t="s">
        <v>230</v>
      </c>
      <c r="E1" t="s">
        <v>770</v>
      </c>
      <c r="I1" t="s">
        <v>769</v>
      </c>
    </row>
    <row r="2" spans="1:9">
      <c r="A2">
        <v>1774</v>
      </c>
      <c r="B2">
        <v>7.82</v>
      </c>
    </row>
    <row r="3" spans="1:9">
      <c r="A3">
        <v>1775</v>
      </c>
      <c r="B3">
        <v>7.41</v>
      </c>
    </row>
    <row r="4" spans="1:9">
      <c r="A4">
        <v>1776</v>
      </c>
      <c r="B4">
        <v>8.4600000000000009</v>
      </c>
    </row>
    <row r="5" spans="1:9">
      <c r="A5">
        <v>1777</v>
      </c>
      <c r="B5">
        <v>10.31</v>
      </c>
    </row>
    <row r="6" spans="1:9">
      <c r="A6">
        <v>1778</v>
      </c>
      <c r="B6">
        <v>13.38</v>
      </c>
    </row>
    <row r="7" spans="1:9">
      <c r="A7">
        <v>1779</v>
      </c>
      <c r="B7">
        <v>11.84</v>
      </c>
    </row>
    <row r="8" spans="1:9">
      <c r="A8">
        <v>1780</v>
      </c>
      <c r="B8">
        <v>13.29</v>
      </c>
    </row>
    <row r="9" spans="1:9">
      <c r="A9">
        <v>1781</v>
      </c>
      <c r="B9">
        <v>10.72</v>
      </c>
    </row>
    <row r="10" spans="1:9">
      <c r="A10">
        <v>1782</v>
      </c>
      <c r="B10">
        <v>11.76</v>
      </c>
    </row>
    <row r="11" spans="1:9">
      <c r="A11">
        <v>1783</v>
      </c>
      <c r="B11">
        <v>10.31</v>
      </c>
    </row>
    <row r="12" spans="1:9">
      <c r="A12">
        <v>1784</v>
      </c>
      <c r="B12">
        <v>9.91</v>
      </c>
    </row>
    <row r="13" spans="1:9">
      <c r="A13">
        <v>1785</v>
      </c>
      <c r="B13">
        <v>9.43</v>
      </c>
    </row>
    <row r="14" spans="1:9">
      <c r="A14">
        <v>1786</v>
      </c>
      <c r="B14">
        <v>9.19</v>
      </c>
    </row>
    <row r="15" spans="1:9">
      <c r="A15">
        <v>1787</v>
      </c>
      <c r="B15">
        <v>9.02</v>
      </c>
    </row>
    <row r="16" spans="1:9">
      <c r="A16">
        <v>1788</v>
      </c>
      <c r="B16">
        <v>8.6199999999999992</v>
      </c>
    </row>
    <row r="17" spans="1:2">
      <c r="A17">
        <v>1789</v>
      </c>
      <c r="B17">
        <v>8.5399999999999991</v>
      </c>
    </row>
    <row r="18" spans="1:2">
      <c r="A18">
        <v>1790</v>
      </c>
      <c r="B18">
        <v>8.86</v>
      </c>
    </row>
    <row r="19" spans="1:2">
      <c r="A19">
        <v>1791</v>
      </c>
      <c r="B19">
        <v>9.1</v>
      </c>
    </row>
    <row r="20" spans="1:2">
      <c r="A20">
        <v>1792</v>
      </c>
      <c r="B20">
        <v>9.27</v>
      </c>
    </row>
    <row r="21" spans="1:2">
      <c r="A21">
        <v>1793</v>
      </c>
      <c r="B21">
        <v>9.59</v>
      </c>
    </row>
    <row r="22" spans="1:2">
      <c r="A22">
        <v>1794</v>
      </c>
      <c r="B22">
        <v>10.64</v>
      </c>
    </row>
    <row r="23" spans="1:2">
      <c r="A23">
        <v>1795</v>
      </c>
      <c r="B23">
        <v>12.17</v>
      </c>
    </row>
    <row r="24" spans="1:2">
      <c r="A24">
        <v>1796</v>
      </c>
      <c r="B24">
        <v>12.81</v>
      </c>
    </row>
    <row r="25" spans="1:2">
      <c r="A25">
        <v>1797</v>
      </c>
      <c r="B25">
        <v>12.33</v>
      </c>
    </row>
    <row r="26" spans="1:2">
      <c r="A26">
        <v>1798</v>
      </c>
      <c r="B26">
        <v>11.92</v>
      </c>
    </row>
    <row r="27" spans="1:2">
      <c r="A27">
        <v>1799</v>
      </c>
      <c r="B27">
        <v>11.92</v>
      </c>
    </row>
    <row r="28" spans="1:2">
      <c r="A28">
        <v>1800</v>
      </c>
      <c r="B28">
        <v>12.17</v>
      </c>
    </row>
    <row r="29" spans="1:2">
      <c r="A29">
        <v>1801</v>
      </c>
      <c r="B29">
        <v>12.33</v>
      </c>
    </row>
    <row r="30" spans="1:2">
      <c r="A30">
        <v>1802</v>
      </c>
      <c r="B30">
        <v>10.39</v>
      </c>
    </row>
    <row r="31" spans="1:2">
      <c r="A31">
        <v>1803</v>
      </c>
      <c r="B31">
        <v>10.96</v>
      </c>
    </row>
    <row r="32" spans="1:2">
      <c r="A32">
        <v>1804</v>
      </c>
      <c r="B32">
        <v>11.44</v>
      </c>
    </row>
    <row r="33" spans="1:2">
      <c r="A33">
        <v>1805</v>
      </c>
      <c r="B33">
        <v>11.36</v>
      </c>
    </row>
    <row r="34" spans="1:2">
      <c r="A34">
        <v>1806</v>
      </c>
      <c r="B34">
        <v>11.84</v>
      </c>
    </row>
    <row r="35" spans="1:2">
      <c r="A35">
        <v>1807</v>
      </c>
      <c r="B35">
        <v>11.2</v>
      </c>
    </row>
    <row r="36" spans="1:2">
      <c r="A36">
        <v>1808</v>
      </c>
      <c r="B36">
        <v>12.17</v>
      </c>
    </row>
    <row r="37" spans="1:2">
      <c r="A37">
        <v>1809</v>
      </c>
      <c r="B37">
        <v>11.92</v>
      </c>
    </row>
    <row r="38" spans="1:2">
      <c r="A38">
        <v>1810</v>
      </c>
      <c r="B38">
        <v>11.92</v>
      </c>
    </row>
    <row r="39" spans="1:2">
      <c r="A39">
        <v>1811</v>
      </c>
      <c r="B39">
        <v>12.73</v>
      </c>
    </row>
    <row r="40" spans="1:2">
      <c r="A40">
        <v>1812</v>
      </c>
      <c r="B40">
        <v>12.89</v>
      </c>
    </row>
    <row r="41" spans="1:2">
      <c r="A41">
        <v>1813</v>
      </c>
      <c r="B41">
        <v>15.47</v>
      </c>
    </row>
    <row r="42" spans="1:2">
      <c r="A42">
        <v>1814</v>
      </c>
      <c r="B42">
        <v>17</v>
      </c>
    </row>
    <row r="43" spans="1:2">
      <c r="A43">
        <v>1815</v>
      </c>
      <c r="B43">
        <v>14.91</v>
      </c>
    </row>
    <row r="44" spans="1:2">
      <c r="A44">
        <v>1816</v>
      </c>
      <c r="B44">
        <v>13.62</v>
      </c>
    </row>
    <row r="45" spans="1:2">
      <c r="A45">
        <v>1817</v>
      </c>
      <c r="B45">
        <v>12.89</v>
      </c>
    </row>
    <row r="46" spans="1:2">
      <c r="A46">
        <v>1818</v>
      </c>
      <c r="B46">
        <v>12.33</v>
      </c>
    </row>
    <row r="47" spans="1:2">
      <c r="A47">
        <v>1819</v>
      </c>
      <c r="B47">
        <v>12.33</v>
      </c>
    </row>
    <row r="48" spans="1:2">
      <c r="A48">
        <v>1820</v>
      </c>
      <c r="B48">
        <v>11.36</v>
      </c>
    </row>
    <row r="49" spans="1:2">
      <c r="A49">
        <v>1821</v>
      </c>
      <c r="B49">
        <v>10.96</v>
      </c>
    </row>
    <row r="50" spans="1:2">
      <c r="A50">
        <v>1822</v>
      </c>
      <c r="B50">
        <v>11.36</v>
      </c>
    </row>
    <row r="51" spans="1:2">
      <c r="A51">
        <v>1823</v>
      </c>
      <c r="B51">
        <v>10.15</v>
      </c>
    </row>
    <row r="52" spans="1:2">
      <c r="A52">
        <v>1824</v>
      </c>
      <c r="B52">
        <v>9.35</v>
      </c>
    </row>
    <row r="53" spans="1:2">
      <c r="A53">
        <v>1825</v>
      </c>
      <c r="B53">
        <v>9.59</v>
      </c>
    </row>
    <row r="54" spans="1:2">
      <c r="A54">
        <v>1826</v>
      </c>
      <c r="B54">
        <v>9.59</v>
      </c>
    </row>
    <row r="55" spans="1:2">
      <c r="A55">
        <v>1827</v>
      </c>
      <c r="B55">
        <v>9.67</v>
      </c>
    </row>
    <row r="56" spans="1:2">
      <c r="A56">
        <v>1828</v>
      </c>
      <c r="B56">
        <v>9.19</v>
      </c>
    </row>
    <row r="57" spans="1:2">
      <c r="A57">
        <v>1829</v>
      </c>
      <c r="B57">
        <v>9.02</v>
      </c>
    </row>
    <row r="58" spans="1:2">
      <c r="A58">
        <v>1830</v>
      </c>
      <c r="B58">
        <v>8.94</v>
      </c>
    </row>
    <row r="59" spans="1:2">
      <c r="A59">
        <v>1831</v>
      </c>
      <c r="B59">
        <v>8.3800000000000008</v>
      </c>
    </row>
    <row r="60" spans="1:2">
      <c r="A60">
        <v>1832</v>
      </c>
      <c r="B60">
        <v>8.3000000000000007</v>
      </c>
    </row>
    <row r="61" spans="1:2">
      <c r="A61">
        <v>1833</v>
      </c>
      <c r="B61">
        <v>8.14</v>
      </c>
    </row>
    <row r="62" spans="1:2">
      <c r="A62">
        <v>1834</v>
      </c>
      <c r="B62">
        <v>8.3000000000000007</v>
      </c>
    </row>
    <row r="63" spans="1:2">
      <c r="A63">
        <v>1835</v>
      </c>
      <c r="B63">
        <v>8.5399999999999991</v>
      </c>
    </row>
    <row r="64" spans="1:2">
      <c r="A64">
        <v>1836</v>
      </c>
      <c r="B64">
        <v>9.02</v>
      </c>
    </row>
    <row r="65" spans="1:2">
      <c r="A65">
        <v>1837</v>
      </c>
      <c r="B65">
        <v>9.27</v>
      </c>
    </row>
    <row r="66" spans="1:2">
      <c r="A66">
        <v>1838</v>
      </c>
      <c r="B66">
        <v>9.02</v>
      </c>
    </row>
    <row r="67" spans="1:2">
      <c r="A67">
        <v>1839</v>
      </c>
      <c r="B67">
        <v>9.02</v>
      </c>
    </row>
    <row r="68" spans="1:2">
      <c r="A68">
        <v>1840</v>
      </c>
      <c r="B68">
        <v>8.3800000000000008</v>
      </c>
    </row>
    <row r="69" spans="1:2">
      <c r="A69">
        <v>1841</v>
      </c>
      <c r="B69">
        <v>8.4600000000000009</v>
      </c>
    </row>
    <row r="70" spans="1:2">
      <c r="A70">
        <v>1842</v>
      </c>
      <c r="B70">
        <v>7.9</v>
      </c>
    </row>
    <row r="71" spans="1:2">
      <c r="A71">
        <v>1843</v>
      </c>
      <c r="B71">
        <v>7.17</v>
      </c>
    </row>
    <row r="72" spans="1:2">
      <c r="A72">
        <v>1844</v>
      </c>
      <c r="B72">
        <v>7.25</v>
      </c>
    </row>
    <row r="73" spans="1:2">
      <c r="A73">
        <v>1845</v>
      </c>
      <c r="B73">
        <v>7.33</v>
      </c>
    </row>
    <row r="74" spans="1:2">
      <c r="A74">
        <v>1846</v>
      </c>
      <c r="B74">
        <v>7.41</v>
      </c>
    </row>
    <row r="75" spans="1:2">
      <c r="A75">
        <v>1847</v>
      </c>
      <c r="B75">
        <v>7.98</v>
      </c>
    </row>
    <row r="76" spans="1:2">
      <c r="A76">
        <v>1848</v>
      </c>
      <c r="B76">
        <v>7.65</v>
      </c>
    </row>
    <row r="77" spans="1:2">
      <c r="A77">
        <v>1849</v>
      </c>
      <c r="B77">
        <v>7.41</v>
      </c>
    </row>
    <row r="78" spans="1:2">
      <c r="A78">
        <v>1850</v>
      </c>
      <c r="B78">
        <v>7.57</v>
      </c>
    </row>
    <row r="79" spans="1:2">
      <c r="A79">
        <v>1851</v>
      </c>
      <c r="B79">
        <v>7.41</v>
      </c>
    </row>
    <row r="80" spans="1:2">
      <c r="A80">
        <v>1852</v>
      </c>
      <c r="B80">
        <v>7.49</v>
      </c>
    </row>
    <row r="81" spans="1:2">
      <c r="A81">
        <v>1853</v>
      </c>
      <c r="B81">
        <v>7.49</v>
      </c>
    </row>
    <row r="82" spans="1:2">
      <c r="A82">
        <v>1854</v>
      </c>
      <c r="B82">
        <v>8.14</v>
      </c>
    </row>
    <row r="83" spans="1:2">
      <c r="A83">
        <v>1855</v>
      </c>
      <c r="B83">
        <v>8.3800000000000008</v>
      </c>
    </row>
    <row r="84" spans="1:2">
      <c r="A84">
        <v>1856</v>
      </c>
      <c r="B84">
        <v>8.2200000000000006</v>
      </c>
    </row>
    <row r="85" spans="1:2">
      <c r="A85">
        <v>1857</v>
      </c>
      <c r="B85">
        <v>8.4600000000000009</v>
      </c>
    </row>
    <row r="86" spans="1:2">
      <c r="A86">
        <v>1858</v>
      </c>
      <c r="B86">
        <v>7.98</v>
      </c>
    </row>
    <row r="87" spans="1:2">
      <c r="A87">
        <v>1859</v>
      </c>
      <c r="B87">
        <v>8.06</v>
      </c>
    </row>
    <row r="88" spans="1:2">
      <c r="A88">
        <v>1860</v>
      </c>
      <c r="B88">
        <v>8.06</v>
      </c>
    </row>
    <row r="89" spans="1:2">
      <c r="A89">
        <v>1861</v>
      </c>
      <c r="B89">
        <v>8.5399999999999991</v>
      </c>
    </row>
    <row r="90" spans="1:2">
      <c r="A90">
        <v>1862</v>
      </c>
      <c r="B90">
        <v>9.75</v>
      </c>
    </row>
    <row r="91" spans="1:2">
      <c r="A91">
        <v>1863</v>
      </c>
      <c r="B91">
        <v>12.17</v>
      </c>
    </row>
    <row r="92" spans="1:2">
      <c r="A92">
        <v>1864</v>
      </c>
      <c r="B92">
        <v>15.23</v>
      </c>
    </row>
    <row r="93" spans="1:2">
      <c r="A93">
        <v>1865</v>
      </c>
      <c r="B93">
        <v>15.79</v>
      </c>
    </row>
    <row r="94" spans="1:2">
      <c r="A94">
        <v>1866</v>
      </c>
      <c r="B94">
        <v>15.39</v>
      </c>
    </row>
    <row r="95" spans="1:2">
      <c r="A95">
        <v>1867</v>
      </c>
      <c r="B95">
        <v>14.34</v>
      </c>
    </row>
    <row r="96" spans="1:2">
      <c r="A96">
        <v>1868</v>
      </c>
      <c r="B96">
        <v>13.78</v>
      </c>
    </row>
    <row r="97" spans="1:2">
      <c r="A97">
        <v>1869</v>
      </c>
      <c r="B97">
        <v>13.21</v>
      </c>
    </row>
    <row r="98" spans="1:2">
      <c r="A98">
        <v>1870</v>
      </c>
      <c r="B98">
        <v>12.65</v>
      </c>
    </row>
    <row r="99" spans="1:2">
      <c r="A99">
        <v>1871</v>
      </c>
      <c r="B99">
        <v>11.84</v>
      </c>
    </row>
    <row r="100" spans="1:2">
      <c r="A100">
        <v>1872</v>
      </c>
      <c r="B100">
        <v>11.84</v>
      </c>
    </row>
    <row r="101" spans="1:2">
      <c r="A101">
        <v>1873</v>
      </c>
      <c r="B101">
        <v>11.6</v>
      </c>
    </row>
    <row r="102" spans="1:2">
      <c r="A102">
        <v>1874</v>
      </c>
      <c r="B102">
        <v>11.04</v>
      </c>
    </row>
    <row r="103" spans="1:2">
      <c r="A103">
        <v>1875</v>
      </c>
      <c r="B103">
        <v>10.64</v>
      </c>
    </row>
    <row r="104" spans="1:2">
      <c r="A104">
        <v>1876</v>
      </c>
      <c r="B104">
        <v>10.39</v>
      </c>
    </row>
    <row r="105" spans="1:2">
      <c r="A105">
        <v>1877</v>
      </c>
      <c r="B105">
        <v>10.15</v>
      </c>
    </row>
    <row r="106" spans="1:2">
      <c r="A106">
        <v>1878</v>
      </c>
      <c r="B106">
        <v>9.67</v>
      </c>
    </row>
    <row r="107" spans="1:2">
      <c r="A107">
        <v>1879</v>
      </c>
      <c r="B107">
        <v>9.67</v>
      </c>
    </row>
    <row r="108" spans="1:2">
      <c r="A108">
        <v>1880</v>
      </c>
      <c r="B108">
        <v>9.91</v>
      </c>
    </row>
    <row r="109" spans="1:2">
      <c r="A109">
        <v>1881</v>
      </c>
      <c r="B109">
        <v>9.91</v>
      </c>
    </row>
    <row r="110" spans="1:2">
      <c r="A110">
        <v>1882</v>
      </c>
      <c r="B110">
        <v>9.91</v>
      </c>
    </row>
    <row r="111" spans="1:2">
      <c r="A111">
        <v>1883</v>
      </c>
      <c r="B111">
        <v>9.7100000000000009</v>
      </c>
    </row>
    <row r="112" spans="1:2">
      <c r="A112">
        <v>1884</v>
      </c>
      <c r="B112">
        <v>9.51</v>
      </c>
    </row>
    <row r="113" spans="1:2">
      <c r="A113">
        <v>1885</v>
      </c>
      <c r="B113">
        <v>9.32</v>
      </c>
    </row>
    <row r="114" spans="1:2">
      <c r="A114">
        <v>1886</v>
      </c>
      <c r="B114">
        <v>9.1199999999999992</v>
      </c>
    </row>
    <row r="115" spans="1:2">
      <c r="A115">
        <v>1887</v>
      </c>
      <c r="B115">
        <v>9.2200000000000006</v>
      </c>
    </row>
    <row r="116" spans="1:2">
      <c r="A116">
        <v>1888</v>
      </c>
      <c r="B116">
        <v>9.2200000000000006</v>
      </c>
    </row>
    <row r="117" spans="1:2">
      <c r="A117">
        <v>1889</v>
      </c>
      <c r="B117">
        <v>8.92</v>
      </c>
    </row>
    <row r="118" spans="1:2">
      <c r="A118">
        <v>1890</v>
      </c>
      <c r="B118">
        <v>8.82</v>
      </c>
    </row>
    <row r="119" spans="1:2">
      <c r="A119">
        <v>1891</v>
      </c>
      <c r="B119">
        <v>8.82</v>
      </c>
    </row>
    <row r="120" spans="1:2">
      <c r="A120">
        <v>1892</v>
      </c>
      <c r="B120">
        <v>8.82</v>
      </c>
    </row>
    <row r="121" spans="1:2">
      <c r="A121">
        <v>1893</v>
      </c>
      <c r="B121">
        <v>8.7200000000000006</v>
      </c>
    </row>
    <row r="122" spans="1:2">
      <c r="A122">
        <v>1894</v>
      </c>
      <c r="B122">
        <v>8.34</v>
      </c>
    </row>
    <row r="123" spans="1:2">
      <c r="A123">
        <v>1895</v>
      </c>
      <c r="B123">
        <v>8.14</v>
      </c>
    </row>
    <row r="124" spans="1:2">
      <c r="A124">
        <v>1896</v>
      </c>
      <c r="B124">
        <v>8.14</v>
      </c>
    </row>
    <row r="125" spans="1:2">
      <c r="A125">
        <v>1897</v>
      </c>
      <c r="B125">
        <v>8.0399999999999991</v>
      </c>
    </row>
    <row r="126" spans="1:2">
      <c r="A126">
        <v>1898</v>
      </c>
      <c r="B126">
        <v>8.0399999999999991</v>
      </c>
    </row>
    <row r="127" spans="1:2">
      <c r="A127">
        <v>1899</v>
      </c>
      <c r="B127">
        <v>8.0399999999999991</v>
      </c>
    </row>
    <row r="128" spans="1:2">
      <c r="A128">
        <v>1900</v>
      </c>
      <c r="B128">
        <v>8.14</v>
      </c>
    </row>
    <row r="129" spans="1:2">
      <c r="A129">
        <v>1901</v>
      </c>
      <c r="B129">
        <v>8.24</v>
      </c>
    </row>
    <row r="130" spans="1:2">
      <c r="A130">
        <v>1902</v>
      </c>
      <c r="B130">
        <v>8.34</v>
      </c>
    </row>
    <row r="131" spans="1:2">
      <c r="A131">
        <v>1903</v>
      </c>
      <c r="B131">
        <v>8.5299999999999994</v>
      </c>
    </row>
    <row r="132" spans="1:2">
      <c r="A132">
        <v>1904</v>
      </c>
      <c r="B132">
        <v>8.6300000000000008</v>
      </c>
    </row>
    <row r="133" spans="1:2">
      <c r="A133">
        <v>1905</v>
      </c>
      <c r="B133">
        <v>8.5299999999999994</v>
      </c>
    </row>
    <row r="134" spans="1:2">
      <c r="A134">
        <v>1906</v>
      </c>
      <c r="B134">
        <v>8.7200000000000006</v>
      </c>
    </row>
    <row r="135" spans="1:2">
      <c r="A135">
        <v>1907</v>
      </c>
      <c r="B135">
        <v>9.11</v>
      </c>
    </row>
    <row r="136" spans="1:2">
      <c r="A136">
        <v>1908</v>
      </c>
      <c r="B136">
        <v>8.92</v>
      </c>
    </row>
    <row r="137" spans="1:2">
      <c r="A137">
        <v>1909</v>
      </c>
      <c r="B137">
        <v>8.82</v>
      </c>
    </row>
    <row r="138" spans="1:2">
      <c r="A138">
        <v>1910</v>
      </c>
      <c r="B138">
        <v>9.2100000000000009</v>
      </c>
    </row>
    <row r="139" spans="1:2">
      <c r="A139">
        <v>1911</v>
      </c>
      <c r="B139">
        <v>9.2100000000000009</v>
      </c>
    </row>
    <row r="140" spans="1:2">
      <c r="A140">
        <v>1912</v>
      </c>
      <c r="B140">
        <v>9.4</v>
      </c>
    </row>
    <row r="141" spans="1:2">
      <c r="A141">
        <v>1913</v>
      </c>
      <c r="B141">
        <v>9.6</v>
      </c>
    </row>
    <row r="142" spans="1:2">
      <c r="A142">
        <v>1914</v>
      </c>
      <c r="B142">
        <v>9.69</v>
      </c>
    </row>
    <row r="143" spans="1:2">
      <c r="A143">
        <v>1915</v>
      </c>
      <c r="B143">
        <v>9.74</v>
      </c>
    </row>
    <row r="144" spans="1:2">
      <c r="A144">
        <v>1916</v>
      </c>
      <c r="B144">
        <v>10.64</v>
      </c>
    </row>
    <row r="145" spans="1:2">
      <c r="A145">
        <v>1917</v>
      </c>
      <c r="B145">
        <v>12.82</v>
      </c>
    </row>
    <row r="146" spans="1:2">
      <c r="A146">
        <v>1918</v>
      </c>
      <c r="B146">
        <v>15.06</v>
      </c>
    </row>
    <row r="147" spans="1:2">
      <c r="A147">
        <v>1919</v>
      </c>
      <c r="B147">
        <v>17.3</v>
      </c>
    </row>
    <row r="148" spans="1:2">
      <c r="A148">
        <v>1920</v>
      </c>
      <c r="B148">
        <v>20.04</v>
      </c>
    </row>
    <row r="149" spans="1:2">
      <c r="A149">
        <v>1921</v>
      </c>
      <c r="B149">
        <v>17.899999999999999</v>
      </c>
    </row>
    <row r="150" spans="1:2">
      <c r="A150">
        <v>1922</v>
      </c>
      <c r="B150">
        <v>16.77</v>
      </c>
    </row>
    <row r="151" spans="1:2">
      <c r="A151">
        <v>1923</v>
      </c>
      <c r="B151">
        <v>17.07</v>
      </c>
    </row>
    <row r="152" spans="1:2">
      <c r="A152">
        <v>1924</v>
      </c>
      <c r="B152">
        <v>17.100000000000001</v>
      </c>
    </row>
    <row r="153" spans="1:2">
      <c r="A153">
        <v>1925</v>
      </c>
      <c r="B153">
        <v>17.53</v>
      </c>
    </row>
    <row r="154" spans="1:2">
      <c r="A154">
        <v>1926</v>
      </c>
      <c r="B154">
        <v>17.7</v>
      </c>
    </row>
    <row r="155" spans="1:2">
      <c r="A155">
        <v>1927</v>
      </c>
      <c r="B155">
        <v>17.37</v>
      </c>
    </row>
    <row r="156" spans="1:2">
      <c r="A156">
        <v>1928</v>
      </c>
      <c r="B156">
        <v>17.13</v>
      </c>
    </row>
    <row r="157" spans="1:2">
      <c r="A157">
        <v>1929</v>
      </c>
      <c r="B157">
        <v>17.13</v>
      </c>
    </row>
    <row r="158" spans="1:2">
      <c r="A158">
        <v>1930</v>
      </c>
      <c r="B158">
        <v>16.7</v>
      </c>
    </row>
    <row r="159" spans="1:2">
      <c r="A159">
        <v>1931</v>
      </c>
      <c r="B159">
        <v>15.23</v>
      </c>
    </row>
    <row r="160" spans="1:2">
      <c r="A160">
        <v>1932</v>
      </c>
      <c r="B160">
        <v>13.66</v>
      </c>
    </row>
    <row r="161" spans="1:2">
      <c r="A161">
        <v>1933</v>
      </c>
      <c r="B161">
        <v>12.96</v>
      </c>
    </row>
    <row r="162" spans="1:2">
      <c r="A162">
        <v>1934</v>
      </c>
      <c r="B162">
        <v>13.39</v>
      </c>
    </row>
    <row r="163" spans="1:2">
      <c r="A163">
        <v>1935</v>
      </c>
      <c r="B163">
        <v>13.73</v>
      </c>
    </row>
    <row r="164" spans="1:2">
      <c r="A164">
        <v>1936</v>
      </c>
      <c r="B164">
        <v>13.86</v>
      </c>
    </row>
    <row r="165" spans="1:2">
      <c r="A165">
        <v>1937</v>
      </c>
      <c r="B165">
        <v>14.36</v>
      </c>
    </row>
    <row r="166" spans="1:2">
      <c r="A166">
        <v>1938</v>
      </c>
      <c r="B166">
        <v>14.09</v>
      </c>
    </row>
    <row r="167" spans="1:2">
      <c r="A167">
        <v>1939</v>
      </c>
      <c r="B167">
        <v>13.89</v>
      </c>
    </row>
    <row r="168" spans="1:2">
      <c r="A168">
        <v>1940</v>
      </c>
      <c r="B168">
        <v>14.03</v>
      </c>
    </row>
    <row r="169" spans="1:2">
      <c r="A169">
        <v>1941</v>
      </c>
      <c r="B169">
        <v>14.73</v>
      </c>
    </row>
    <row r="170" spans="1:2">
      <c r="A170">
        <v>1942</v>
      </c>
      <c r="B170">
        <v>16.3</v>
      </c>
    </row>
    <row r="171" spans="1:2">
      <c r="A171">
        <v>1943</v>
      </c>
      <c r="B171">
        <v>17.3</v>
      </c>
    </row>
    <row r="172" spans="1:2">
      <c r="A172">
        <v>1944</v>
      </c>
      <c r="B172">
        <v>17.600000000000001</v>
      </c>
    </row>
    <row r="173" spans="1:2">
      <c r="A173">
        <v>1945</v>
      </c>
      <c r="B173">
        <v>18</v>
      </c>
    </row>
    <row r="174" spans="1:2">
      <c r="A174">
        <v>1946</v>
      </c>
      <c r="B174">
        <v>19.54</v>
      </c>
    </row>
    <row r="175" spans="1:2">
      <c r="A175">
        <v>1947</v>
      </c>
      <c r="B175">
        <v>22.34</v>
      </c>
    </row>
    <row r="176" spans="1:2">
      <c r="A176">
        <v>1948</v>
      </c>
      <c r="B176">
        <v>24.08</v>
      </c>
    </row>
    <row r="177" spans="1:2">
      <c r="A177">
        <v>1949</v>
      </c>
      <c r="B177">
        <v>23.85</v>
      </c>
    </row>
    <row r="178" spans="1:2">
      <c r="A178">
        <v>1950</v>
      </c>
      <c r="B178">
        <v>24.08</v>
      </c>
    </row>
    <row r="179" spans="1:2">
      <c r="A179">
        <v>1951</v>
      </c>
      <c r="B179">
        <v>25.98</v>
      </c>
    </row>
    <row r="180" spans="1:2">
      <c r="A180">
        <v>1952</v>
      </c>
      <c r="B180">
        <v>26.55</v>
      </c>
    </row>
    <row r="181" spans="1:2">
      <c r="A181">
        <v>1953</v>
      </c>
      <c r="B181">
        <v>26.75</v>
      </c>
    </row>
    <row r="182" spans="1:2">
      <c r="A182">
        <v>1954</v>
      </c>
      <c r="B182">
        <v>26.88</v>
      </c>
    </row>
    <row r="183" spans="1:2">
      <c r="A183">
        <v>1955</v>
      </c>
      <c r="B183">
        <v>26.78</v>
      </c>
    </row>
    <row r="184" spans="1:2">
      <c r="A184">
        <v>1956</v>
      </c>
      <c r="B184">
        <v>27.18</v>
      </c>
    </row>
    <row r="185" spans="1:2">
      <c r="A185">
        <v>1957</v>
      </c>
      <c r="B185">
        <v>28.15</v>
      </c>
    </row>
    <row r="186" spans="1:2">
      <c r="A186">
        <v>1958</v>
      </c>
      <c r="B186">
        <v>28.92</v>
      </c>
    </row>
    <row r="187" spans="1:2">
      <c r="A187">
        <v>1959</v>
      </c>
      <c r="B187">
        <v>29.16</v>
      </c>
    </row>
    <row r="188" spans="1:2">
      <c r="A188">
        <v>1960</v>
      </c>
      <c r="B188">
        <v>29.62</v>
      </c>
    </row>
    <row r="189" spans="1:2">
      <c r="A189">
        <v>1961</v>
      </c>
      <c r="B189">
        <v>29.92</v>
      </c>
    </row>
    <row r="190" spans="1:2">
      <c r="A190">
        <v>1962</v>
      </c>
      <c r="B190">
        <v>30.26</v>
      </c>
    </row>
    <row r="191" spans="1:2">
      <c r="A191">
        <v>1963</v>
      </c>
      <c r="B191">
        <v>30.62</v>
      </c>
    </row>
    <row r="192" spans="1:2">
      <c r="A192">
        <v>1964</v>
      </c>
      <c r="B192">
        <v>31.03</v>
      </c>
    </row>
    <row r="193" spans="1:2">
      <c r="A193">
        <v>1965</v>
      </c>
      <c r="B193">
        <v>31.56</v>
      </c>
    </row>
    <row r="194" spans="1:2">
      <c r="A194">
        <v>1966</v>
      </c>
      <c r="B194">
        <v>32.46</v>
      </c>
    </row>
    <row r="195" spans="1:2">
      <c r="A195">
        <v>1967</v>
      </c>
      <c r="B195">
        <v>33.4</v>
      </c>
    </row>
    <row r="196" spans="1:2">
      <c r="A196">
        <v>1968</v>
      </c>
      <c r="B196">
        <v>34.799999999999997</v>
      </c>
    </row>
    <row r="197" spans="1:2">
      <c r="A197">
        <v>1969</v>
      </c>
      <c r="B197">
        <v>36.67</v>
      </c>
    </row>
    <row r="198" spans="1:2">
      <c r="A198">
        <v>1970</v>
      </c>
      <c r="B198">
        <v>38.840000000000003</v>
      </c>
    </row>
    <row r="199" spans="1:2">
      <c r="A199">
        <v>1971</v>
      </c>
      <c r="B199">
        <v>40.51</v>
      </c>
    </row>
    <row r="200" spans="1:2">
      <c r="A200">
        <v>1972</v>
      </c>
      <c r="B200">
        <v>41.85</v>
      </c>
    </row>
    <row r="201" spans="1:2">
      <c r="A201">
        <v>1973</v>
      </c>
      <c r="B201">
        <v>44.45</v>
      </c>
    </row>
    <row r="202" spans="1:2">
      <c r="A202">
        <v>1974</v>
      </c>
      <c r="B202">
        <v>49.33</v>
      </c>
    </row>
    <row r="203" spans="1:2">
      <c r="A203">
        <v>1975</v>
      </c>
      <c r="B203">
        <v>53.84</v>
      </c>
    </row>
    <row r="204" spans="1:2">
      <c r="A204">
        <v>1976</v>
      </c>
      <c r="B204">
        <v>56.94</v>
      </c>
    </row>
    <row r="205" spans="1:2">
      <c r="A205">
        <v>1977</v>
      </c>
      <c r="B205">
        <v>60.61</v>
      </c>
    </row>
    <row r="206" spans="1:2">
      <c r="A206">
        <v>1978</v>
      </c>
      <c r="B206">
        <v>65.22</v>
      </c>
    </row>
    <row r="207" spans="1:2">
      <c r="A207">
        <v>1979</v>
      </c>
      <c r="B207">
        <v>72.569999999999993</v>
      </c>
    </row>
    <row r="208" spans="1:2">
      <c r="A208">
        <v>1980</v>
      </c>
      <c r="B208">
        <v>82.38</v>
      </c>
    </row>
    <row r="209" spans="1:2">
      <c r="A209">
        <v>1981</v>
      </c>
      <c r="B209">
        <v>90.93</v>
      </c>
    </row>
    <row r="210" spans="1:2">
      <c r="A210">
        <v>1982</v>
      </c>
      <c r="B210">
        <v>96.5</v>
      </c>
    </row>
    <row r="211" spans="1:2">
      <c r="A211">
        <v>1983</v>
      </c>
      <c r="B211">
        <v>99.6</v>
      </c>
    </row>
    <row r="212" spans="1:2">
      <c r="A212">
        <v>1984</v>
      </c>
      <c r="B212">
        <v>103.9</v>
      </c>
    </row>
    <row r="213" spans="1:2">
      <c r="A213">
        <v>1985</v>
      </c>
      <c r="B213">
        <v>107.6</v>
      </c>
    </row>
    <row r="214" spans="1:2">
      <c r="A214">
        <v>1986</v>
      </c>
      <c r="B214">
        <v>109.6</v>
      </c>
    </row>
    <row r="215" spans="1:2">
      <c r="A215">
        <v>1987</v>
      </c>
      <c r="B215">
        <v>113.6</v>
      </c>
    </row>
    <row r="216" spans="1:2">
      <c r="A216">
        <v>1988</v>
      </c>
      <c r="B216">
        <v>118.3</v>
      </c>
    </row>
    <row r="217" spans="1:2">
      <c r="A217">
        <v>1989</v>
      </c>
      <c r="B217">
        <v>124</v>
      </c>
    </row>
    <row r="218" spans="1:2">
      <c r="A218">
        <v>1990</v>
      </c>
      <c r="B218">
        <v>130.69999999999999</v>
      </c>
    </row>
    <row r="219" spans="1:2">
      <c r="A219">
        <v>1991</v>
      </c>
      <c r="B219">
        <v>136.19999999999999</v>
      </c>
    </row>
    <row r="220" spans="1:2">
      <c r="A220">
        <v>1992</v>
      </c>
      <c r="B220">
        <v>140.30000000000001</v>
      </c>
    </row>
    <row r="221" spans="1:2">
      <c r="A221">
        <v>1993</v>
      </c>
      <c r="B221">
        <v>144.5</v>
      </c>
    </row>
    <row r="222" spans="1:2">
      <c r="A222">
        <v>1994</v>
      </c>
      <c r="B222">
        <v>148.19999999999999</v>
      </c>
    </row>
    <row r="223" spans="1:2">
      <c r="A223">
        <v>1995</v>
      </c>
      <c r="B223">
        <v>152.4</v>
      </c>
    </row>
    <row r="224" spans="1:2">
      <c r="A224">
        <v>1996</v>
      </c>
      <c r="B224">
        <v>156.9</v>
      </c>
    </row>
    <row r="225" spans="1:2">
      <c r="A225">
        <v>1997</v>
      </c>
      <c r="B225">
        <v>160.5</v>
      </c>
    </row>
    <row r="226" spans="1:2">
      <c r="A226">
        <v>1998</v>
      </c>
      <c r="B226">
        <v>163</v>
      </c>
    </row>
    <row r="227" spans="1:2">
      <c r="A227">
        <v>1999</v>
      </c>
      <c r="B227">
        <v>166.6</v>
      </c>
    </row>
    <row r="228" spans="1:2">
      <c r="A228">
        <v>2000</v>
      </c>
      <c r="B228">
        <v>172.2</v>
      </c>
    </row>
    <row r="229" spans="1:2">
      <c r="A229">
        <v>2001</v>
      </c>
      <c r="B229">
        <v>177.1</v>
      </c>
    </row>
    <row r="230" spans="1:2">
      <c r="A230">
        <v>2002</v>
      </c>
      <c r="B230">
        <v>179.9</v>
      </c>
    </row>
    <row r="231" spans="1:2">
      <c r="A231">
        <v>2003</v>
      </c>
      <c r="B231">
        <v>184</v>
      </c>
    </row>
    <row r="232" spans="1:2">
      <c r="A232">
        <v>2004</v>
      </c>
      <c r="B232">
        <v>188.9</v>
      </c>
    </row>
    <row r="233" spans="1:2">
      <c r="A233">
        <v>2005</v>
      </c>
      <c r="B233">
        <v>195.3</v>
      </c>
    </row>
    <row r="234" spans="1:2">
      <c r="A234">
        <v>2006</v>
      </c>
      <c r="B234">
        <v>201.6</v>
      </c>
    </row>
    <row r="235" spans="1:2">
      <c r="A235">
        <v>2007</v>
      </c>
      <c r="B235">
        <v>207.34</v>
      </c>
    </row>
    <row r="236" spans="1:2">
      <c r="A236">
        <v>2008</v>
      </c>
      <c r="B236">
        <v>215.3</v>
      </c>
    </row>
    <row r="237" spans="1:2">
      <c r="A237">
        <v>2009</v>
      </c>
      <c r="B237">
        <v>214.54</v>
      </c>
    </row>
    <row r="238" spans="1:2">
      <c r="A238">
        <v>2010</v>
      </c>
      <c r="B238">
        <v>218.06</v>
      </c>
    </row>
    <row r="239" spans="1:2">
      <c r="A239">
        <v>2011</v>
      </c>
      <c r="B239">
        <v>224.94</v>
      </c>
    </row>
    <row r="240" spans="1:2">
      <c r="A240" t="s">
        <v>231</v>
      </c>
    </row>
    <row r="241" spans="1:1">
      <c r="A241" t="s">
        <v>232</v>
      </c>
    </row>
    <row r="243" spans="1:1">
      <c r="A243" t="s">
        <v>233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45"/>
  <sheetViews>
    <sheetView topLeftCell="B1" workbookViewId="0">
      <pane xSplit="1" ySplit="3" topLeftCell="C4" activePane="bottomRight" state="frozen"/>
      <selection activeCell="B1" sqref="B1"/>
      <selection pane="topRight" activeCell="C1" sqref="C1"/>
      <selection pane="bottomLeft" activeCell="B4" sqref="B4"/>
      <selection pane="bottomRight" activeCell="H36" sqref="H36"/>
    </sheetView>
  </sheetViews>
  <sheetFormatPr baseColWidth="10" defaultColWidth="11" defaultRowHeight="15" x14ac:dyDescent="0"/>
  <cols>
    <col min="1" max="1" width="14.83203125" hidden="1" customWidth="1"/>
    <col min="2" max="2" width="11.33203125" bestFit="1" customWidth="1"/>
    <col min="3" max="3" width="14.1640625" bestFit="1" customWidth="1"/>
    <col min="4" max="4" width="14.1640625" customWidth="1"/>
    <col min="5" max="5" width="20.1640625" hidden="1" customWidth="1"/>
    <col min="6" max="6" width="12.83203125" customWidth="1"/>
    <col min="7" max="7" width="91.5" bestFit="1" customWidth="1"/>
  </cols>
  <sheetData>
    <row r="2" spans="1:7">
      <c r="C2" t="s">
        <v>224</v>
      </c>
      <c r="D2" t="s">
        <v>257</v>
      </c>
      <c r="E2" t="s">
        <v>237</v>
      </c>
    </row>
    <row r="3" spans="1:7">
      <c r="A3" t="s">
        <v>0</v>
      </c>
      <c r="B3" t="s">
        <v>0</v>
      </c>
      <c r="C3" t="s">
        <v>235</v>
      </c>
      <c r="D3" t="s">
        <v>258</v>
      </c>
      <c r="E3" t="s">
        <v>236</v>
      </c>
      <c r="G3" t="s">
        <v>234</v>
      </c>
    </row>
    <row r="4" spans="1:7">
      <c r="A4">
        <v>1800</v>
      </c>
      <c r="B4">
        <v>1800</v>
      </c>
      <c r="C4">
        <v>51</v>
      </c>
      <c r="G4" t="s">
        <v>25</v>
      </c>
    </row>
    <row r="5" spans="1:7">
      <c r="A5">
        <v>51</v>
      </c>
      <c r="B5">
        <v>1801</v>
      </c>
      <c r="C5" s="91">
        <v>50</v>
      </c>
      <c r="D5" s="90">
        <f>(C5-C4)/C4</f>
        <v>-1.9607843137254902E-2</v>
      </c>
      <c r="E5" s="90">
        <v>-0.02</v>
      </c>
      <c r="F5" s="90"/>
      <c r="G5" t="s">
        <v>238</v>
      </c>
    </row>
    <row r="6" spans="1:7">
      <c r="A6">
        <v>1801</v>
      </c>
      <c r="B6">
        <v>1802</v>
      </c>
      <c r="C6" s="91">
        <v>43</v>
      </c>
      <c r="D6" s="90">
        <f t="shared" ref="D6:D69" si="0">(C6-C5)/C5</f>
        <v>-0.14000000000000001</v>
      </c>
      <c r="E6" s="90">
        <v>-0.14000000000000001</v>
      </c>
      <c r="F6" s="90"/>
      <c r="G6" t="s">
        <v>239</v>
      </c>
    </row>
    <row r="7" spans="1:7">
      <c r="A7">
        <v>50</v>
      </c>
      <c r="B7">
        <v>1803</v>
      </c>
      <c r="C7" s="91">
        <v>45</v>
      </c>
      <c r="D7" s="90">
        <f t="shared" si="0"/>
        <v>4.6511627906976744E-2</v>
      </c>
      <c r="E7" s="90">
        <v>4.7E-2</v>
      </c>
      <c r="F7" s="90"/>
      <c r="G7" t="s">
        <v>240</v>
      </c>
    </row>
    <row r="8" spans="1:7">
      <c r="A8" s="89">
        <v>-0.02</v>
      </c>
      <c r="B8">
        <v>1804</v>
      </c>
      <c r="C8" s="91">
        <v>45</v>
      </c>
      <c r="D8" s="90">
        <f t="shared" si="0"/>
        <v>0</v>
      </c>
      <c r="E8" s="90">
        <v>0</v>
      </c>
      <c r="F8" s="90"/>
      <c r="G8" t="s">
        <v>241</v>
      </c>
    </row>
    <row r="9" spans="1:7">
      <c r="A9">
        <v>1802</v>
      </c>
      <c r="B9">
        <v>1805</v>
      </c>
      <c r="C9" s="91">
        <v>45</v>
      </c>
      <c r="D9" s="90">
        <f t="shared" si="0"/>
        <v>0</v>
      </c>
      <c r="E9" s="90">
        <v>0</v>
      </c>
      <c r="F9" s="90"/>
      <c r="G9" t="s">
        <v>242</v>
      </c>
    </row>
    <row r="10" spans="1:7">
      <c r="A10">
        <v>43</v>
      </c>
      <c r="B10">
        <v>1806</v>
      </c>
      <c r="C10" s="91">
        <v>47</v>
      </c>
      <c r="D10" s="90">
        <f t="shared" si="0"/>
        <v>4.4444444444444446E-2</v>
      </c>
      <c r="E10" s="90">
        <v>4.3999999999999997E-2</v>
      </c>
      <c r="F10" s="90"/>
      <c r="G10" t="s">
        <v>243</v>
      </c>
    </row>
    <row r="11" spans="1:7">
      <c r="A11" s="89">
        <v>-0.14000000000000001</v>
      </c>
      <c r="B11">
        <v>1807</v>
      </c>
      <c r="C11" s="91">
        <v>44</v>
      </c>
      <c r="D11" s="90">
        <f t="shared" si="0"/>
        <v>-6.3829787234042548E-2</v>
      </c>
      <c r="E11" s="90">
        <v>-6.4000000000000001E-2</v>
      </c>
      <c r="F11" s="90"/>
      <c r="G11" t="s">
        <v>244</v>
      </c>
    </row>
    <row r="12" spans="1:7">
      <c r="A12">
        <v>1803</v>
      </c>
      <c r="B12">
        <v>1808</v>
      </c>
      <c r="C12" s="91">
        <v>48</v>
      </c>
      <c r="D12" s="90">
        <f t="shared" si="0"/>
        <v>9.0909090909090912E-2</v>
      </c>
      <c r="E12" s="90">
        <v>9.0999999999999998E-2</v>
      </c>
      <c r="F12" s="90"/>
      <c r="G12" t="s">
        <v>245</v>
      </c>
    </row>
    <row r="13" spans="1:7">
      <c r="A13">
        <v>45</v>
      </c>
      <c r="B13">
        <v>1809</v>
      </c>
      <c r="C13" s="91">
        <v>47</v>
      </c>
      <c r="D13" s="90">
        <f t="shared" si="0"/>
        <v>-2.0833333333333332E-2</v>
      </c>
      <c r="E13" s="90">
        <v>-2.1000000000000001E-2</v>
      </c>
      <c r="F13" s="90"/>
      <c r="G13" t="s">
        <v>246</v>
      </c>
    </row>
    <row r="14" spans="1:7">
      <c r="A14" s="89">
        <v>4.7E-2</v>
      </c>
      <c r="B14">
        <v>1810</v>
      </c>
      <c r="C14" s="91">
        <v>47</v>
      </c>
      <c r="D14" s="90">
        <f t="shared" si="0"/>
        <v>0</v>
      </c>
      <c r="E14" s="90">
        <v>0</v>
      </c>
      <c r="F14" s="90"/>
      <c r="G14" t="s">
        <v>247</v>
      </c>
    </row>
    <row r="15" spans="1:7">
      <c r="A15">
        <v>1804</v>
      </c>
      <c r="B15">
        <v>1811</v>
      </c>
      <c r="C15" s="91">
        <v>50</v>
      </c>
      <c r="D15" s="90">
        <f t="shared" si="0"/>
        <v>6.3829787234042548E-2</v>
      </c>
      <c r="E15" s="90">
        <v>6.4000000000000001E-2</v>
      </c>
      <c r="F15" s="90"/>
      <c r="G15" t="s">
        <v>248</v>
      </c>
    </row>
    <row r="16" spans="1:7">
      <c r="A16">
        <v>45</v>
      </c>
      <c r="B16">
        <v>1812</v>
      </c>
      <c r="C16" s="91">
        <v>51</v>
      </c>
      <c r="D16" s="90">
        <f t="shared" si="0"/>
        <v>0.02</v>
      </c>
      <c r="E16" s="90">
        <v>0.02</v>
      </c>
      <c r="F16" s="90"/>
      <c r="G16" t="s">
        <v>249</v>
      </c>
    </row>
    <row r="17" spans="1:7">
      <c r="A17" s="89">
        <v>0</v>
      </c>
      <c r="B17">
        <v>1813</v>
      </c>
      <c r="C17" s="91">
        <v>58</v>
      </c>
      <c r="D17" s="90">
        <f t="shared" si="0"/>
        <v>0.13725490196078433</v>
      </c>
      <c r="E17" s="90">
        <v>0.13700000000000001</v>
      </c>
      <c r="F17" s="90"/>
      <c r="G17" t="s">
        <v>250</v>
      </c>
    </row>
    <row r="18" spans="1:7">
      <c r="A18">
        <v>1805</v>
      </c>
      <c r="B18">
        <v>1814</v>
      </c>
      <c r="C18" s="91">
        <v>63</v>
      </c>
      <c r="D18" s="90">
        <f t="shared" si="0"/>
        <v>8.6206896551724144E-2</v>
      </c>
      <c r="E18" s="90">
        <v>8.5999999999999993E-2</v>
      </c>
      <c r="F18" s="90"/>
      <c r="G18" t="s">
        <v>251</v>
      </c>
    </row>
    <row r="19" spans="1:7">
      <c r="A19">
        <v>45</v>
      </c>
      <c r="B19">
        <v>1815</v>
      </c>
      <c r="C19" s="91">
        <v>55</v>
      </c>
      <c r="D19" s="90">
        <f t="shared" si="0"/>
        <v>-0.12698412698412698</v>
      </c>
      <c r="E19" s="90">
        <v>-0.127</v>
      </c>
      <c r="F19" s="90"/>
      <c r="G19" t="s">
        <v>252</v>
      </c>
    </row>
    <row r="20" spans="1:7">
      <c r="A20" s="89">
        <v>0</v>
      </c>
      <c r="B20">
        <v>1816</v>
      </c>
      <c r="C20" s="91">
        <v>51</v>
      </c>
      <c r="D20" s="90">
        <f t="shared" si="0"/>
        <v>-7.2727272727272724E-2</v>
      </c>
      <c r="E20" s="90">
        <v>-7.2999999999999995E-2</v>
      </c>
      <c r="F20" s="90"/>
      <c r="G20" t="s">
        <v>253</v>
      </c>
    </row>
    <row r="21" spans="1:7">
      <c r="A21">
        <v>1806</v>
      </c>
      <c r="B21">
        <v>1817</v>
      </c>
      <c r="C21" s="91">
        <v>48</v>
      </c>
      <c r="D21" s="90">
        <f t="shared" si="0"/>
        <v>-5.8823529411764705E-2</v>
      </c>
      <c r="E21" s="90">
        <v>-5.8999999999999997E-2</v>
      </c>
      <c r="F21" s="90"/>
      <c r="G21" t="s">
        <v>254</v>
      </c>
    </row>
    <row r="22" spans="1:7">
      <c r="A22">
        <v>47</v>
      </c>
      <c r="B22">
        <v>1818</v>
      </c>
      <c r="C22" s="91">
        <v>46</v>
      </c>
      <c r="D22" s="90">
        <f t="shared" si="0"/>
        <v>-4.1666666666666664E-2</v>
      </c>
      <c r="E22" s="90">
        <v>-4.2000000000000003E-2</v>
      </c>
      <c r="F22" s="90"/>
    </row>
    <row r="23" spans="1:7">
      <c r="A23" s="89">
        <v>4.3999999999999997E-2</v>
      </c>
      <c r="B23">
        <v>1819</v>
      </c>
      <c r="C23" s="91">
        <v>46</v>
      </c>
      <c r="D23" s="90">
        <f t="shared" si="0"/>
        <v>0</v>
      </c>
      <c r="E23" s="90">
        <v>0</v>
      </c>
      <c r="F23" s="90"/>
    </row>
    <row r="24" spans="1:7">
      <c r="A24">
        <v>1807</v>
      </c>
      <c r="B24">
        <v>1820</v>
      </c>
      <c r="C24" s="91">
        <v>42</v>
      </c>
      <c r="D24" s="90">
        <f t="shared" si="0"/>
        <v>-8.6956521739130432E-2</v>
      </c>
      <c r="E24" s="90">
        <v>-8.6999999999999994E-2</v>
      </c>
      <c r="F24" s="90"/>
    </row>
    <row r="25" spans="1:7">
      <c r="A25">
        <v>44</v>
      </c>
      <c r="B25">
        <v>1821</v>
      </c>
      <c r="C25" s="91">
        <v>40</v>
      </c>
      <c r="D25" s="90">
        <f t="shared" si="0"/>
        <v>-4.7619047619047616E-2</v>
      </c>
      <c r="E25" s="90">
        <v>-4.8000000000000001E-2</v>
      </c>
      <c r="F25" s="90"/>
    </row>
    <row r="26" spans="1:7">
      <c r="A26" s="89">
        <v>-6.4000000000000001E-2</v>
      </c>
      <c r="B26">
        <v>1822</v>
      </c>
      <c r="C26" s="91">
        <v>40</v>
      </c>
      <c r="D26" s="90">
        <f t="shared" si="0"/>
        <v>0</v>
      </c>
      <c r="E26" s="90">
        <v>0</v>
      </c>
      <c r="F26" s="90"/>
    </row>
    <row r="27" spans="1:7">
      <c r="A27">
        <v>1808</v>
      </c>
      <c r="B27">
        <v>1823</v>
      </c>
      <c r="C27" s="91">
        <v>36</v>
      </c>
      <c r="D27" s="90">
        <f t="shared" si="0"/>
        <v>-0.1</v>
      </c>
      <c r="E27" s="90">
        <v>-0.1</v>
      </c>
      <c r="F27" s="90"/>
    </row>
    <row r="28" spans="1:7">
      <c r="A28">
        <v>48</v>
      </c>
      <c r="B28">
        <v>1824</v>
      </c>
      <c r="C28" s="91">
        <v>33</v>
      </c>
      <c r="D28" s="90">
        <f t="shared" si="0"/>
        <v>-8.3333333333333329E-2</v>
      </c>
      <c r="E28" s="90">
        <v>-8.3000000000000004E-2</v>
      </c>
      <c r="F28" s="90"/>
      <c r="G28" s="89"/>
    </row>
    <row r="29" spans="1:7">
      <c r="A29" s="89">
        <v>9.0999999999999998E-2</v>
      </c>
      <c r="B29">
        <v>1825</v>
      </c>
      <c r="C29" s="91">
        <v>34</v>
      </c>
      <c r="D29" s="90">
        <f t="shared" si="0"/>
        <v>3.0303030303030304E-2</v>
      </c>
      <c r="E29" s="90">
        <v>0.03</v>
      </c>
      <c r="F29" s="90"/>
    </row>
    <row r="30" spans="1:7">
      <c r="A30">
        <v>1809</v>
      </c>
      <c r="B30">
        <v>1826</v>
      </c>
      <c r="C30" s="91">
        <v>34</v>
      </c>
      <c r="D30" s="90">
        <f t="shared" si="0"/>
        <v>0</v>
      </c>
      <c r="E30" s="90">
        <v>0</v>
      </c>
      <c r="F30" s="90"/>
    </row>
    <row r="31" spans="1:7">
      <c r="A31">
        <v>47</v>
      </c>
      <c r="B31">
        <v>1827</v>
      </c>
      <c r="C31" s="91">
        <v>34</v>
      </c>
      <c r="D31" s="90">
        <f t="shared" si="0"/>
        <v>0</v>
      </c>
      <c r="E31" s="90">
        <v>0</v>
      </c>
      <c r="F31" s="90"/>
      <c r="G31" s="89"/>
    </row>
    <row r="32" spans="1:7">
      <c r="A32" s="89">
        <v>-2.1000000000000001E-2</v>
      </c>
      <c r="B32">
        <v>1828</v>
      </c>
      <c r="C32" s="91">
        <v>33</v>
      </c>
      <c r="D32" s="90">
        <f t="shared" si="0"/>
        <v>-2.9411764705882353E-2</v>
      </c>
      <c r="E32" s="90">
        <v>-2.9000000000000001E-2</v>
      </c>
      <c r="F32" s="90"/>
    </row>
    <row r="33" spans="1:7">
      <c r="A33">
        <v>1810</v>
      </c>
      <c r="B33">
        <v>1829</v>
      </c>
      <c r="C33" s="91">
        <v>32</v>
      </c>
      <c r="D33" s="90">
        <f t="shared" si="0"/>
        <v>-3.0303030303030304E-2</v>
      </c>
      <c r="E33" s="90">
        <v>-0.03</v>
      </c>
      <c r="F33" s="90"/>
    </row>
    <row r="34" spans="1:7">
      <c r="A34">
        <v>47</v>
      </c>
      <c r="B34">
        <v>1830</v>
      </c>
      <c r="C34" s="91">
        <v>32</v>
      </c>
      <c r="D34" s="90">
        <f t="shared" si="0"/>
        <v>0</v>
      </c>
      <c r="E34" s="90">
        <v>0</v>
      </c>
      <c r="F34" s="90"/>
      <c r="G34" s="89"/>
    </row>
    <row r="35" spans="1:7">
      <c r="A35" s="89">
        <v>0</v>
      </c>
      <c r="B35">
        <v>1831</v>
      </c>
      <c r="C35" s="91">
        <v>32</v>
      </c>
      <c r="D35" s="90">
        <f t="shared" si="0"/>
        <v>0</v>
      </c>
      <c r="E35" s="90">
        <v>0</v>
      </c>
      <c r="F35" s="90"/>
    </row>
    <row r="36" spans="1:7">
      <c r="A36">
        <v>1811</v>
      </c>
      <c r="B36">
        <v>1832</v>
      </c>
      <c r="C36" s="91">
        <v>30</v>
      </c>
      <c r="D36" s="90">
        <f t="shared" si="0"/>
        <v>-6.25E-2</v>
      </c>
      <c r="E36" s="90">
        <v>-6.3E-2</v>
      </c>
      <c r="F36" s="90"/>
    </row>
    <row r="37" spans="1:7">
      <c r="A37">
        <v>50</v>
      </c>
      <c r="B37">
        <v>1833</v>
      </c>
      <c r="C37" s="91">
        <v>29</v>
      </c>
      <c r="D37" s="90">
        <f t="shared" si="0"/>
        <v>-3.3333333333333333E-2</v>
      </c>
      <c r="E37" s="90">
        <v>-3.3000000000000002E-2</v>
      </c>
      <c r="F37" s="90"/>
    </row>
    <row r="38" spans="1:7">
      <c r="A38" s="89">
        <v>6.4000000000000001E-2</v>
      </c>
      <c r="B38">
        <v>1834</v>
      </c>
      <c r="C38" s="91">
        <v>30</v>
      </c>
      <c r="D38" s="90">
        <f t="shared" si="0"/>
        <v>3.4482758620689655E-2</v>
      </c>
      <c r="E38" s="90">
        <v>3.4000000000000002E-2</v>
      </c>
      <c r="F38" s="90"/>
    </row>
    <row r="39" spans="1:7">
      <c r="A39">
        <v>1812</v>
      </c>
      <c r="B39">
        <v>1835</v>
      </c>
      <c r="C39" s="91">
        <v>31</v>
      </c>
      <c r="D39" s="90">
        <f t="shared" si="0"/>
        <v>3.3333333333333333E-2</v>
      </c>
      <c r="E39" s="90">
        <v>3.3000000000000002E-2</v>
      </c>
      <c r="F39" s="90"/>
    </row>
    <row r="40" spans="1:7">
      <c r="A40">
        <v>51</v>
      </c>
      <c r="B40">
        <v>1836</v>
      </c>
      <c r="C40" s="91">
        <v>33</v>
      </c>
      <c r="D40" s="90">
        <f t="shared" si="0"/>
        <v>6.4516129032258063E-2</v>
      </c>
      <c r="E40" s="90">
        <v>6.5000000000000002E-2</v>
      </c>
      <c r="F40" s="90"/>
    </row>
    <row r="41" spans="1:7">
      <c r="A41" s="89">
        <v>0.02</v>
      </c>
      <c r="B41">
        <v>1837</v>
      </c>
      <c r="C41" s="91">
        <v>34</v>
      </c>
      <c r="D41" s="90">
        <f t="shared" si="0"/>
        <v>3.0303030303030304E-2</v>
      </c>
      <c r="E41" s="90">
        <v>0.03</v>
      </c>
      <c r="F41" s="90"/>
    </row>
    <row r="42" spans="1:7">
      <c r="A42">
        <v>1813</v>
      </c>
      <c r="B42">
        <v>1838</v>
      </c>
      <c r="C42" s="91">
        <v>32</v>
      </c>
      <c r="D42" s="90">
        <f t="shared" si="0"/>
        <v>-5.8823529411764705E-2</v>
      </c>
      <c r="E42" s="90">
        <v>-5.8999999999999997E-2</v>
      </c>
      <c r="F42" s="90"/>
    </row>
    <row r="43" spans="1:7">
      <c r="A43">
        <v>58</v>
      </c>
      <c r="B43">
        <v>1839</v>
      </c>
      <c r="C43" s="91">
        <v>32</v>
      </c>
      <c r="D43" s="90">
        <f t="shared" si="0"/>
        <v>0</v>
      </c>
      <c r="E43" s="90">
        <v>0</v>
      </c>
      <c r="F43" s="90"/>
    </row>
    <row r="44" spans="1:7">
      <c r="A44" s="89">
        <v>0.13700000000000001</v>
      </c>
      <c r="B44">
        <v>1840</v>
      </c>
      <c r="C44" s="91">
        <v>30</v>
      </c>
      <c r="D44" s="90">
        <f t="shared" si="0"/>
        <v>-6.25E-2</v>
      </c>
      <c r="E44" s="90">
        <v>-6.3E-2</v>
      </c>
      <c r="F44" s="90"/>
    </row>
    <row r="45" spans="1:7">
      <c r="A45">
        <v>1814</v>
      </c>
      <c r="B45">
        <v>1841</v>
      </c>
      <c r="C45" s="91">
        <v>31</v>
      </c>
      <c r="D45" s="90">
        <f t="shared" si="0"/>
        <v>3.3333333333333333E-2</v>
      </c>
      <c r="E45" s="90">
        <v>3.3000000000000002E-2</v>
      </c>
      <c r="F45" s="90"/>
    </row>
    <row r="46" spans="1:7">
      <c r="A46">
        <v>63</v>
      </c>
      <c r="B46">
        <v>1842</v>
      </c>
      <c r="C46" s="91">
        <v>29</v>
      </c>
      <c r="D46" s="90">
        <f t="shared" si="0"/>
        <v>-6.4516129032258063E-2</v>
      </c>
      <c r="E46" s="90">
        <v>-6.5000000000000002E-2</v>
      </c>
      <c r="F46" s="90"/>
    </row>
    <row r="47" spans="1:7">
      <c r="A47" s="89">
        <v>8.5999999999999993E-2</v>
      </c>
      <c r="B47">
        <v>1843</v>
      </c>
      <c r="C47" s="91">
        <v>28</v>
      </c>
      <c r="D47" s="90">
        <f t="shared" si="0"/>
        <v>-3.4482758620689655E-2</v>
      </c>
      <c r="E47" s="90">
        <v>-3.4000000000000002E-2</v>
      </c>
      <c r="F47" s="90"/>
    </row>
    <row r="48" spans="1:7">
      <c r="A48">
        <v>1815</v>
      </c>
      <c r="B48">
        <v>1844</v>
      </c>
      <c r="C48" s="91">
        <v>28</v>
      </c>
      <c r="D48" s="90">
        <f t="shared" si="0"/>
        <v>0</v>
      </c>
      <c r="E48" s="90">
        <v>0</v>
      </c>
      <c r="F48" s="90"/>
    </row>
    <row r="49" spans="1:6">
      <c r="A49">
        <v>55</v>
      </c>
      <c r="B49">
        <v>1845</v>
      </c>
      <c r="C49" s="91">
        <v>28</v>
      </c>
      <c r="D49" s="90">
        <f t="shared" si="0"/>
        <v>0</v>
      </c>
      <c r="E49" s="90">
        <v>0</v>
      </c>
      <c r="F49" s="90"/>
    </row>
    <row r="50" spans="1:6">
      <c r="A50" s="89">
        <v>-0.127</v>
      </c>
      <c r="B50">
        <v>1846</v>
      </c>
      <c r="C50" s="91">
        <v>27</v>
      </c>
      <c r="D50" s="90">
        <f t="shared" si="0"/>
        <v>-3.5714285714285712E-2</v>
      </c>
      <c r="E50" s="90">
        <v>-3.5999999999999997E-2</v>
      </c>
      <c r="F50" s="90"/>
    </row>
    <row r="51" spans="1:6">
      <c r="A51">
        <v>1816</v>
      </c>
      <c r="B51">
        <v>1847</v>
      </c>
      <c r="C51" s="91">
        <v>28</v>
      </c>
      <c r="D51" s="90">
        <f t="shared" si="0"/>
        <v>3.7037037037037035E-2</v>
      </c>
      <c r="E51" s="90">
        <v>3.6999999999999998E-2</v>
      </c>
      <c r="F51" s="90"/>
    </row>
    <row r="52" spans="1:6">
      <c r="A52">
        <v>51</v>
      </c>
      <c r="B52">
        <v>1848</v>
      </c>
      <c r="C52" s="91">
        <v>26</v>
      </c>
      <c r="D52" s="90">
        <f t="shared" si="0"/>
        <v>-7.1428571428571425E-2</v>
      </c>
      <c r="E52" s="90">
        <v>-7.0999999999999994E-2</v>
      </c>
      <c r="F52" s="90"/>
    </row>
    <row r="53" spans="1:6">
      <c r="A53" s="89">
        <v>-7.2999999999999995E-2</v>
      </c>
      <c r="B53">
        <v>1849</v>
      </c>
      <c r="C53" s="91">
        <v>25</v>
      </c>
      <c r="D53" s="90">
        <f t="shared" si="0"/>
        <v>-3.8461538461538464E-2</v>
      </c>
      <c r="E53" s="90">
        <v>-3.7999999999999999E-2</v>
      </c>
      <c r="F53" s="90"/>
    </row>
    <row r="54" spans="1:6">
      <c r="A54">
        <v>1817</v>
      </c>
      <c r="B54">
        <v>1850</v>
      </c>
      <c r="C54" s="91">
        <v>25</v>
      </c>
      <c r="D54" s="90">
        <f t="shared" si="0"/>
        <v>0</v>
      </c>
      <c r="E54" s="90">
        <v>0</v>
      </c>
      <c r="F54" s="90"/>
    </row>
    <row r="55" spans="1:6">
      <c r="A55">
        <v>48</v>
      </c>
      <c r="B55">
        <v>1851</v>
      </c>
      <c r="C55" s="91">
        <v>25</v>
      </c>
      <c r="D55" s="90">
        <f t="shared" si="0"/>
        <v>0</v>
      </c>
      <c r="E55" s="90">
        <v>0</v>
      </c>
      <c r="F55" s="90"/>
    </row>
    <row r="56" spans="1:6">
      <c r="A56" s="89">
        <v>-5.8999999999999997E-2</v>
      </c>
      <c r="B56">
        <v>1852</v>
      </c>
      <c r="C56" s="91">
        <v>25</v>
      </c>
      <c r="D56" s="90">
        <f t="shared" si="0"/>
        <v>0</v>
      </c>
      <c r="E56" s="90">
        <v>0</v>
      </c>
      <c r="F56" s="90"/>
    </row>
    <row r="57" spans="1:6">
      <c r="A57">
        <v>1818</v>
      </c>
      <c r="B57">
        <v>1853</v>
      </c>
      <c r="C57" s="91">
        <v>25</v>
      </c>
      <c r="D57" s="90">
        <f t="shared" si="0"/>
        <v>0</v>
      </c>
      <c r="E57" s="90">
        <v>0</v>
      </c>
      <c r="F57" s="90"/>
    </row>
    <row r="58" spans="1:6">
      <c r="A58">
        <v>46</v>
      </c>
      <c r="B58">
        <v>1854</v>
      </c>
      <c r="C58" s="91">
        <v>27</v>
      </c>
      <c r="D58" s="90">
        <f t="shared" si="0"/>
        <v>0.08</v>
      </c>
      <c r="E58" s="90">
        <v>0.08</v>
      </c>
      <c r="F58" s="90"/>
    </row>
    <row r="59" spans="1:6">
      <c r="A59" s="89">
        <v>-4.2000000000000003E-2</v>
      </c>
      <c r="B59">
        <v>1855</v>
      </c>
      <c r="C59" s="91">
        <v>28</v>
      </c>
      <c r="D59" s="90">
        <f t="shared" si="0"/>
        <v>3.7037037037037035E-2</v>
      </c>
      <c r="E59" s="90">
        <v>3.6999999999999998E-2</v>
      </c>
      <c r="F59" s="90"/>
    </row>
    <row r="60" spans="1:6">
      <c r="A60">
        <v>1819</v>
      </c>
      <c r="B60">
        <v>1856</v>
      </c>
      <c r="C60" s="91">
        <v>27</v>
      </c>
      <c r="D60" s="90">
        <f t="shared" si="0"/>
        <v>-3.5714285714285712E-2</v>
      </c>
      <c r="E60" s="90">
        <v>-3.5999999999999997E-2</v>
      </c>
      <c r="F60" s="90"/>
    </row>
    <row r="61" spans="1:6">
      <c r="A61">
        <v>46</v>
      </c>
      <c r="B61">
        <v>1857</v>
      </c>
      <c r="C61" s="91">
        <v>28</v>
      </c>
      <c r="D61" s="90">
        <f t="shared" si="0"/>
        <v>3.7037037037037035E-2</v>
      </c>
      <c r="E61" s="90">
        <v>3.6999999999999998E-2</v>
      </c>
      <c r="F61" s="90"/>
    </row>
    <row r="62" spans="1:6">
      <c r="A62" s="89">
        <v>0</v>
      </c>
      <c r="B62">
        <v>1858</v>
      </c>
      <c r="C62" s="91">
        <v>26</v>
      </c>
      <c r="D62" s="90">
        <f t="shared" si="0"/>
        <v>-7.1428571428571425E-2</v>
      </c>
      <c r="E62" s="90">
        <v>-7.0999999999999994E-2</v>
      </c>
      <c r="F62" s="90"/>
    </row>
    <row r="63" spans="1:6">
      <c r="A63">
        <v>1820</v>
      </c>
      <c r="B63">
        <v>1859</v>
      </c>
      <c r="C63" s="91">
        <v>27</v>
      </c>
      <c r="D63" s="90">
        <f t="shared" si="0"/>
        <v>3.8461538461538464E-2</v>
      </c>
      <c r="E63" s="90">
        <v>3.7999999999999999E-2</v>
      </c>
      <c r="F63" s="90"/>
    </row>
    <row r="64" spans="1:6">
      <c r="A64">
        <v>42</v>
      </c>
      <c r="B64">
        <v>1860</v>
      </c>
      <c r="C64" s="91">
        <v>27</v>
      </c>
      <c r="D64" s="90">
        <f t="shared" si="0"/>
        <v>0</v>
      </c>
      <c r="E64" s="90">
        <v>0</v>
      </c>
      <c r="F64" s="90"/>
    </row>
    <row r="65" spans="1:6">
      <c r="A65" s="89">
        <v>-8.6999999999999994E-2</v>
      </c>
      <c r="B65">
        <v>1861</v>
      </c>
      <c r="C65" s="91">
        <v>27</v>
      </c>
      <c r="D65" s="90">
        <f t="shared" si="0"/>
        <v>0</v>
      </c>
      <c r="E65" s="90">
        <v>0</v>
      </c>
      <c r="F65" s="90"/>
    </row>
    <row r="66" spans="1:6">
      <c r="A66">
        <v>1821</v>
      </c>
      <c r="B66">
        <v>1862</v>
      </c>
      <c r="C66" s="91">
        <v>30</v>
      </c>
      <c r="D66" s="90">
        <f t="shared" si="0"/>
        <v>0.1111111111111111</v>
      </c>
      <c r="E66" s="90">
        <v>0.111</v>
      </c>
      <c r="F66" s="90"/>
    </row>
    <row r="67" spans="1:6">
      <c r="A67">
        <v>40</v>
      </c>
      <c r="B67">
        <v>1863</v>
      </c>
      <c r="C67" s="91">
        <v>37</v>
      </c>
      <c r="D67" s="90">
        <f t="shared" si="0"/>
        <v>0.23333333333333334</v>
      </c>
      <c r="E67" s="90">
        <v>0.23300000000000001</v>
      </c>
      <c r="F67" s="90"/>
    </row>
    <row r="68" spans="1:6">
      <c r="A68" s="89">
        <v>-4.8000000000000001E-2</v>
      </c>
      <c r="B68">
        <v>1864</v>
      </c>
      <c r="C68" s="91">
        <v>47</v>
      </c>
      <c r="D68" s="90">
        <f t="shared" si="0"/>
        <v>0.27027027027027029</v>
      </c>
      <c r="E68" s="90">
        <v>0.27</v>
      </c>
      <c r="F68" s="90"/>
    </row>
    <row r="69" spans="1:6">
      <c r="A69">
        <v>1822</v>
      </c>
      <c r="B69">
        <v>1865</v>
      </c>
      <c r="C69" s="91">
        <v>46</v>
      </c>
      <c r="D69" s="90">
        <f t="shared" si="0"/>
        <v>-2.1276595744680851E-2</v>
      </c>
      <c r="E69" s="90">
        <v>-2.1000000000000001E-2</v>
      </c>
      <c r="F69" s="90"/>
    </row>
    <row r="70" spans="1:6">
      <c r="A70">
        <v>40</v>
      </c>
      <c r="B70">
        <v>1866</v>
      </c>
      <c r="C70" s="91">
        <v>44</v>
      </c>
      <c r="D70" s="90">
        <f t="shared" ref="D70:D133" si="1">(C70-C69)/C69</f>
        <v>-4.3478260869565216E-2</v>
      </c>
      <c r="E70" s="90">
        <v>-4.2999999999999997E-2</v>
      </c>
      <c r="F70" s="90"/>
    </row>
    <row r="71" spans="1:6">
      <c r="A71" s="89">
        <v>0</v>
      </c>
      <c r="B71">
        <v>1867</v>
      </c>
      <c r="C71" s="91">
        <v>42</v>
      </c>
      <c r="D71" s="90">
        <f t="shared" si="1"/>
        <v>-4.5454545454545456E-2</v>
      </c>
      <c r="E71" s="90">
        <v>-4.4999999999999998E-2</v>
      </c>
      <c r="F71" s="90"/>
    </row>
    <row r="72" spans="1:6">
      <c r="A72">
        <v>1823</v>
      </c>
      <c r="B72">
        <v>1868</v>
      </c>
      <c r="C72" s="91">
        <v>40</v>
      </c>
      <c r="D72" s="90">
        <f t="shared" si="1"/>
        <v>-4.7619047619047616E-2</v>
      </c>
      <c r="E72" s="90">
        <v>-4.8000000000000001E-2</v>
      </c>
      <c r="F72" s="90"/>
    </row>
    <row r="73" spans="1:6">
      <c r="A73">
        <v>36</v>
      </c>
      <c r="B73">
        <v>1869</v>
      </c>
      <c r="C73" s="91">
        <v>40</v>
      </c>
      <c r="D73" s="90">
        <f t="shared" si="1"/>
        <v>0</v>
      </c>
      <c r="E73" s="90">
        <v>0</v>
      </c>
      <c r="F73" s="90"/>
    </row>
    <row r="74" spans="1:6">
      <c r="A74" s="89">
        <v>-0.1</v>
      </c>
      <c r="B74">
        <v>1870</v>
      </c>
      <c r="C74" s="91">
        <v>38</v>
      </c>
      <c r="D74" s="90">
        <f t="shared" si="1"/>
        <v>-0.05</v>
      </c>
      <c r="E74" s="90">
        <v>-0.05</v>
      </c>
      <c r="F74" s="90"/>
    </row>
    <row r="75" spans="1:6">
      <c r="A75">
        <v>1824</v>
      </c>
      <c r="B75">
        <v>1871</v>
      </c>
      <c r="C75" s="91">
        <v>36</v>
      </c>
      <c r="D75" s="90">
        <f t="shared" si="1"/>
        <v>-5.2631578947368418E-2</v>
      </c>
      <c r="E75" s="90">
        <v>-5.2999999999999999E-2</v>
      </c>
      <c r="F75" s="90"/>
    </row>
    <row r="76" spans="1:6">
      <c r="A76">
        <v>33</v>
      </c>
      <c r="B76">
        <v>1872</v>
      </c>
      <c r="C76" s="91">
        <v>36</v>
      </c>
      <c r="D76" s="90">
        <f t="shared" si="1"/>
        <v>0</v>
      </c>
      <c r="E76" s="90">
        <v>0</v>
      </c>
      <c r="F76" s="90"/>
    </row>
    <row r="77" spans="1:6">
      <c r="A77" s="89">
        <v>-8.3000000000000004E-2</v>
      </c>
      <c r="B77">
        <v>1873</v>
      </c>
      <c r="C77" s="91">
        <v>36</v>
      </c>
      <c r="D77" s="90">
        <f t="shared" si="1"/>
        <v>0</v>
      </c>
      <c r="E77" s="90">
        <v>0</v>
      </c>
      <c r="F77" s="90"/>
    </row>
    <row r="78" spans="1:6">
      <c r="A78">
        <v>1825</v>
      </c>
      <c r="B78">
        <v>1874</v>
      </c>
      <c r="C78" s="91">
        <v>34</v>
      </c>
      <c r="D78" s="90">
        <f t="shared" si="1"/>
        <v>-5.5555555555555552E-2</v>
      </c>
      <c r="E78" s="90">
        <v>-5.6000000000000001E-2</v>
      </c>
      <c r="F78" s="90"/>
    </row>
    <row r="79" spans="1:6">
      <c r="A79">
        <v>34</v>
      </c>
      <c r="B79">
        <v>1875</v>
      </c>
      <c r="C79" s="91">
        <v>33</v>
      </c>
      <c r="D79" s="90">
        <f t="shared" si="1"/>
        <v>-2.9411764705882353E-2</v>
      </c>
      <c r="E79" s="90">
        <v>-2.9000000000000001E-2</v>
      </c>
      <c r="F79" s="90"/>
    </row>
    <row r="80" spans="1:6">
      <c r="A80" s="89">
        <v>0.03</v>
      </c>
      <c r="B80">
        <v>1876</v>
      </c>
      <c r="C80" s="91">
        <v>32</v>
      </c>
      <c r="D80" s="90">
        <f t="shared" si="1"/>
        <v>-3.0303030303030304E-2</v>
      </c>
      <c r="E80" s="90">
        <v>-0.03</v>
      </c>
      <c r="F80" s="90"/>
    </row>
    <row r="81" spans="1:6">
      <c r="A81">
        <v>1826</v>
      </c>
      <c r="B81">
        <v>1877</v>
      </c>
      <c r="C81" s="91">
        <v>32</v>
      </c>
      <c r="D81" s="90">
        <f t="shared" si="1"/>
        <v>0</v>
      </c>
      <c r="E81" s="90">
        <v>0</v>
      </c>
      <c r="F81" s="90"/>
    </row>
    <row r="82" spans="1:6">
      <c r="A82">
        <v>34</v>
      </c>
      <c r="B82">
        <v>1878</v>
      </c>
      <c r="C82" s="91">
        <v>29</v>
      </c>
      <c r="D82" s="90">
        <f t="shared" si="1"/>
        <v>-9.375E-2</v>
      </c>
      <c r="E82" s="90">
        <v>-9.4E-2</v>
      </c>
      <c r="F82" s="90"/>
    </row>
    <row r="83" spans="1:6">
      <c r="A83" s="89">
        <v>0</v>
      </c>
      <c r="B83">
        <v>1879</v>
      </c>
      <c r="C83" s="91">
        <v>28</v>
      </c>
      <c r="D83" s="90">
        <f t="shared" si="1"/>
        <v>-3.4482758620689655E-2</v>
      </c>
      <c r="E83" s="90">
        <v>-3.4000000000000002E-2</v>
      </c>
      <c r="F83" s="90"/>
    </row>
    <row r="84" spans="1:6">
      <c r="A84">
        <v>1827</v>
      </c>
      <c r="B84">
        <v>1880</v>
      </c>
      <c r="C84" s="91">
        <v>29</v>
      </c>
      <c r="D84" s="90">
        <f t="shared" si="1"/>
        <v>3.5714285714285712E-2</v>
      </c>
      <c r="E84" s="90">
        <v>3.5999999999999997E-2</v>
      </c>
      <c r="F84" s="90"/>
    </row>
    <row r="85" spans="1:6">
      <c r="A85">
        <v>34</v>
      </c>
      <c r="B85">
        <v>1881</v>
      </c>
      <c r="C85" s="91">
        <v>29</v>
      </c>
      <c r="D85" s="90">
        <f t="shared" si="1"/>
        <v>0</v>
      </c>
      <c r="E85" s="90">
        <v>0</v>
      </c>
      <c r="F85" s="90"/>
    </row>
    <row r="86" spans="1:6">
      <c r="A86" s="89">
        <v>0</v>
      </c>
      <c r="B86">
        <v>1882</v>
      </c>
      <c r="C86" s="91">
        <v>29</v>
      </c>
      <c r="D86" s="90">
        <f t="shared" si="1"/>
        <v>0</v>
      </c>
      <c r="E86" s="90">
        <v>0</v>
      </c>
      <c r="F86" s="90"/>
    </row>
    <row r="87" spans="1:6">
      <c r="A87">
        <v>1828</v>
      </c>
      <c r="B87">
        <v>1883</v>
      </c>
      <c r="C87" s="91">
        <v>28</v>
      </c>
      <c r="D87" s="90">
        <f t="shared" si="1"/>
        <v>-3.4482758620689655E-2</v>
      </c>
      <c r="E87" s="90">
        <v>-3.4000000000000002E-2</v>
      </c>
      <c r="F87" s="90"/>
    </row>
    <row r="88" spans="1:6">
      <c r="A88">
        <v>33</v>
      </c>
      <c r="B88">
        <v>1884</v>
      </c>
      <c r="C88" s="91">
        <v>27</v>
      </c>
      <c r="D88" s="90">
        <f t="shared" si="1"/>
        <v>-3.5714285714285712E-2</v>
      </c>
      <c r="E88" s="90">
        <v>-3.5999999999999997E-2</v>
      </c>
      <c r="F88" s="90"/>
    </row>
    <row r="89" spans="1:6">
      <c r="A89" s="89">
        <v>-2.9000000000000001E-2</v>
      </c>
      <c r="B89">
        <v>1885</v>
      </c>
      <c r="C89" s="91">
        <v>27</v>
      </c>
      <c r="D89" s="90">
        <f t="shared" si="1"/>
        <v>0</v>
      </c>
      <c r="E89" s="90">
        <v>0</v>
      </c>
      <c r="F89" s="90"/>
    </row>
    <row r="90" spans="1:6">
      <c r="A90">
        <v>1829</v>
      </c>
      <c r="B90">
        <v>1886</v>
      </c>
      <c r="C90" s="91">
        <v>27</v>
      </c>
      <c r="D90" s="90">
        <f t="shared" si="1"/>
        <v>0</v>
      </c>
      <c r="E90" s="90">
        <v>0</v>
      </c>
      <c r="F90" s="90"/>
    </row>
    <row r="91" spans="1:6">
      <c r="A91">
        <v>32</v>
      </c>
      <c r="B91">
        <v>1887</v>
      </c>
      <c r="C91" s="91">
        <v>27</v>
      </c>
      <c r="D91" s="90">
        <f t="shared" si="1"/>
        <v>0</v>
      </c>
      <c r="E91" s="90">
        <v>0</v>
      </c>
      <c r="F91" s="90"/>
    </row>
    <row r="92" spans="1:6">
      <c r="A92" s="89">
        <v>-0.03</v>
      </c>
      <c r="B92">
        <v>1888</v>
      </c>
      <c r="C92" s="91">
        <v>27</v>
      </c>
      <c r="D92" s="90">
        <f t="shared" si="1"/>
        <v>0</v>
      </c>
      <c r="E92" s="90">
        <v>0</v>
      </c>
      <c r="F92" s="90"/>
    </row>
    <row r="93" spans="1:6">
      <c r="A93">
        <v>1830</v>
      </c>
      <c r="B93">
        <v>1889</v>
      </c>
      <c r="C93" s="91">
        <v>27</v>
      </c>
      <c r="D93" s="90">
        <f t="shared" si="1"/>
        <v>0</v>
      </c>
      <c r="E93" s="90">
        <v>0</v>
      </c>
      <c r="F93" s="90"/>
    </row>
    <row r="94" spans="1:6">
      <c r="A94">
        <v>32</v>
      </c>
      <c r="B94">
        <v>1890</v>
      </c>
      <c r="C94" s="91">
        <v>27</v>
      </c>
      <c r="D94" s="90">
        <f t="shared" si="1"/>
        <v>0</v>
      </c>
      <c r="E94" s="90">
        <v>0</v>
      </c>
      <c r="F94" s="90"/>
    </row>
    <row r="95" spans="1:6">
      <c r="A95" s="89">
        <v>0</v>
      </c>
      <c r="B95">
        <v>1891</v>
      </c>
      <c r="C95" s="91">
        <v>27</v>
      </c>
      <c r="D95" s="90">
        <f t="shared" si="1"/>
        <v>0</v>
      </c>
      <c r="E95" s="90">
        <v>0</v>
      </c>
      <c r="F95" s="90"/>
    </row>
    <row r="96" spans="1:6">
      <c r="A96">
        <v>1831</v>
      </c>
      <c r="B96">
        <v>1892</v>
      </c>
      <c r="C96" s="91">
        <v>27</v>
      </c>
      <c r="D96" s="90">
        <f t="shared" si="1"/>
        <v>0</v>
      </c>
      <c r="E96" s="90">
        <v>0</v>
      </c>
      <c r="F96" s="90"/>
    </row>
    <row r="97" spans="1:6">
      <c r="A97">
        <v>32</v>
      </c>
      <c r="B97">
        <v>1893</v>
      </c>
      <c r="C97" s="91">
        <v>27</v>
      </c>
      <c r="D97" s="90">
        <f t="shared" si="1"/>
        <v>0</v>
      </c>
      <c r="E97" s="90">
        <v>0</v>
      </c>
      <c r="F97" s="90"/>
    </row>
    <row r="98" spans="1:6">
      <c r="A98" s="89">
        <v>0</v>
      </c>
      <c r="B98">
        <v>1894</v>
      </c>
      <c r="C98" s="91">
        <v>26</v>
      </c>
      <c r="D98" s="90">
        <f t="shared" si="1"/>
        <v>-3.7037037037037035E-2</v>
      </c>
      <c r="E98" s="90">
        <v>-3.6999999999999998E-2</v>
      </c>
      <c r="F98" s="90"/>
    </row>
    <row r="99" spans="1:6">
      <c r="A99">
        <v>1832</v>
      </c>
      <c r="B99">
        <v>1895</v>
      </c>
      <c r="C99" s="91">
        <v>25</v>
      </c>
      <c r="D99" s="90">
        <f t="shared" si="1"/>
        <v>-3.8461538461538464E-2</v>
      </c>
      <c r="E99" s="90">
        <v>-3.7999999999999999E-2</v>
      </c>
      <c r="F99" s="90"/>
    </row>
    <row r="100" spans="1:6">
      <c r="A100">
        <v>30</v>
      </c>
      <c r="B100">
        <v>1896</v>
      </c>
      <c r="C100" s="91">
        <v>25</v>
      </c>
      <c r="D100" s="90">
        <f t="shared" si="1"/>
        <v>0</v>
      </c>
      <c r="E100" s="90">
        <v>0</v>
      </c>
      <c r="F100" s="90"/>
    </row>
    <row r="101" spans="1:6">
      <c r="A101" s="89">
        <v>-6.3E-2</v>
      </c>
      <c r="B101">
        <v>1897</v>
      </c>
      <c r="C101" s="91">
        <v>25</v>
      </c>
      <c r="D101" s="90">
        <f t="shared" si="1"/>
        <v>0</v>
      </c>
      <c r="E101" s="90">
        <v>0</v>
      </c>
      <c r="F101" s="90"/>
    </row>
    <row r="102" spans="1:6">
      <c r="A102">
        <v>1833</v>
      </c>
      <c r="B102">
        <v>1898</v>
      </c>
      <c r="C102" s="91">
        <v>25</v>
      </c>
      <c r="D102" s="90">
        <f t="shared" si="1"/>
        <v>0</v>
      </c>
      <c r="E102" s="90">
        <v>0</v>
      </c>
      <c r="F102" s="90"/>
    </row>
    <row r="103" spans="1:6">
      <c r="A103">
        <v>29</v>
      </c>
      <c r="B103">
        <v>1899</v>
      </c>
      <c r="C103" s="91">
        <v>25</v>
      </c>
      <c r="D103" s="90">
        <f t="shared" si="1"/>
        <v>0</v>
      </c>
      <c r="E103" s="90">
        <v>0</v>
      </c>
      <c r="F103" s="90"/>
    </row>
    <row r="104" spans="1:6">
      <c r="A104" s="89">
        <v>-3.3000000000000002E-2</v>
      </c>
      <c r="B104">
        <v>1900</v>
      </c>
      <c r="C104" s="91">
        <v>25</v>
      </c>
      <c r="D104" s="90">
        <f t="shared" si="1"/>
        <v>0</v>
      </c>
      <c r="E104" s="90">
        <v>0</v>
      </c>
      <c r="F104" s="90"/>
    </row>
    <row r="105" spans="1:6">
      <c r="A105">
        <v>1834</v>
      </c>
      <c r="B105">
        <v>1901</v>
      </c>
      <c r="C105" s="91">
        <v>25</v>
      </c>
      <c r="D105" s="90">
        <f t="shared" si="1"/>
        <v>0</v>
      </c>
      <c r="E105" s="90">
        <v>0</v>
      </c>
      <c r="F105" s="90"/>
    </row>
    <row r="106" spans="1:6">
      <c r="A106">
        <v>30</v>
      </c>
      <c r="B106">
        <v>1902</v>
      </c>
      <c r="C106" s="91">
        <v>26</v>
      </c>
      <c r="D106" s="90">
        <f t="shared" si="1"/>
        <v>0.04</v>
      </c>
      <c r="E106" s="90">
        <v>0.04</v>
      </c>
      <c r="F106" s="90"/>
    </row>
    <row r="107" spans="1:6">
      <c r="A107" s="89">
        <v>3.4000000000000002E-2</v>
      </c>
      <c r="B107">
        <v>1903</v>
      </c>
      <c r="C107" s="91">
        <v>27</v>
      </c>
      <c r="D107" s="90">
        <f t="shared" si="1"/>
        <v>3.8461538461538464E-2</v>
      </c>
      <c r="E107" s="90">
        <v>3.7999999999999999E-2</v>
      </c>
      <c r="F107" s="90"/>
    </row>
    <row r="108" spans="1:6">
      <c r="A108">
        <v>1835</v>
      </c>
      <c r="B108">
        <v>1904</v>
      </c>
      <c r="C108" s="91">
        <v>27</v>
      </c>
      <c r="D108" s="90">
        <f t="shared" si="1"/>
        <v>0</v>
      </c>
      <c r="E108" s="90">
        <v>0</v>
      </c>
      <c r="F108" s="90"/>
    </row>
    <row r="109" spans="1:6">
      <c r="A109">
        <v>31</v>
      </c>
      <c r="B109">
        <v>1905</v>
      </c>
      <c r="C109" s="91">
        <v>27</v>
      </c>
      <c r="D109" s="90">
        <f t="shared" si="1"/>
        <v>0</v>
      </c>
      <c r="E109" s="90">
        <v>0</v>
      </c>
      <c r="F109" s="90"/>
    </row>
    <row r="110" spans="1:6">
      <c r="A110" s="89">
        <v>3.3000000000000002E-2</v>
      </c>
      <c r="B110">
        <v>1906</v>
      </c>
      <c r="C110" s="91">
        <v>27</v>
      </c>
      <c r="D110" s="90">
        <f t="shared" si="1"/>
        <v>0</v>
      </c>
      <c r="E110" s="90">
        <v>0</v>
      </c>
      <c r="F110" s="90"/>
    </row>
    <row r="111" spans="1:6">
      <c r="A111">
        <v>1836</v>
      </c>
      <c r="B111">
        <v>1907</v>
      </c>
      <c r="C111" s="91">
        <v>28</v>
      </c>
      <c r="D111" s="90">
        <f t="shared" si="1"/>
        <v>3.7037037037037035E-2</v>
      </c>
      <c r="E111" s="90">
        <v>3.6999999999999998E-2</v>
      </c>
      <c r="F111" s="90"/>
    </row>
    <row r="112" spans="1:6">
      <c r="A112">
        <v>33</v>
      </c>
      <c r="B112">
        <v>1908</v>
      </c>
      <c r="C112" s="91">
        <v>27</v>
      </c>
      <c r="D112" s="90">
        <f t="shared" si="1"/>
        <v>-3.5714285714285712E-2</v>
      </c>
      <c r="E112" s="90">
        <v>-3.5999999999999997E-2</v>
      </c>
      <c r="F112" s="90"/>
    </row>
    <row r="113" spans="1:6">
      <c r="A113" s="89">
        <v>6.5000000000000002E-2</v>
      </c>
      <c r="B113">
        <v>1909</v>
      </c>
      <c r="C113" s="91">
        <v>27</v>
      </c>
      <c r="D113" s="90">
        <f t="shared" si="1"/>
        <v>0</v>
      </c>
      <c r="E113" s="90">
        <v>0</v>
      </c>
      <c r="F113" s="90"/>
    </row>
    <row r="114" spans="1:6">
      <c r="A114">
        <v>1837</v>
      </c>
      <c r="B114">
        <v>1910</v>
      </c>
      <c r="C114" s="91">
        <v>28</v>
      </c>
      <c r="D114" s="90">
        <f t="shared" si="1"/>
        <v>3.7037037037037035E-2</v>
      </c>
      <c r="E114" s="90">
        <v>3.6999999999999998E-2</v>
      </c>
      <c r="F114" s="90"/>
    </row>
    <row r="115" spans="1:6">
      <c r="A115">
        <v>34</v>
      </c>
      <c r="B115">
        <v>1911</v>
      </c>
      <c r="C115" s="91">
        <v>28</v>
      </c>
      <c r="D115" s="90">
        <f t="shared" si="1"/>
        <v>0</v>
      </c>
      <c r="E115" s="90">
        <v>0</v>
      </c>
      <c r="F115" s="90"/>
    </row>
    <row r="116" spans="1:6">
      <c r="A116" s="89">
        <v>0.03</v>
      </c>
      <c r="B116">
        <v>1912</v>
      </c>
      <c r="C116" s="91">
        <v>29</v>
      </c>
      <c r="D116" s="90">
        <f t="shared" si="1"/>
        <v>3.5714285714285712E-2</v>
      </c>
      <c r="E116" s="90">
        <v>3.5999999999999997E-2</v>
      </c>
      <c r="F116" s="90"/>
    </row>
    <row r="117" spans="1:6">
      <c r="A117">
        <v>1838</v>
      </c>
      <c r="B117">
        <v>1913</v>
      </c>
      <c r="C117" s="91">
        <v>29.7</v>
      </c>
      <c r="D117" s="90">
        <f t="shared" si="1"/>
        <v>2.4137931034482734E-2</v>
      </c>
      <c r="E117" s="90">
        <v>2.4E-2</v>
      </c>
      <c r="F117" s="90"/>
    </row>
    <row r="118" spans="1:6">
      <c r="A118">
        <v>32</v>
      </c>
      <c r="B118">
        <v>1914</v>
      </c>
      <c r="C118" s="91">
        <v>30.1</v>
      </c>
      <c r="D118" s="90">
        <f t="shared" si="1"/>
        <v>1.346801346801354E-2</v>
      </c>
      <c r="E118" s="90">
        <v>1.2999999999999999E-2</v>
      </c>
      <c r="F118" s="90"/>
    </row>
    <row r="119" spans="1:6">
      <c r="A119" s="89">
        <v>-5.8999999999999997E-2</v>
      </c>
      <c r="B119">
        <v>1915</v>
      </c>
      <c r="C119" s="91">
        <v>30.4</v>
      </c>
      <c r="D119" s="90">
        <f t="shared" si="1"/>
        <v>9.9667774086377794E-3</v>
      </c>
      <c r="E119" s="90">
        <v>8.9999999999999993E-3</v>
      </c>
      <c r="F119" s="90"/>
    </row>
    <row r="120" spans="1:6">
      <c r="A120">
        <v>1839</v>
      </c>
      <c r="B120">
        <v>1916</v>
      </c>
      <c r="C120" s="91">
        <v>32.700000000000003</v>
      </c>
      <c r="D120" s="90">
        <f t="shared" si="1"/>
        <v>7.5657894736842243E-2</v>
      </c>
      <c r="E120" s="90">
        <v>7.6999999999999999E-2</v>
      </c>
      <c r="F120" s="90"/>
    </row>
    <row r="121" spans="1:6">
      <c r="A121">
        <v>32</v>
      </c>
      <c r="B121">
        <v>1917</v>
      </c>
      <c r="C121" s="91">
        <v>38.5</v>
      </c>
      <c r="D121" s="90">
        <f t="shared" si="1"/>
        <v>0.17737003058103964</v>
      </c>
      <c r="E121" s="90">
        <v>0.17799999999999999</v>
      </c>
      <c r="F121" s="90"/>
    </row>
    <row r="122" spans="1:6">
      <c r="A122" s="89">
        <v>0</v>
      </c>
      <c r="B122">
        <v>1918</v>
      </c>
      <c r="C122" s="91">
        <v>45.2</v>
      </c>
      <c r="D122" s="90">
        <f t="shared" si="1"/>
        <v>0.17402597402597411</v>
      </c>
      <c r="E122" s="90">
        <v>0.17299999999999999</v>
      </c>
      <c r="F122" s="90"/>
    </row>
    <row r="123" spans="1:6">
      <c r="A123">
        <v>1840</v>
      </c>
      <c r="B123">
        <v>1919</v>
      </c>
      <c r="C123" s="91">
        <v>52.1</v>
      </c>
      <c r="D123" s="90">
        <f t="shared" si="1"/>
        <v>0.15265486725663713</v>
      </c>
      <c r="E123" s="90">
        <v>0.152</v>
      </c>
      <c r="F123" s="90"/>
    </row>
    <row r="124" spans="1:6">
      <c r="A124">
        <v>30</v>
      </c>
      <c r="B124">
        <v>1920</v>
      </c>
      <c r="C124" s="91">
        <v>60.2</v>
      </c>
      <c r="D124" s="90">
        <f t="shared" si="1"/>
        <v>0.15547024952015356</v>
      </c>
      <c r="E124" s="90">
        <v>0.156</v>
      </c>
      <c r="F124" s="90"/>
    </row>
    <row r="125" spans="1:6">
      <c r="A125" s="89">
        <v>-6.3E-2</v>
      </c>
      <c r="B125">
        <v>1921</v>
      </c>
      <c r="C125" s="91">
        <v>53.6</v>
      </c>
      <c r="D125" s="90">
        <f t="shared" si="1"/>
        <v>-0.10963455149501664</v>
      </c>
      <c r="E125" s="90">
        <v>-0.109</v>
      </c>
      <c r="F125" s="90"/>
    </row>
    <row r="126" spans="1:6">
      <c r="A126">
        <v>1841</v>
      </c>
      <c r="B126">
        <v>1922</v>
      </c>
      <c r="C126" s="91">
        <v>50.3</v>
      </c>
      <c r="D126" s="90">
        <f t="shared" si="1"/>
        <v>-6.1567164179104558E-2</v>
      </c>
      <c r="E126" s="90">
        <v>-6.2E-2</v>
      </c>
      <c r="F126" s="90"/>
    </row>
    <row r="127" spans="1:6">
      <c r="A127">
        <v>31</v>
      </c>
      <c r="B127">
        <v>1923</v>
      </c>
      <c r="C127" s="91">
        <v>51.2</v>
      </c>
      <c r="D127" s="90">
        <f t="shared" si="1"/>
        <v>1.7892644135188981E-2</v>
      </c>
      <c r="E127" s="90">
        <v>1.7999999999999999E-2</v>
      </c>
      <c r="F127" s="90"/>
    </row>
    <row r="128" spans="1:6">
      <c r="A128" s="89">
        <v>3.3000000000000002E-2</v>
      </c>
      <c r="B128">
        <v>1924</v>
      </c>
      <c r="C128" s="91">
        <v>51.5</v>
      </c>
      <c r="D128" s="90">
        <f t="shared" si="1"/>
        <v>5.8593749999999445E-3</v>
      </c>
      <c r="E128" s="90">
        <v>4.0000000000000001E-3</v>
      </c>
      <c r="F128" s="90"/>
    </row>
    <row r="129" spans="1:6">
      <c r="A129">
        <v>1842</v>
      </c>
      <c r="B129">
        <v>1925</v>
      </c>
      <c r="C129" s="91">
        <v>52.7</v>
      </c>
      <c r="D129" s="90">
        <f t="shared" si="1"/>
        <v>2.3300970873786464E-2</v>
      </c>
      <c r="E129" s="90">
        <v>2.4E-2</v>
      </c>
      <c r="F129" s="90"/>
    </row>
    <row r="130" spans="1:6">
      <c r="A130">
        <v>29</v>
      </c>
      <c r="B130">
        <v>1926</v>
      </c>
      <c r="C130" s="91">
        <v>53.2</v>
      </c>
      <c r="D130" s="90">
        <f t="shared" si="1"/>
        <v>9.4876660341555973E-3</v>
      </c>
      <c r="E130" s="90">
        <v>8.9999999999999993E-3</v>
      </c>
      <c r="F130" s="90"/>
    </row>
    <row r="131" spans="1:6">
      <c r="A131" s="89">
        <v>-6.5000000000000002E-2</v>
      </c>
      <c r="B131">
        <v>1927</v>
      </c>
      <c r="C131" s="91">
        <v>52.2</v>
      </c>
      <c r="D131" s="90">
        <f t="shared" si="1"/>
        <v>-1.8796992481203006E-2</v>
      </c>
      <c r="E131" s="90">
        <v>-1.9E-2</v>
      </c>
      <c r="F131" s="90"/>
    </row>
    <row r="132" spans="1:6">
      <c r="A132">
        <v>1843</v>
      </c>
      <c r="B132">
        <v>1928</v>
      </c>
      <c r="C132" s="91">
        <v>51.6</v>
      </c>
      <c r="D132" s="90">
        <f t="shared" si="1"/>
        <v>-1.1494252873563244E-2</v>
      </c>
      <c r="E132" s="90">
        <v>-1.2E-2</v>
      </c>
      <c r="F132" s="90"/>
    </row>
    <row r="133" spans="1:6">
      <c r="A133">
        <v>28</v>
      </c>
      <c r="B133">
        <v>1929</v>
      </c>
      <c r="C133" s="91">
        <v>51.6</v>
      </c>
      <c r="D133" s="90">
        <f t="shared" si="1"/>
        <v>0</v>
      </c>
      <c r="E133" s="90">
        <v>0</v>
      </c>
      <c r="F133" s="90"/>
    </row>
    <row r="134" spans="1:6">
      <c r="A134" s="89">
        <v>-3.4000000000000002E-2</v>
      </c>
      <c r="B134">
        <v>1930</v>
      </c>
      <c r="C134" s="91">
        <v>50.2</v>
      </c>
      <c r="D134" s="90">
        <f t="shared" ref="D134:D197" si="2">(C134-C133)/C133</f>
        <v>-2.7131782945736406E-2</v>
      </c>
      <c r="E134" s="90">
        <v>-2.7E-2</v>
      </c>
      <c r="F134" s="90"/>
    </row>
    <row r="135" spans="1:6">
      <c r="A135">
        <v>1844</v>
      </c>
      <c r="B135">
        <v>1931</v>
      </c>
      <c r="C135" s="91">
        <v>45.7</v>
      </c>
      <c r="D135" s="90">
        <f t="shared" si="2"/>
        <v>-8.9641434262948197E-2</v>
      </c>
      <c r="E135" s="90">
        <v>-8.8999999999999996E-2</v>
      </c>
      <c r="F135" s="90"/>
    </row>
    <row r="136" spans="1:6">
      <c r="A136">
        <v>28</v>
      </c>
      <c r="B136">
        <v>1932</v>
      </c>
      <c r="C136" s="91">
        <v>41</v>
      </c>
      <c r="D136" s="90">
        <f t="shared" si="2"/>
        <v>-0.10284463894967183</v>
      </c>
      <c r="E136" s="90">
        <v>-0.10299999999999999</v>
      </c>
      <c r="F136" s="90"/>
    </row>
    <row r="137" spans="1:6">
      <c r="A137" s="89">
        <v>0</v>
      </c>
      <c r="B137">
        <v>1933</v>
      </c>
      <c r="C137" s="91">
        <v>38.9</v>
      </c>
      <c r="D137" s="90">
        <f t="shared" si="2"/>
        <v>-5.1219512195121983E-2</v>
      </c>
      <c r="E137" s="90">
        <v>-5.1999999999999998E-2</v>
      </c>
      <c r="F137" s="90"/>
    </row>
    <row r="138" spans="1:6">
      <c r="A138">
        <v>1845</v>
      </c>
      <c r="B138">
        <v>1934</v>
      </c>
      <c r="C138" s="91">
        <v>40.200000000000003</v>
      </c>
      <c r="D138" s="90">
        <f t="shared" si="2"/>
        <v>3.3419023136246895E-2</v>
      </c>
      <c r="E138" s="90">
        <v>3.5000000000000003E-2</v>
      </c>
      <c r="F138" s="90"/>
    </row>
    <row r="139" spans="1:6">
      <c r="A139">
        <v>28</v>
      </c>
      <c r="B139">
        <v>1935</v>
      </c>
      <c r="C139" s="91">
        <v>41.2</v>
      </c>
      <c r="D139" s="90">
        <f t="shared" si="2"/>
        <v>2.4875621890547261E-2</v>
      </c>
      <c r="E139" s="90">
        <v>2.5999999999999999E-2</v>
      </c>
      <c r="F139" s="90"/>
    </row>
    <row r="140" spans="1:6">
      <c r="A140" s="89">
        <v>0</v>
      </c>
      <c r="B140">
        <v>1936</v>
      </c>
      <c r="C140" s="91">
        <v>41.7</v>
      </c>
      <c r="D140" s="90">
        <f t="shared" si="2"/>
        <v>1.2135922330097087E-2</v>
      </c>
      <c r="E140" s="90">
        <v>0.01</v>
      </c>
      <c r="F140" s="90"/>
    </row>
    <row r="141" spans="1:6">
      <c r="A141">
        <v>1846</v>
      </c>
      <c r="B141">
        <v>1937</v>
      </c>
      <c r="C141" s="91">
        <v>43.2</v>
      </c>
      <c r="D141" s="90">
        <f t="shared" si="2"/>
        <v>3.5971223021582732E-2</v>
      </c>
      <c r="E141" s="90">
        <v>3.6999999999999998E-2</v>
      </c>
      <c r="F141" s="90"/>
    </row>
    <row r="142" spans="1:6">
      <c r="A142">
        <v>27</v>
      </c>
      <c r="B142">
        <v>1938</v>
      </c>
      <c r="C142" s="91">
        <v>42.3</v>
      </c>
      <c r="D142" s="90">
        <f t="shared" si="2"/>
        <v>-2.0833333333333464E-2</v>
      </c>
      <c r="E142" s="90">
        <v>-0.02</v>
      </c>
      <c r="F142" s="90"/>
    </row>
    <row r="143" spans="1:6">
      <c r="A143" s="89">
        <v>-3.5999999999999997E-2</v>
      </c>
      <c r="B143">
        <v>1939</v>
      </c>
      <c r="C143" s="91">
        <v>41.8</v>
      </c>
      <c r="D143" s="90">
        <f t="shared" si="2"/>
        <v>-1.1820330969267141E-2</v>
      </c>
      <c r="E143" s="90">
        <v>-1.2999999999999999E-2</v>
      </c>
      <c r="F143" s="90"/>
    </row>
    <row r="144" spans="1:6">
      <c r="A144">
        <v>1847</v>
      </c>
      <c r="B144">
        <v>1940</v>
      </c>
      <c r="C144" s="91">
        <v>42.1</v>
      </c>
      <c r="D144" s="90">
        <f t="shared" si="2"/>
        <v>7.177033492823069E-3</v>
      </c>
      <c r="E144" s="90">
        <v>7.0000000000000001E-3</v>
      </c>
      <c r="F144" s="90"/>
    </row>
    <row r="145" spans="1:6">
      <c r="A145">
        <v>28</v>
      </c>
      <c r="B145">
        <v>1941</v>
      </c>
      <c r="C145" s="91">
        <v>44.2</v>
      </c>
      <c r="D145" s="90">
        <f t="shared" si="2"/>
        <v>4.9881235154394334E-2</v>
      </c>
      <c r="E145" s="90">
        <v>5.0999999999999997E-2</v>
      </c>
      <c r="F145" s="90"/>
    </row>
    <row r="146" spans="1:6">
      <c r="A146" s="89">
        <v>3.6999999999999998E-2</v>
      </c>
      <c r="B146">
        <v>1942</v>
      </c>
      <c r="C146" s="91">
        <v>49.1</v>
      </c>
      <c r="D146" s="90">
        <f t="shared" si="2"/>
        <v>0.1108597285067873</v>
      </c>
      <c r="E146" s="90">
        <v>0.109</v>
      </c>
      <c r="F146" s="90"/>
    </row>
    <row r="147" spans="1:6">
      <c r="A147">
        <v>1848</v>
      </c>
      <c r="B147">
        <v>1943</v>
      </c>
      <c r="C147" s="91">
        <v>52</v>
      </c>
      <c r="D147" s="90">
        <f t="shared" si="2"/>
        <v>5.9063136456211779E-2</v>
      </c>
      <c r="E147" s="90">
        <v>0.06</v>
      </c>
      <c r="F147" s="90"/>
    </row>
    <row r="148" spans="1:6">
      <c r="A148">
        <v>26</v>
      </c>
      <c r="B148">
        <v>1944</v>
      </c>
      <c r="C148" s="91">
        <v>52.9</v>
      </c>
      <c r="D148" s="90">
        <f t="shared" si="2"/>
        <v>1.7307692307692281E-2</v>
      </c>
      <c r="E148" s="90">
        <v>1.6E-2</v>
      </c>
      <c r="F148" s="90"/>
    </row>
    <row r="149" spans="1:6">
      <c r="A149" s="89">
        <v>-7.0999999999999994E-2</v>
      </c>
      <c r="B149">
        <v>1945</v>
      </c>
      <c r="C149" s="91">
        <v>54.1</v>
      </c>
      <c r="D149" s="90">
        <f t="shared" si="2"/>
        <v>2.2684310018903645E-2</v>
      </c>
      <c r="E149" s="90">
        <v>2.3E-2</v>
      </c>
      <c r="F149" s="90"/>
    </row>
    <row r="150" spans="1:6">
      <c r="A150">
        <v>1849</v>
      </c>
      <c r="B150">
        <v>1946</v>
      </c>
      <c r="C150" s="91">
        <v>58.6</v>
      </c>
      <c r="D150" s="90">
        <f t="shared" si="2"/>
        <v>8.3179297597042512E-2</v>
      </c>
      <c r="E150" s="90">
        <v>8.5000000000000006E-2</v>
      </c>
      <c r="F150" s="90"/>
    </row>
    <row r="151" spans="1:6">
      <c r="A151">
        <v>25</v>
      </c>
      <c r="B151">
        <v>1947</v>
      </c>
      <c r="C151" s="91">
        <v>67.099999999999994</v>
      </c>
      <c r="D151" s="90">
        <f t="shared" si="2"/>
        <v>0.14505119453924903</v>
      </c>
      <c r="E151" s="90">
        <v>0.14399999999999999</v>
      </c>
      <c r="F151" s="90"/>
    </row>
    <row r="152" spans="1:6">
      <c r="A152" s="89">
        <v>-3.7999999999999999E-2</v>
      </c>
      <c r="B152">
        <v>1948</v>
      </c>
      <c r="C152" s="91">
        <v>72.2</v>
      </c>
      <c r="D152" s="90">
        <f t="shared" si="2"/>
        <v>7.6005961251863027E-2</v>
      </c>
      <c r="E152" s="90">
        <v>7.6999999999999999E-2</v>
      </c>
      <c r="F152" s="90"/>
    </row>
    <row r="153" spans="1:6">
      <c r="A153">
        <v>1850</v>
      </c>
      <c r="B153">
        <v>1949</v>
      </c>
      <c r="C153" s="91">
        <v>71.5</v>
      </c>
      <c r="D153" s="90">
        <f t="shared" si="2"/>
        <v>-9.695290858725801E-3</v>
      </c>
      <c r="E153" s="90">
        <v>-0.01</v>
      </c>
      <c r="F153" s="90"/>
    </row>
    <row r="154" spans="1:6">
      <c r="A154">
        <v>25</v>
      </c>
      <c r="B154">
        <v>1950</v>
      </c>
      <c r="C154" s="91">
        <v>72.3</v>
      </c>
      <c r="D154" s="90">
        <f t="shared" si="2"/>
        <v>1.1188811188811149E-2</v>
      </c>
      <c r="E154" s="90">
        <v>1.0999999999999999E-2</v>
      </c>
      <c r="F154" s="90"/>
    </row>
    <row r="155" spans="1:6">
      <c r="A155" s="89">
        <v>0</v>
      </c>
      <c r="B155">
        <v>1951</v>
      </c>
      <c r="C155" s="91">
        <v>78</v>
      </c>
      <c r="D155" s="90">
        <f t="shared" si="2"/>
        <v>7.883817427385896E-2</v>
      </c>
      <c r="E155" s="90">
        <v>7.9000000000000001E-2</v>
      </c>
      <c r="F155" s="90"/>
    </row>
    <row r="156" spans="1:6">
      <c r="A156">
        <v>1851</v>
      </c>
      <c r="B156">
        <v>1952</v>
      </c>
      <c r="C156" s="91">
        <v>79.8</v>
      </c>
      <c r="D156" s="90">
        <f t="shared" si="2"/>
        <v>2.307692307692304E-2</v>
      </c>
      <c r="E156" s="90">
        <v>2.3E-2</v>
      </c>
      <c r="F156" s="90"/>
    </row>
    <row r="157" spans="1:6">
      <c r="A157">
        <v>25</v>
      </c>
      <c r="B157">
        <v>1953</v>
      </c>
      <c r="C157" s="91">
        <v>80.400000000000006</v>
      </c>
      <c r="D157" s="90">
        <f t="shared" si="2"/>
        <v>7.5187969924813101E-3</v>
      </c>
      <c r="E157" s="90">
        <v>8.0000000000000002E-3</v>
      </c>
      <c r="F157" s="90"/>
    </row>
    <row r="158" spans="1:6">
      <c r="A158" s="89">
        <v>0</v>
      </c>
      <c r="B158">
        <v>1954</v>
      </c>
      <c r="C158" s="91">
        <v>80.7</v>
      </c>
      <c r="D158" s="90">
        <f t="shared" si="2"/>
        <v>3.7313432835820539E-3</v>
      </c>
      <c r="E158" s="90">
        <v>3.0000000000000001E-3</v>
      </c>
      <c r="F158" s="90"/>
    </row>
    <row r="159" spans="1:6">
      <c r="A159">
        <v>1852</v>
      </c>
      <c r="B159">
        <v>1955</v>
      </c>
      <c r="C159" s="91">
        <v>80.5</v>
      </c>
      <c r="D159" s="90">
        <f t="shared" si="2"/>
        <v>-2.4783147459727737E-3</v>
      </c>
      <c r="E159" s="90">
        <v>-3.0000000000000001E-3</v>
      </c>
      <c r="F159" s="90"/>
    </row>
    <row r="160" spans="1:6">
      <c r="A160">
        <v>25</v>
      </c>
      <c r="B160">
        <v>1956</v>
      </c>
      <c r="C160" s="91">
        <v>81.7</v>
      </c>
      <c r="D160" s="90">
        <f t="shared" si="2"/>
        <v>1.4906832298136682E-2</v>
      </c>
      <c r="E160" s="90">
        <v>1.4999999999999999E-2</v>
      </c>
      <c r="F160" s="90"/>
    </row>
    <row r="161" spans="1:6">
      <c r="A161" s="89">
        <v>0</v>
      </c>
      <c r="B161">
        <v>1957</v>
      </c>
      <c r="C161" s="91">
        <v>84.4</v>
      </c>
      <c r="D161" s="90">
        <f t="shared" si="2"/>
        <v>3.3047735618115089E-2</v>
      </c>
      <c r="E161" s="90">
        <v>3.3000000000000002E-2</v>
      </c>
      <c r="F161" s="90"/>
    </row>
    <row r="162" spans="1:6">
      <c r="A162">
        <v>1853</v>
      </c>
      <c r="B162">
        <v>1958</v>
      </c>
      <c r="C162" s="91">
        <v>86.7</v>
      </c>
      <c r="D162" s="90">
        <f t="shared" si="2"/>
        <v>2.7251184834123188E-2</v>
      </c>
      <c r="E162" s="90">
        <v>2.7E-2</v>
      </c>
      <c r="F162" s="90"/>
    </row>
    <row r="163" spans="1:6">
      <c r="A163">
        <v>25</v>
      </c>
      <c r="B163">
        <v>1959</v>
      </c>
      <c r="C163" s="91">
        <v>87.6</v>
      </c>
      <c r="D163" s="90">
        <f t="shared" si="2"/>
        <v>1.0380622837370143E-2</v>
      </c>
      <c r="E163" s="90">
        <v>0.01</v>
      </c>
      <c r="F163" s="90"/>
    </row>
    <row r="164" spans="1:6">
      <c r="A164" s="89">
        <v>0</v>
      </c>
      <c r="B164">
        <v>1960</v>
      </c>
      <c r="C164" s="91">
        <v>88.9</v>
      </c>
      <c r="D164" s="90">
        <f t="shared" si="2"/>
        <v>1.4840182648401957E-2</v>
      </c>
      <c r="E164" s="90">
        <v>1.4999999999999999E-2</v>
      </c>
      <c r="F164" s="90"/>
    </row>
    <row r="165" spans="1:6">
      <c r="A165">
        <v>1854</v>
      </c>
      <c r="B165">
        <v>1961</v>
      </c>
      <c r="C165" s="91">
        <v>89.8</v>
      </c>
      <c r="D165" s="90">
        <f t="shared" si="2"/>
        <v>1.0123734533183255E-2</v>
      </c>
      <c r="E165" s="90">
        <v>1.0999999999999999E-2</v>
      </c>
      <c r="F165" s="90"/>
    </row>
    <row r="166" spans="1:6">
      <c r="A166">
        <v>27</v>
      </c>
      <c r="B166">
        <v>1962</v>
      </c>
      <c r="C166" s="91">
        <v>90.9</v>
      </c>
      <c r="D166" s="90">
        <f t="shared" si="2"/>
        <v>1.2249443207127043E-2</v>
      </c>
      <c r="E166" s="90">
        <v>1.2E-2</v>
      </c>
      <c r="F166" s="90"/>
    </row>
    <row r="167" spans="1:6">
      <c r="A167" s="89">
        <v>0.08</v>
      </c>
      <c r="B167">
        <v>1963</v>
      </c>
      <c r="C167" s="91">
        <v>92</v>
      </c>
      <c r="D167" s="90">
        <f t="shared" si="2"/>
        <v>1.2101210121012038E-2</v>
      </c>
      <c r="E167" s="90">
        <v>1.2E-2</v>
      </c>
      <c r="F167" s="90"/>
    </row>
    <row r="168" spans="1:6">
      <c r="A168">
        <v>1855</v>
      </c>
      <c r="B168">
        <v>1964</v>
      </c>
      <c r="C168" s="91">
        <v>93.2</v>
      </c>
      <c r="D168" s="90">
        <f t="shared" si="2"/>
        <v>1.3043478260869596E-2</v>
      </c>
      <c r="E168" s="90">
        <v>1.2999999999999999E-2</v>
      </c>
      <c r="F168" s="90"/>
    </row>
    <row r="169" spans="1:6">
      <c r="A169">
        <v>28</v>
      </c>
      <c r="B169">
        <v>1965</v>
      </c>
      <c r="C169" s="91">
        <v>94.7</v>
      </c>
      <c r="D169" s="90">
        <f t="shared" si="2"/>
        <v>1.6094420600858368E-2</v>
      </c>
      <c r="E169" s="90">
        <v>1.6E-2</v>
      </c>
      <c r="F169" s="90"/>
    </row>
    <row r="170" spans="1:6">
      <c r="A170" s="89">
        <v>3.6999999999999998E-2</v>
      </c>
      <c r="B170">
        <v>1966</v>
      </c>
      <c r="C170" s="91">
        <v>97.5</v>
      </c>
      <c r="D170" s="90">
        <f t="shared" si="2"/>
        <v>2.9567053854276631E-2</v>
      </c>
      <c r="E170" s="90">
        <v>0.03</v>
      </c>
      <c r="F170" s="90"/>
    </row>
    <row r="171" spans="1:6">
      <c r="A171">
        <v>1856</v>
      </c>
      <c r="B171">
        <v>1967</v>
      </c>
      <c r="C171" s="91">
        <v>100.2</v>
      </c>
      <c r="D171" s="90">
        <f t="shared" si="2"/>
        <v>2.7692307692307721E-2</v>
      </c>
      <c r="E171" s="90">
        <v>2.8000000000000001E-2</v>
      </c>
      <c r="F171" s="90"/>
    </row>
    <row r="172" spans="1:6">
      <c r="A172">
        <v>27</v>
      </c>
      <c r="B172">
        <v>1968</v>
      </c>
      <c r="C172" s="91">
        <v>104.5</v>
      </c>
      <c r="D172" s="90">
        <f t="shared" si="2"/>
        <v>4.2914171656686595E-2</v>
      </c>
      <c r="E172" s="90">
        <v>4.2999999999999997E-2</v>
      </c>
      <c r="F172" s="90"/>
    </row>
    <row r="173" spans="1:6">
      <c r="A173" s="89">
        <v>-3.5999999999999997E-2</v>
      </c>
      <c r="B173">
        <v>1969</v>
      </c>
      <c r="C173" s="91">
        <v>110.2</v>
      </c>
      <c r="D173" s="90">
        <f t="shared" si="2"/>
        <v>5.4545454545454571E-2</v>
      </c>
      <c r="E173" s="90">
        <v>5.5E-2</v>
      </c>
      <c r="F173" s="90"/>
    </row>
    <row r="174" spans="1:6">
      <c r="A174">
        <v>1857</v>
      </c>
      <c r="B174">
        <v>1970</v>
      </c>
      <c r="C174" s="91">
        <v>116.7</v>
      </c>
      <c r="D174" s="90">
        <f t="shared" si="2"/>
        <v>5.8983666061705985E-2</v>
      </c>
      <c r="E174" s="90">
        <v>5.8000000000000003E-2</v>
      </c>
      <c r="F174" s="90"/>
    </row>
    <row r="175" spans="1:6">
      <c r="A175">
        <v>28</v>
      </c>
      <c r="B175">
        <v>1971</v>
      </c>
      <c r="C175" s="91">
        <v>121.7</v>
      </c>
      <c r="D175" s="90">
        <f t="shared" si="2"/>
        <v>4.2844901456726647E-2</v>
      </c>
      <c r="E175" s="90">
        <v>4.2999999999999997E-2</v>
      </c>
      <c r="F175" s="90"/>
    </row>
    <row r="176" spans="1:6">
      <c r="A176" s="89">
        <v>3.6999999999999998E-2</v>
      </c>
      <c r="B176">
        <v>1972</v>
      </c>
      <c r="C176" s="91">
        <v>125.7</v>
      </c>
      <c r="D176" s="90">
        <f t="shared" si="2"/>
        <v>3.2867707477403453E-2</v>
      </c>
      <c r="E176" s="90">
        <v>3.3000000000000002E-2</v>
      </c>
      <c r="F176" s="90"/>
    </row>
    <row r="177" spans="1:6">
      <c r="A177">
        <v>1858</v>
      </c>
      <c r="B177">
        <v>1973</v>
      </c>
      <c r="C177" s="91">
        <v>133.4</v>
      </c>
      <c r="D177" s="90">
        <f t="shared" si="2"/>
        <v>6.1256961018297557E-2</v>
      </c>
      <c r="E177" s="90">
        <v>6.2E-2</v>
      </c>
      <c r="F177" s="90"/>
    </row>
    <row r="178" spans="1:6">
      <c r="A178">
        <v>26</v>
      </c>
      <c r="B178">
        <v>1974</v>
      </c>
      <c r="C178" s="91">
        <v>148.19999999999999</v>
      </c>
      <c r="D178" s="90">
        <f t="shared" si="2"/>
        <v>0.1109445277361318</v>
      </c>
      <c r="E178" s="90">
        <v>0.111</v>
      </c>
      <c r="F178" s="90"/>
    </row>
    <row r="179" spans="1:6">
      <c r="A179" s="89">
        <v>-7.0999999999999994E-2</v>
      </c>
      <c r="B179">
        <v>1975</v>
      </c>
      <c r="C179" s="91">
        <v>161.69999999999999</v>
      </c>
      <c r="D179" s="90">
        <f t="shared" si="2"/>
        <v>9.1093117408906896E-2</v>
      </c>
      <c r="E179" s="90">
        <v>9.0999999999999998E-2</v>
      </c>
      <c r="F179" s="90"/>
    </row>
    <row r="180" spans="1:6">
      <c r="A180">
        <v>1859</v>
      </c>
      <c r="B180">
        <v>1976</v>
      </c>
      <c r="C180" s="91">
        <v>171</v>
      </c>
      <c r="D180" s="90">
        <f t="shared" si="2"/>
        <v>5.7513914656771872E-2</v>
      </c>
      <c r="E180" s="90">
        <v>5.7000000000000002E-2</v>
      </c>
      <c r="F180" s="90"/>
    </row>
    <row r="181" spans="1:6">
      <c r="A181">
        <v>27</v>
      </c>
      <c r="B181">
        <v>1977</v>
      </c>
      <c r="C181" s="91">
        <v>182.1</v>
      </c>
      <c r="D181" s="90">
        <f t="shared" si="2"/>
        <v>6.4912280701754352E-2</v>
      </c>
      <c r="E181" s="90">
        <v>6.5000000000000002E-2</v>
      </c>
      <c r="F181" s="90"/>
    </row>
    <row r="182" spans="1:6">
      <c r="A182" s="89">
        <v>3.7999999999999999E-2</v>
      </c>
      <c r="B182">
        <v>1978</v>
      </c>
      <c r="C182" s="91">
        <v>196</v>
      </c>
      <c r="D182" s="90">
        <f t="shared" si="2"/>
        <v>7.6331685886875375E-2</v>
      </c>
      <c r="E182" s="90">
        <v>7.5999999999999998E-2</v>
      </c>
      <c r="F182" s="90"/>
    </row>
    <row r="183" spans="1:6">
      <c r="A183">
        <v>1860</v>
      </c>
      <c r="B183">
        <v>1979</v>
      </c>
      <c r="C183" s="91">
        <v>218.1</v>
      </c>
      <c r="D183" s="90">
        <f t="shared" si="2"/>
        <v>0.11275510204081629</v>
      </c>
      <c r="E183" s="90">
        <v>0.113</v>
      </c>
      <c r="F183" s="90"/>
    </row>
    <row r="184" spans="1:6">
      <c r="A184">
        <v>27</v>
      </c>
      <c r="B184">
        <v>1980</v>
      </c>
      <c r="C184" s="91">
        <v>247.6</v>
      </c>
      <c r="D184" s="90">
        <f t="shared" si="2"/>
        <v>0.13525905547913802</v>
      </c>
      <c r="E184" s="90">
        <v>0.13500000000000001</v>
      </c>
      <c r="F184" s="90"/>
    </row>
    <row r="185" spans="1:6">
      <c r="A185" s="89">
        <v>0</v>
      </c>
      <c r="B185">
        <v>1981</v>
      </c>
      <c r="C185" s="91">
        <v>273.2</v>
      </c>
      <c r="D185" s="90">
        <f t="shared" si="2"/>
        <v>0.1033925686591276</v>
      </c>
      <c r="E185" s="90">
        <v>0.10299999999999999</v>
      </c>
      <c r="F185" s="90"/>
    </row>
    <row r="186" spans="1:6">
      <c r="A186">
        <v>1861</v>
      </c>
      <c r="B186">
        <v>1982</v>
      </c>
      <c r="C186" s="91">
        <v>290</v>
      </c>
      <c r="D186" s="90">
        <f t="shared" si="2"/>
        <v>6.1493411420205021E-2</v>
      </c>
      <c r="E186" s="90">
        <v>6.0999999999999999E-2</v>
      </c>
      <c r="F186" s="90"/>
    </row>
    <row r="187" spans="1:6">
      <c r="A187">
        <v>27</v>
      </c>
      <c r="B187">
        <v>1983</v>
      </c>
      <c r="C187" s="91">
        <v>299.3</v>
      </c>
      <c r="D187" s="90">
        <f t="shared" si="2"/>
        <v>3.2068965517241421E-2</v>
      </c>
      <c r="E187" s="90">
        <v>3.2000000000000001E-2</v>
      </c>
      <c r="F187" s="90"/>
    </row>
    <row r="188" spans="1:6">
      <c r="A188" s="89">
        <v>0</v>
      </c>
      <c r="B188">
        <v>1984</v>
      </c>
      <c r="C188" s="91">
        <v>312.2</v>
      </c>
      <c r="D188" s="90">
        <f t="shared" si="2"/>
        <v>4.3100567991981212E-2</v>
      </c>
      <c r="E188" s="90">
        <v>4.2999999999999997E-2</v>
      </c>
      <c r="F188" s="90"/>
    </row>
    <row r="189" spans="1:6">
      <c r="A189">
        <v>1862</v>
      </c>
      <c r="B189">
        <v>1985</v>
      </c>
      <c r="C189" s="91">
        <v>323.2</v>
      </c>
      <c r="D189" s="90">
        <f t="shared" si="2"/>
        <v>3.5233824471492634E-2</v>
      </c>
      <c r="E189" s="90">
        <v>3.5000000000000003E-2</v>
      </c>
      <c r="F189" s="90"/>
    </row>
    <row r="190" spans="1:6">
      <c r="A190">
        <v>30</v>
      </c>
      <c r="B190">
        <v>1986</v>
      </c>
      <c r="C190" s="91">
        <v>329.4</v>
      </c>
      <c r="D190" s="90">
        <f t="shared" si="2"/>
        <v>1.9183168316831648E-2</v>
      </c>
      <c r="E190" s="90">
        <v>1.9E-2</v>
      </c>
      <c r="F190" s="90"/>
    </row>
    <row r="191" spans="1:6">
      <c r="A191" s="89">
        <v>0.111</v>
      </c>
      <c r="B191">
        <v>1987</v>
      </c>
      <c r="C191" s="91">
        <v>341.4</v>
      </c>
      <c r="D191" s="90">
        <f t="shared" si="2"/>
        <v>3.6429872495446269E-2</v>
      </c>
      <c r="E191" s="90">
        <v>3.6999999999999998E-2</v>
      </c>
      <c r="F191" s="90"/>
    </row>
    <row r="192" spans="1:6">
      <c r="A192">
        <v>1863</v>
      </c>
      <c r="B192">
        <v>1988</v>
      </c>
      <c r="C192" s="91">
        <v>355.4</v>
      </c>
      <c r="D192" s="90">
        <f t="shared" si="2"/>
        <v>4.1007615700058585E-2</v>
      </c>
      <c r="E192" s="90">
        <v>4.1000000000000002E-2</v>
      </c>
      <c r="F192" s="90"/>
    </row>
    <row r="193" spans="1:6">
      <c r="A193">
        <v>37</v>
      </c>
      <c r="B193">
        <v>1989</v>
      </c>
      <c r="C193" s="91">
        <v>372.5</v>
      </c>
      <c r="D193" s="90">
        <f t="shared" si="2"/>
        <v>4.811480022509855E-2</v>
      </c>
      <c r="E193" s="90">
        <v>4.8000000000000001E-2</v>
      </c>
      <c r="F193" s="90"/>
    </row>
    <row r="194" spans="1:6">
      <c r="A194" s="89">
        <v>0.23300000000000001</v>
      </c>
      <c r="B194">
        <v>1990</v>
      </c>
      <c r="C194" s="91">
        <v>392.6</v>
      </c>
      <c r="D194" s="90">
        <f t="shared" si="2"/>
        <v>5.3959731543624219E-2</v>
      </c>
      <c r="E194" s="90">
        <v>5.3999999999999999E-2</v>
      </c>
      <c r="F194" s="90"/>
    </row>
    <row r="195" spans="1:6">
      <c r="A195">
        <v>1864</v>
      </c>
      <c r="B195">
        <v>1991</v>
      </c>
      <c r="C195" s="91">
        <v>409.3</v>
      </c>
      <c r="D195" s="90">
        <f t="shared" si="2"/>
        <v>4.2536933265410054E-2</v>
      </c>
      <c r="E195" s="90">
        <v>4.2000000000000003E-2</v>
      </c>
      <c r="F195" s="90"/>
    </row>
    <row r="196" spans="1:6">
      <c r="A196">
        <v>47</v>
      </c>
      <c r="B196">
        <v>1992</v>
      </c>
      <c r="C196" s="91">
        <v>421.7</v>
      </c>
      <c r="D196" s="90">
        <f t="shared" si="2"/>
        <v>3.0295626679696989E-2</v>
      </c>
      <c r="E196" s="90">
        <v>0.03</v>
      </c>
      <c r="F196" s="90"/>
    </row>
    <row r="197" spans="1:6">
      <c r="A197" s="89">
        <v>0.27</v>
      </c>
      <c r="B197">
        <v>1993</v>
      </c>
      <c r="C197" s="91">
        <v>434.1</v>
      </c>
      <c r="D197" s="90">
        <f t="shared" si="2"/>
        <v>2.9404790135167263E-2</v>
      </c>
      <c r="E197" s="90">
        <v>0.03</v>
      </c>
      <c r="F197" s="90"/>
    </row>
    <row r="198" spans="1:6">
      <c r="A198">
        <v>1865</v>
      </c>
      <c r="B198">
        <v>1994</v>
      </c>
      <c r="C198" s="91">
        <v>445.4</v>
      </c>
      <c r="D198" s="90">
        <f t="shared" ref="D198:D216" si="3">(C198-C197)/C197</f>
        <v>2.603086846348757E-2</v>
      </c>
      <c r="E198" s="90">
        <v>2.5999999999999999E-2</v>
      </c>
      <c r="F198" s="90"/>
    </row>
    <row r="199" spans="1:6">
      <c r="A199">
        <v>46</v>
      </c>
      <c r="B199">
        <v>1995</v>
      </c>
      <c r="C199" s="91">
        <v>457.9</v>
      </c>
      <c r="D199" s="90">
        <f t="shared" si="3"/>
        <v>2.8064660978895376E-2</v>
      </c>
      <c r="E199" s="90">
        <v>2.8000000000000001E-2</v>
      </c>
      <c r="F199" s="90"/>
    </row>
    <row r="200" spans="1:6">
      <c r="A200" s="89">
        <v>-2.1000000000000001E-2</v>
      </c>
      <c r="B200">
        <v>1996</v>
      </c>
      <c r="C200" s="91">
        <v>471.3</v>
      </c>
      <c r="D200" s="90">
        <f t="shared" si="3"/>
        <v>2.9264031447914469E-2</v>
      </c>
      <c r="E200" s="90">
        <v>2.9000000000000001E-2</v>
      </c>
      <c r="F200" s="90"/>
    </row>
    <row r="201" spans="1:6">
      <c r="A201">
        <v>1866</v>
      </c>
      <c r="B201">
        <v>1997</v>
      </c>
      <c r="C201" s="91">
        <v>482.4</v>
      </c>
      <c r="D201" s="90">
        <f t="shared" si="3"/>
        <v>2.355187778485034E-2</v>
      </c>
      <c r="E201" s="90">
        <v>2.3E-2</v>
      </c>
      <c r="F201" s="90"/>
    </row>
    <row r="202" spans="1:6">
      <c r="A202">
        <v>44</v>
      </c>
      <c r="B202">
        <v>1998</v>
      </c>
      <c r="C202" s="91">
        <v>489.8</v>
      </c>
      <c r="D202" s="90">
        <f t="shared" si="3"/>
        <v>1.5339966832504217E-2</v>
      </c>
      <c r="E202" s="90">
        <v>1.6E-2</v>
      </c>
      <c r="F202" s="90"/>
    </row>
    <row r="203" spans="1:6">
      <c r="A203" s="89">
        <v>-4.2999999999999997E-2</v>
      </c>
      <c r="B203">
        <v>1999</v>
      </c>
      <c r="C203" s="91">
        <v>500.6</v>
      </c>
      <c r="D203" s="90">
        <f t="shared" si="3"/>
        <v>2.2049816251531261E-2</v>
      </c>
      <c r="E203" s="90">
        <v>2.1999999999999999E-2</v>
      </c>
      <c r="F203" s="90"/>
    </row>
    <row r="204" spans="1:6">
      <c r="A204">
        <v>1867</v>
      </c>
      <c r="B204">
        <v>2000</v>
      </c>
      <c r="C204" s="91">
        <v>517.5</v>
      </c>
      <c r="D204" s="90">
        <f t="shared" si="3"/>
        <v>3.3759488613663555E-2</v>
      </c>
      <c r="E204" s="90">
        <v>3.4000000000000002E-2</v>
      </c>
      <c r="F204" s="90"/>
    </row>
    <row r="205" spans="1:6">
      <c r="A205">
        <v>42</v>
      </c>
      <c r="B205">
        <v>2001</v>
      </c>
      <c r="C205" s="91">
        <v>532.1</v>
      </c>
      <c r="D205" s="90">
        <f t="shared" si="3"/>
        <v>2.8212560386473472E-2</v>
      </c>
      <c r="E205" s="90">
        <v>2.8000000000000001E-2</v>
      </c>
      <c r="F205" s="90"/>
    </row>
    <row r="206" spans="1:6">
      <c r="A206" s="89">
        <v>-4.4999999999999998E-2</v>
      </c>
      <c r="B206">
        <v>2002</v>
      </c>
      <c r="C206" s="91">
        <v>540.5</v>
      </c>
      <c r="D206" s="90">
        <f t="shared" si="3"/>
        <v>1.5786506295809015E-2</v>
      </c>
      <c r="E206" s="90">
        <v>1.6E-2</v>
      </c>
      <c r="F206" s="90"/>
    </row>
    <row r="207" spans="1:6">
      <c r="A207">
        <v>1868</v>
      </c>
      <c r="B207">
        <v>2003</v>
      </c>
      <c r="C207" s="91">
        <v>552.79999999999995</v>
      </c>
      <c r="D207" s="90">
        <f t="shared" si="3"/>
        <v>2.2756706753006391E-2</v>
      </c>
      <c r="E207" s="90">
        <v>2.3E-2</v>
      </c>
      <c r="F207" s="90"/>
    </row>
    <row r="208" spans="1:6">
      <c r="A208">
        <v>40</v>
      </c>
      <c r="B208">
        <v>2004</v>
      </c>
      <c r="C208" s="91">
        <v>567.6</v>
      </c>
      <c r="D208" s="90">
        <f t="shared" si="3"/>
        <v>2.6772793053545713E-2</v>
      </c>
      <c r="E208" s="90">
        <v>2.7E-2</v>
      </c>
      <c r="F208" s="90"/>
    </row>
    <row r="209" spans="1:6">
      <c r="A209" s="89">
        <v>-4.8000000000000001E-2</v>
      </c>
      <c r="B209">
        <v>2005</v>
      </c>
      <c r="C209" s="91">
        <v>586.9</v>
      </c>
      <c r="D209" s="90">
        <f t="shared" si="3"/>
        <v>3.4002818886539735E-2</v>
      </c>
      <c r="E209" s="90">
        <v>3.4000000000000002E-2</v>
      </c>
      <c r="F209" s="90"/>
    </row>
    <row r="210" spans="1:6">
      <c r="A210">
        <v>1869</v>
      </c>
      <c r="B210">
        <v>2006</v>
      </c>
      <c r="C210" s="91">
        <v>605.79999999999995</v>
      </c>
      <c r="D210" s="90">
        <f t="shared" si="3"/>
        <v>3.2203101039359305E-2</v>
      </c>
      <c r="E210" s="90">
        <v>3.2000000000000001E-2</v>
      </c>
      <c r="F210" s="90"/>
    </row>
    <row r="211" spans="1:6">
      <c r="A211">
        <v>40</v>
      </c>
      <c r="B211">
        <v>2007</v>
      </c>
      <c r="C211" s="91">
        <v>623.1</v>
      </c>
      <c r="D211" s="90">
        <f t="shared" si="3"/>
        <v>2.8557279630241118E-2</v>
      </c>
      <c r="E211" s="90">
        <v>2.9000000000000001E-2</v>
      </c>
      <c r="F211" s="90"/>
    </row>
    <row r="212" spans="1:6">
      <c r="A212" s="89">
        <v>0</v>
      </c>
      <c r="B212">
        <v>2008</v>
      </c>
      <c r="C212" s="91">
        <v>647</v>
      </c>
      <c r="D212" s="90">
        <f t="shared" si="3"/>
        <v>3.8356604076392194E-2</v>
      </c>
      <c r="E212" s="90">
        <v>3.7999999999999999E-2</v>
      </c>
      <c r="F212" s="90"/>
    </row>
    <row r="213" spans="1:6">
      <c r="A213">
        <v>1870</v>
      </c>
      <c r="B213">
        <v>2009</v>
      </c>
      <c r="C213" s="91">
        <v>644.70000000000005</v>
      </c>
      <c r="D213" s="90">
        <f t="shared" si="3"/>
        <v>-3.5548686244203315E-3</v>
      </c>
      <c r="E213" s="90">
        <v>-4.0000000000000001E-3</v>
      </c>
      <c r="F213" s="90"/>
    </row>
    <row r="214" spans="1:6">
      <c r="A214">
        <v>38</v>
      </c>
      <c r="B214">
        <v>2010</v>
      </c>
      <c r="C214" s="91">
        <v>655.29999999999995</v>
      </c>
      <c r="D214" s="90">
        <f t="shared" si="3"/>
        <v>1.6441755855436495E-2</v>
      </c>
      <c r="E214" s="90">
        <v>1.6E-2</v>
      </c>
      <c r="F214" s="90"/>
    </row>
    <row r="215" spans="1:6">
      <c r="A215" s="89">
        <v>-0.05</v>
      </c>
      <c r="B215">
        <v>2011</v>
      </c>
      <c r="C215" s="91">
        <v>676</v>
      </c>
      <c r="D215" s="90">
        <f t="shared" si="3"/>
        <v>3.1588585380741718E-2</v>
      </c>
      <c r="E215" s="90">
        <v>3.2000000000000001E-2</v>
      </c>
      <c r="F215" s="90"/>
    </row>
    <row r="216" spans="1:6">
      <c r="A216">
        <v>1871</v>
      </c>
      <c r="B216">
        <v>2012</v>
      </c>
      <c r="C216" s="91">
        <v>689.9</v>
      </c>
      <c r="D216" s="90">
        <f t="shared" si="3"/>
        <v>2.0562130177514758E-2</v>
      </c>
      <c r="E216" s="90">
        <v>2.1000000000000001E-2</v>
      </c>
      <c r="F216" s="90"/>
    </row>
    <row r="217" spans="1:6">
      <c r="A217">
        <v>36</v>
      </c>
      <c r="C217" s="91"/>
      <c r="D217" s="90"/>
      <c r="E217" s="90"/>
      <c r="F217" s="90"/>
    </row>
    <row r="218" spans="1:6">
      <c r="A218" s="89">
        <v>-5.2999999999999999E-2</v>
      </c>
      <c r="C218" s="91"/>
      <c r="D218" s="91"/>
      <c r="E218" s="90"/>
      <c r="F218" s="90"/>
    </row>
    <row r="219" spans="1:6">
      <c r="A219">
        <v>1872</v>
      </c>
      <c r="C219" s="91"/>
      <c r="D219" s="91"/>
      <c r="E219" s="90"/>
      <c r="F219" s="90"/>
    </row>
    <row r="220" spans="1:6">
      <c r="A220">
        <v>36</v>
      </c>
      <c r="C220" s="91"/>
      <c r="D220" s="91"/>
      <c r="E220" s="90"/>
      <c r="F220" s="90"/>
    </row>
    <row r="221" spans="1:6">
      <c r="A221" s="89">
        <v>0</v>
      </c>
      <c r="C221" s="91"/>
      <c r="D221" s="91"/>
      <c r="E221" s="90"/>
      <c r="F221" s="90"/>
    </row>
    <row r="222" spans="1:6">
      <c r="A222">
        <v>1873</v>
      </c>
      <c r="C222" s="91"/>
      <c r="D222" s="91"/>
      <c r="E222" s="90"/>
      <c r="F222" s="90"/>
    </row>
    <row r="223" spans="1:6">
      <c r="A223">
        <v>36</v>
      </c>
      <c r="C223" s="91"/>
      <c r="D223" s="91"/>
      <c r="E223" s="90"/>
      <c r="F223" s="90"/>
    </row>
    <row r="224" spans="1:6">
      <c r="A224" s="89">
        <v>0</v>
      </c>
      <c r="C224" s="91"/>
      <c r="D224" s="91"/>
      <c r="E224" s="90"/>
      <c r="F224" s="90"/>
    </row>
    <row r="225" spans="1:6">
      <c r="A225">
        <v>1874</v>
      </c>
      <c r="C225" s="91"/>
      <c r="D225" s="91"/>
      <c r="E225" s="90"/>
      <c r="F225" s="90"/>
    </row>
    <row r="226" spans="1:6">
      <c r="A226">
        <v>34</v>
      </c>
      <c r="C226" s="91"/>
      <c r="D226" s="91"/>
      <c r="E226" s="90"/>
      <c r="F226" s="90"/>
    </row>
    <row r="227" spans="1:6">
      <c r="A227" s="89">
        <v>-5.6000000000000001E-2</v>
      </c>
      <c r="C227" s="91"/>
      <c r="D227" s="91"/>
      <c r="E227" s="90"/>
      <c r="F227" s="90"/>
    </row>
    <row r="228" spans="1:6">
      <c r="A228">
        <v>1875</v>
      </c>
      <c r="C228" s="91"/>
      <c r="D228" s="91"/>
      <c r="E228" s="90"/>
      <c r="F228" s="90"/>
    </row>
    <row r="229" spans="1:6">
      <c r="A229">
        <v>33</v>
      </c>
      <c r="C229" s="91"/>
      <c r="D229" s="91"/>
      <c r="E229" s="90"/>
      <c r="F229" s="90"/>
    </row>
    <row r="230" spans="1:6">
      <c r="A230" s="89">
        <v>-2.9000000000000001E-2</v>
      </c>
      <c r="C230" s="91"/>
      <c r="D230" s="91"/>
      <c r="E230" s="90"/>
      <c r="F230" s="90"/>
    </row>
    <row r="231" spans="1:6">
      <c r="A231">
        <v>1876</v>
      </c>
      <c r="C231" s="91"/>
      <c r="D231" s="91"/>
      <c r="E231" s="90"/>
      <c r="F231" s="90"/>
    </row>
    <row r="232" spans="1:6">
      <c r="A232">
        <v>32</v>
      </c>
    </row>
    <row r="233" spans="1:6">
      <c r="A233" s="89">
        <v>-0.03</v>
      </c>
      <c r="B233" s="89"/>
    </row>
    <row r="234" spans="1:6">
      <c r="A234">
        <v>1877</v>
      </c>
    </row>
    <row r="235" spans="1:6">
      <c r="A235">
        <v>32</v>
      </c>
    </row>
    <row r="236" spans="1:6">
      <c r="A236" s="89">
        <v>0</v>
      </c>
      <c r="B236" s="89"/>
    </row>
    <row r="237" spans="1:6">
      <c r="A237">
        <v>1878</v>
      </c>
    </row>
    <row r="238" spans="1:6">
      <c r="A238">
        <v>29</v>
      </c>
    </row>
    <row r="239" spans="1:6">
      <c r="A239" s="89">
        <v>-9.4E-2</v>
      </c>
      <c r="B239" s="89"/>
    </row>
    <row r="240" spans="1:6">
      <c r="A240">
        <v>1879</v>
      </c>
    </row>
    <row r="241" spans="1:2">
      <c r="A241">
        <v>28</v>
      </c>
    </row>
    <row r="242" spans="1:2">
      <c r="A242" s="89">
        <v>-3.4000000000000002E-2</v>
      </c>
      <c r="B242" s="89"/>
    </row>
    <row r="243" spans="1:2">
      <c r="A243">
        <v>1880</v>
      </c>
    </row>
    <row r="244" spans="1:2">
      <c r="A244">
        <v>29</v>
      </c>
    </row>
    <row r="245" spans="1:2">
      <c r="A245" s="89">
        <v>3.5999999999999997E-2</v>
      </c>
      <c r="B245" s="89"/>
    </row>
    <row r="246" spans="1:2">
      <c r="A246">
        <v>1881</v>
      </c>
    </row>
    <row r="247" spans="1:2">
      <c r="A247">
        <v>29</v>
      </c>
    </row>
    <row r="248" spans="1:2">
      <c r="A248" s="89">
        <v>0</v>
      </c>
      <c r="B248" s="89"/>
    </row>
    <row r="249" spans="1:2">
      <c r="A249">
        <v>1882</v>
      </c>
    </row>
    <row r="250" spans="1:2">
      <c r="A250">
        <v>29</v>
      </c>
    </row>
    <row r="251" spans="1:2">
      <c r="A251" s="89">
        <v>0</v>
      </c>
      <c r="B251" s="89"/>
    </row>
    <row r="252" spans="1:2">
      <c r="A252">
        <v>1883</v>
      </c>
    </row>
    <row r="253" spans="1:2">
      <c r="A253">
        <v>28</v>
      </c>
    </row>
    <row r="254" spans="1:2">
      <c r="A254" s="89">
        <v>-3.4000000000000002E-2</v>
      </c>
      <c r="B254" s="89"/>
    </row>
    <row r="255" spans="1:2">
      <c r="A255">
        <v>1884</v>
      </c>
    </row>
    <row r="256" spans="1:2">
      <c r="A256">
        <v>27</v>
      </c>
    </row>
    <row r="257" spans="1:2">
      <c r="A257" s="89">
        <v>-3.5999999999999997E-2</v>
      </c>
      <c r="B257" s="89"/>
    </row>
    <row r="258" spans="1:2">
      <c r="A258">
        <v>1885</v>
      </c>
    </row>
    <row r="259" spans="1:2">
      <c r="A259">
        <v>27</v>
      </c>
    </row>
    <row r="260" spans="1:2">
      <c r="A260" s="89">
        <v>0</v>
      </c>
      <c r="B260" s="89"/>
    </row>
    <row r="261" spans="1:2">
      <c r="A261">
        <v>1886</v>
      </c>
    </row>
    <row r="262" spans="1:2">
      <c r="A262">
        <v>27</v>
      </c>
    </row>
    <row r="263" spans="1:2">
      <c r="A263" s="89">
        <v>0</v>
      </c>
      <c r="B263" s="89"/>
    </row>
    <row r="264" spans="1:2">
      <c r="A264">
        <v>1887</v>
      </c>
    </row>
    <row r="265" spans="1:2">
      <c r="A265">
        <v>27</v>
      </c>
    </row>
    <row r="266" spans="1:2">
      <c r="A266" s="89">
        <v>0</v>
      </c>
      <c r="B266" s="89"/>
    </row>
    <row r="267" spans="1:2">
      <c r="A267">
        <v>1888</v>
      </c>
    </row>
    <row r="268" spans="1:2">
      <c r="A268">
        <v>27</v>
      </c>
    </row>
    <row r="269" spans="1:2">
      <c r="A269" s="89">
        <v>0</v>
      </c>
      <c r="B269" s="89"/>
    </row>
    <row r="270" spans="1:2">
      <c r="A270">
        <v>1889</v>
      </c>
    </row>
    <row r="271" spans="1:2">
      <c r="A271">
        <v>27</v>
      </c>
    </row>
    <row r="272" spans="1:2">
      <c r="A272" s="89">
        <v>0</v>
      </c>
      <c r="B272" s="89"/>
    </row>
    <row r="273" spans="1:2">
      <c r="A273">
        <v>1890</v>
      </c>
    </row>
    <row r="274" spans="1:2">
      <c r="A274">
        <v>27</v>
      </c>
    </row>
    <row r="275" spans="1:2">
      <c r="A275" s="89">
        <v>0</v>
      </c>
      <c r="B275" s="89"/>
    </row>
    <row r="276" spans="1:2">
      <c r="A276">
        <v>1891</v>
      </c>
    </row>
    <row r="277" spans="1:2">
      <c r="A277">
        <v>27</v>
      </c>
    </row>
    <row r="278" spans="1:2">
      <c r="A278" s="89">
        <v>0</v>
      </c>
      <c r="B278" s="89"/>
    </row>
    <row r="279" spans="1:2">
      <c r="A279">
        <v>1892</v>
      </c>
    </row>
    <row r="280" spans="1:2">
      <c r="A280">
        <v>27</v>
      </c>
    </row>
    <row r="281" spans="1:2">
      <c r="A281" s="89">
        <v>0</v>
      </c>
      <c r="B281" s="89"/>
    </row>
    <row r="282" spans="1:2">
      <c r="A282">
        <v>1893</v>
      </c>
    </row>
    <row r="283" spans="1:2">
      <c r="A283">
        <v>27</v>
      </c>
    </row>
    <row r="284" spans="1:2">
      <c r="A284" s="89">
        <v>0</v>
      </c>
      <c r="B284" s="89"/>
    </row>
    <row r="285" spans="1:2">
      <c r="A285">
        <v>1894</v>
      </c>
    </row>
    <row r="286" spans="1:2">
      <c r="A286">
        <v>26</v>
      </c>
    </row>
    <row r="287" spans="1:2">
      <c r="A287" s="89">
        <v>-3.6999999999999998E-2</v>
      </c>
      <c r="B287" s="89"/>
    </row>
    <row r="288" spans="1:2">
      <c r="A288">
        <v>1895</v>
      </c>
    </row>
    <row r="289" spans="1:2">
      <c r="A289">
        <v>25</v>
      </c>
    </row>
    <row r="290" spans="1:2">
      <c r="A290" s="89">
        <v>-3.7999999999999999E-2</v>
      </c>
      <c r="B290" s="89"/>
    </row>
    <row r="291" spans="1:2">
      <c r="A291">
        <v>1896</v>
      </c>
    </row>
    <row r="292" spans="1:2">
      <c r="A292">
        <v>25</v>
      </c>
    </row>
    <row r="293" spans="1:2">
      <c r="A293" s="89">
        <v>0</v>
      </c>
      <c r="B293" s="89"/>
    </row>
    <row r="294" spans="1:2">
      <c r="A294">
        <v>1897</v>
      </c>
    </row>
    <row r="295" spans="1:2">
      <c r="A295">
        <v>25</v>
      </c>
    </row>
    <row r="296" spans="1:2">
      <c r="A296" s="89">
        <v>0</v>
      </c>
      <c r="B296" s="89"/>
    </row>
    <row r="297" spans="1:2">
      <c r="A297">
        <v>1898</v>
      </c>
    </row>
    <row r="298" spans="1:2">
      <c r="A298">
        <v>25</v>
      </c>
    </row>
    <row r="299" spans="1:2">
      <c r="A299" s="89">
        <v>0</v>
      </c>
      <c r="B299" s="89"/>
    </row>
    <row r="300" spans="1:2">
      <c r="A300">
        <v>1899</v>
      </c>
    </row>
    <row r="301" spans="1:2">
      <c r="A301">
        <v>25</v>
      </c>
    </row>
    <row r="302" spans="1:2">
      <c r="A302" s="89">
        <v>0</v>
      </c>
      <c r="B302" s="89"/>
    </row>
    <row r="303" spans="1:2">
      <c r="A303">
        <v>1900</v>
      </c>
    </row>
    <row r="304" spans="1:2">
      <c r="A304">
        <v>25</v>
      </c>
    </row>
    <row r="305" spans="1:2">
      <c r="A305" s="89">
        <v>0</v>
      </c>
      <c r="B305" s="89"/>
    </row>
    <row r="306" spans="1:2">
      <c r="A306">
        <v>1901</v>
      </c>
    </row>
    <row r="307" spans="1:2">
      <c r="A307">
        <v>25</v>
      </c>
    </row>
    <row r="308" spans="1:2">
      <c r="A308" s="89">
        <v>0</v>
      </c>
      <c r="B308" s="89"/>
    </row>
    <row r="309" spans="1:2">
      <c r="A309">
        <v>1902</v>
      </c>
    </row>
    <row r="310" spans="1:2">
      <c r="A310">
        <v>26</v>
      </c>
    </row>
    <row r="311" spans="1:2">
      <c r="A311" s="89">
        <v>0.04</v>
      </c>
      <c r="B311" s="89"/>
    </row>
    <row r="312" spans="1:2">
      <c r="A312">
        <v>1903</v>
      </c>
    </row>
    <row r="313" spans="1:2">
      <c r="A313">
        <v>27</v>
      </c>
    </row>
    <row r="314" spans="1:2">
      <c r="A314" s="89">
        <v>3.7999999999999999E-2</v>
      </c>
      <c r="B314" s="89"/>
    </row>
    <row r="315" spans="1:2">
      <c r="A315">
        <v>1904</v>
      </c>
    </row>
    <row r="316" spans="1:2">
      <c r="A316">
        <v>27</v>
      </c>
    </row>
    <row r="317" spans="1:2">
      <c r="A317" s="89">
        <v>0</v>
      </c>
      <c r="B317" s="89"/>
    </row>
    <row r="318" spans="1:2">
      <c r="A318">
        <v>1905</v>
      </c>
    </row>
    <row r="319" spans="1:2">
      <c r="A319">
        <v>27</v>
      </c>
    </row>
    <row r="320" spans="1:2">
      <c r="A320" s="89">
        <v>0</v>
      </c>
      <c r="B320" s="89"/>
    </row>
    <row r="321" spans="1:2">
      <c r="A321">
        <v>1906</v>
      </c>
    </row>
    <row r="322" spans="1:2">
      <c r="A322">
        <v>27</v>
      </c>
    </row>
    <row r="323" spans="1:2">
      <c r="A323" s="89">
        <v>0</v>
      </c>
      <c r="B323" s="89"/>
    </row>
    <row r="324" spans="1:2">
      <c r="A324">
        <v>1907</v>
      </c>
    </row>
    <row r="325" spans="1:2">
      <c r="A325">
        <v>28</v>
      </c>
    </row>
    <row r="326" spans="1:2">
      <c r="A326" s="89">
        <v>3.6999999999999998E-2</v>
      </c>
      <c r="B326" s="89"/>
    </row>
    <row r="327" spans="1:2">
      <c r="A327">
        <v>1908</v>
      </c>
    </row>
    <row r="328" spans="1:2">
      <c r="A328">
        <v>27</v>
      </c>
    </row>
    <row r="329" spans="1:2">
      <c r="A329" s="89">
        <v>-3.5999999999999997E-2</v>
      </c>
      <c r="B329" s="89"/>
    </row>
    <row r="330" spans="1:2">
      <c r="A330">
        <v>1909</v>
      </c>
    </row>
    <row r="331" spans="1:2">
      <c r="A331">
        <v>27</v>
      </c>
    </row>
    <row r="332" spans="1:2">
      <c r="A332" s="89">
        <v>0</v>
      </c>
      <c r="B332" s="89"/>
    </row>
    <row r="333" spans="1:2">
      <c r="A333">
        <v>1910</v>
      </c>
    </row>
    <row r="334" spans="1:2">
      <c r="A334">
        <v>28</v>
      </c>
    </row>
    <row r="335" spans="1:2">
      <c r="A335" s="89">
        <v>3.6999999999999998E-2</v>
      </c>
      <c r="B335" s="89"/>
    </row>
    <row r="336" spans="1:2">
      <c r="A336">
        <v>1911</v>
      </c>
    </row>
    <row r="337" spans="1:2">
      <c r="A337">
        <v>28</v>
      </c>
    </row>
    <row r="338" spans="1:2">
      <c r="A338" s="89">
        <v>0</v>
      </c>
      <c r="B338" s="89"/>
    </row>
    <row r="339" spans="1:2">
      <c r="A339">
        <v>1912</v>
      </c>
    </row>
    <row r="340" spans="1:2">
      <c r="A340">
        <v>29</v>
      </c>
    </row>
    <row r="341" spans="1:2">
      <c r="A341" s="89">
        <v>3.5999999999999997E-2</v>
      </c>
      <c r="B341" s="89"/>
    </row>
    <row r="342" spans="1:2">
      <c r="A342">
        <v>1913</v>
      </c>
    </row>
    <row r="343" spans="1:2">
      <c r="A343">
        <v>29.7</v>
      </c>
    </row>
    <row r="344" spans="1:2">
      <c r="A344" s="89">
        <v>2.4E-2</v>
      </c>
      <c r="B344" s="89"/>
    </row>
    <row r="345" spans="1:2">
      <c r="A345">
        <v>1914</v>
      </c>
    </row>
    <row r="346" spans="1:2">
      <c r="A346">
        <v>30.1</v>
      </c>
    </row>
    <row r="347" spans="1:2">
      <c r="A347" s="89">
        <v>1.2999999999999999E-2</v>
      </c>
      <c r="B347" s="89"/>
    </row>
    <row r="348" spans="1:2">
      <c r="A348">
        <v>1915</v>
      </c>
    </row>
    <row r="349" spans="1:2">
      <c r="A349">
        <v>30.4</v>
      </c>
    </row>
    <row r="350" spans="1:2">
      <c r="A350" s="89">
        <v>8.9999999999999993E-3</v>
      </c>
      <c r="B350" s="89"/>
    </row>
    <row r="351" spans="1:2">
      <c r="A351">
        <v>1916</v>
      </c>
    </row>
    <row r="352" spans="1:2">
      <c r="A352">
        <v>32.700000000000003</v>
      </c>
    </row>
    <row r="353" spans="1:2">
      <c r="A353" s="89">
        <v>7.6999999999999999E-2</v>
      </c>
      <c r="B353" s="89"/>
    </row>
    <row r="354" spans="1:2">
      <c r="A354">
        <v>1917</v>
      </c>
    </row>
    <row r="355" spans="1:2">
      <c r="A355">
        <v>38.5</v>
      </c>
    </row>
    <row r="356" spans="1:2">
      <c r="A356" s="89">
        <v>0.17799999999999999</v>
      </c>
      <c r="B356" s="89"/>
    </row>
    <row r="357" spans="1:2">
      <c r="A357">
        <v>1918</v>
      </c>
    </row>
    <row r="358" spans="1:2">
      <c r="A358">
        <v>45.2</v>
      </c>
    </row>
    <row r="359" spans="1:2">
      <c r="A359" s="89">
        <v>0.17299999999999999</v>
      </c>
      <c r="B359" s="89"/>
    </row>
    <row r="360" spans="1:2">
      <c r="A360">
        <v>1919</v>
      </c>
    </row>
    <row r="361" spans="1:2">
      <c r="A361">
        <v>52.1</v>
      </c>
    </row>
    <row r="362" spans="1:2">
      <c r="A362" s="89">
        <v>0.152</v>
      </c>
      <c r="B362" s="89"/>
    </row>
    <row r="363" spans="1:2">
      <c r="A363">
        <v>1920</v>
      </c>
    </row>
    <row r="364" spans="1:2">
      <c r="A364">
        <v>60.2</v>
      </c>
    </row>
    <row r="365" spans="1:2">
      <c r="A365" s="89">
        <v>0.156</v>
      </c>
      <c r="B365" s="89"/>
    </row>
    <row r="366" spans="1:2">
      <c r="A366">
        <v>1921</v>
      </c>
    </row>
    <row r="367" spans="1:2">
      <c r="A367">
        <v>53.6</v>
      </c>
    </row>
    <row r="368" spans="1:2">
      <c r="A368" s="89">
        <v>-0.109</v>
      </c>
      <c r="B368" s="89"/>
    </row>
    <row r="369" spans="1:2">
      <c r="A369">
        <v>1922</v>
      </c>
    </row>
    <row r="370" spans="1:2">
      <c r="A370">
        <v>50.3</v>
      </c>
    </row>
    <row r="371" spans="1:2">
      <c r="A371" s="89">
        <v>-6.2E-2</v>
      </c>
      <c r="B371" s="89"/>
    </row>
    <row r="372" spans="1:2">
      <c r="A372">
        <v>1923</v>
      </c>
    </row>
    <row r="373" spans="1:2">
      <c r="A373">
        <v>51.2</v>
      </c>
    </row>
    <row r="374" spans="1:2">
      <c r="A374" s="89">
        <v>1.7999999999999999E-2</v>
      </c>
      <c r="B374" s="89"/>
    </row>
    <row r="375" spans="1:2">
      <c r="A375">
        <v>1924</v>
      </c>
    </row>
    <row r="376" spans="1:2">
      <c r="A376">
        <v>51.5</v>
      </c>
    </row>
    <row r="377" spans="1:2">
      <c r="A377" s="89">
        <v>4.0000000000000001E-3</v>
      </c>
      <c r="B377" s="89"/>
    </row>
    <row r="378" spans="1:2">
      <c r="A378">
        <v>1925</v>
      </c>
    </row>
    <row r="379" spans="1:2">
      <c r="A379">
        <v>52.7</v>
      </c>
    </row>
    <row r="380" spans="1:2">
      <c r="A380" s="89">
        <v>2.4E-2</v>
      </c>
      <c r="B380" s="89"/>
    </row>
    <row r="381" spans="1:2">
      <c r="A381">
        <v>1926</v>
      </c>
    </row>
    <row r="382" spans="1:2">
      <c r="A382">
        <v>53.2</v>
      </c>
    </row>
    <row r="383" spans="1:2">
      <c r="A383" s="89">
        <v>8.9999999999999993E-3</v>
      </c>
      <c r="B383" s="89"/>
    </row>
    <row r="384" spans="1:2">
      <c r="A384">
        <v>1927</v>
      </c>
    </row>
    <row r="385" spans="1:2">
      <c r="A385">
        <v>52.2</v>
      </c>
    </row>
    <row r="386" spans="1:2">
      <c r="A386" s="89">
        <v>-1.9E-2</v>
      </c>
      <c r="B386" s="89"/>
    </row>
    <row r="387" spans="1:2">
      <c r="A387">
        <v>1928</v>
      </c>
    </row>
    <row r="388" spans="1:2">
      <c r="A388">
        <v>51.6</v>
      </c>
    </row>
    <row r="389" spans="1:2">
      <c r="A389" s="89">
        <v>-1.2E-2</v>
      </c>
      <c r="B389" s="89"/>
    </row>
    <row r="390" spans="1:2">
      <c r="A390">
        <v>1929</v>
      </c>
    </row>
    <row r="391" spans="1:2">
      <c r="A391">
        <v>51.6</v>
      </c>
    </row>
    <row r="392" spans="1:2">
      <c r="A392" s="89">
        <v>0</v>
      </c>
      <c r="B392" s="89"/>
    </row>
    <row r="393" spans="1:2">
      <c r="A393">
        <v>1930</v>
      </c>
    </row>
    <row r="394" spans="1:2">
      <c r="A394">
        <v>50.2</v>
      </c>
    </row>
    <row r="395" spans="1:2">
      <c r="A395" s="89">
        <v>-2.7E-2</v>
      </c>
      <c r="B395" s="89"/>
    </row>
    <row r="396" spans="1:2">
      <c r="A396">
        <v>1931</v>
      </c>
    </row>
    <row r="397" spans="1:2">
      <c r="A397">
        <v>45.7</v>
      </c>
    </row>
    <row r="398" spans="1:2">
      <c r="A398" s="89">
        <v>-8.8999999999999996E-2</v>
      </c>
      <c r="B398" s="89"/>
    </row>
    <row r="399" spans="1:2">
      <c r="A399">
        <v>1932</v>
      </c>
    </row>
    <row r="400" spans="1:2">
      <c r="A400">
        <v>41</v>
      </c>
    </row>
    <row r="401" spans="1:2">
      <c r="A401" s="89">
        <v>-0.10299999999999999</v>
      </c>
      <c r="B401" s="89"/>
    </row>
    <row r="402" spans="1:2">
      <c r="A402">
        <v>1933</v>
      </c>
    </row>
    <row r="403" spans="1:2">
      <c r="A403">
        <v>38.9</v>
      </c>
    </row>
    <row r="404" spans="1:2">
      <c r="A404" s="89">
        <v>-5.1999999999999998E-2</v>
      </c>
      <c r="B404" s="89"/>
    </row>
    <row r="405" spans="1:2">
      <c r="A405">
        <v>1934</v>
      </c>
    </row>
    <row r="406" spans="1:2">
      <c r="A406">
        <v>40.200000000000003</v>
      </c>
    </row>
    <row r="407" spans="1:2">
      <c r="A407" s="89">
        <v>3.5000000000000003E-2</v>
      </c>
      <c r="B407" s="89"/>
    </row>
    <row r="408" spans="1:2">
      <c r="A408">
        <v>1935</v>
      </c>
    </row>
    <row r="409" spans="1:2">
      <c r="A409">
        <v>41.2</v>
      </c>
    </row>
    <row r="410" spans="1:2">
      <c r="A410" s="89">
        <v>2.5999999999999999E-2</v>
      </c>
      <c r="B410" s="89"/>
    </row>
    <row r="411" spans="1:2">
      <c r="A411">
        <v>1936</v>
      </c>
    </row>
    <row r="412" spans="1:2">
      <c r="A412">
        <v>41.7</v>
      </c>
    </row>
    <row r="413" spans="1:2">
      <c r="A413" s="89">
        <v>0.01</v>
      </c>
      <c r="B413" s="89"/>
    </row>
    <row r="414" spans="1:2">
      <c r="A414">
        <v>1937</v>
      </c>
    </row>
    <row r="415" spans="1:2">
      <c r="A415">
        <v>43.2</v>
      </c>
    </row>
    <row r="416" spans="1:2">
      <c r="A416" s="89">
        <v>3.6999999999999998E-2</v>
      </c>
      <c r="B416" s="89"/>
    </row>
    <row r="417" spans="1:2">
      <c r="A417">
        <v>1938</v>
      </c>
    </row>
    <row r="418" spans="1:2">
      <c r="A418">
        <v>42.3</v>
      </c>
    </row>
    <row r="419" spans="1:2">
      <c r="A419" s="89">
        <v>-0.02</v>
      </c>
      <c r="B419" s="89"/>
    </row>
    <row r="420" spans="1:2">
      <c r="A420">
        <v>1939</v>
      </c>
    </row>
    <row r="421" spans="1:2">
      <c r="A421">
        <v>41.8</v>
      </c>
    </row>
    <row r="422" spans="1:2">
      <c r="A422" s="89">
        <v>-1.2999999999999999E-2</v>
      </c>
      <c r="B422" s="89"/>
    </row>
    <row r="423" spans="1:2">
      <c r="A423">
        <v>1940</v>
      </c>
    </row>
    <row r="424" spans="1:2">
      <c r="A424">
        <v>42.1</v>
      </c>
    </row>
    <row r="425" spans="1:2">
      <c r="A425" s="89">
        <v>7.0000000000000001E-3</v>
      </c>
      <c r="B425" s="89"/>
    </row>
    <row r="426" spans="1:2">
      <c r="A426">
        <v>1941</v>
      </c>
    </row>
    <row r="427" spans="1:2">
      <c r="A427">
        <v>44.2</v>
      </c>
    </row>
    <row r="428" spans="1:2">
      <c r="A428" s="89">
        <v>5.0999999999999997E-2</v>
      </c>
      <c r="B428" s="89"/>
    </row>
    <row r="429" spans="1:2">
      <c r="A429">
        <v>1942</v>
      </c>
    </row>
    <row r="430" spans="1:2">
      <c r="A430">
        <v>49.1</v>
      </c>
    </row>
    <row r="431" spans="1:2">
      <c r="A431" s="89">
        <v>0.109</v>
      </c>
      <c r="B431" s="89"/>
    </row>
    <row r="432" spans="1:2">
      <c r="A432">
        <v>1943</v>
      </c>
    </row>
    <row r="433" spans="1:2">
      <c r="A433">
        <v>52</v>
      </c>
    </row>
    <row r="434" spans="1:2">
      <c r="A434" s="89">
        <v>0.06</v>
      </c>
      <c r="B434" s="89"/>
    </row>
    <row r="435" spans="1:2">
      <c r="A435">
        <v>1944</v>
      </c>
    </row>
    <row r="436" spans="1:2">
      <c r="A436">
        <v>52.9</v>
      </c>
    </row>
    <row r="437" spans="1:2">
      <c r="A437" s="89">
        <v>1.6E-2</v>
      </c>
      <c r="B437" s="89"/>
    </row>
    <row r="438" spans="1:2">
      <c r="A438">
        <v>1945</v>
      </c>
    </row>
    <row r="439" spans="1:2">
      <c r="A439">
        <v>54.1</v>
      </c>
    </row>
    <row r="440" spans="1:2">
      <c r="A440" s="89">
        <v>2.3E-2</v>
      </c>
      <c r="B440" s="89"/>
    </row>
    <row r="441" spans="1:2">
      <c r="A441">
        <v>1946</v>
      </c>
    </row>
    <row r="442" spans="1:2">
      <c r="A442">
        <v>58.6</v>
      </c>
    </row>
    <row r="443" spans="1:2">
      <c r="A443" s="89">
        <v>8.5000000000000006E-2</v>
      </c>
      <c r="B443" s="89"/>
    </row>
    <row r="444" spans="1:2">
      <c r="A444">
        <v>1947</v>
      </c>
    </row>
    <row r="445" spans="1:2">
      <c r="A445">
        <v>67.099999999999994</v>
      </c>
    </row>
    <row r="446" spans="1:2">
      <c r="A446" s="89">
        <v>0.14399999999999999</v>
      </c>
      <c r="B446" s="89"/>
    </row>
    <row r="447" spans="1:2">
      <c r="A447">
        <v>1948</v>
      </c>
    </row>
    <row r="448" spans="1:2">
      <c r="A448">
        <v>72.2</v>
      </c>
    </row>
    <row r="449" spans="1:2">
      <c r="A449" s="89">
        <v>7.6999999999999999E-2</v>
      </c>
      <c r="B449" s="89"/>
    </row>
    <row r="450" spans="1:2">
      <c r="A450">
        <v>1949</v>
      </c>
    </row>
    <row r="451" spans="1:2">
      <c r="A451">
        <v>71.5</v>
      </c>
    </row>
    <row r="452" spans="1:2">
      <c r="A452" s="89">
        <v>-0.01</v>
      </c>
      <c r="B452" s="89"/>
    </row>
    <row r="453" spans="1:2">
      <c r="A453">
        <v>1950</v>
      </c>
    </row>
    <row r="454" spans="1:2">
      <c r="A454">
        <v>72.3</v>
      </c>
    </row>
    <row r="455" spans="1:2">
      <c r="A455" s="89">
        <v>1.0999999999999999E-2</v>
      </c>
      <c r="B455" s="89"/>
    </row>
    <row r="456" spans="1:2">
      <c r="A456">
        <v>1951</v>
      </c>
    </row>
    <row r="457" spans="1:2">
      <c r="A457">
        <v>78</v>
      </c>
    </row>
    <row r="458" spans="1:2">
      <c r="A458" s="89">
        <v>7.9000000000000001E-2</v>
      </c>
      <c r="B458" s="89"/>
    </row>
    <row r="459" spans="1:2">
      <c r="A459">
        <v>1952</v>
      </c>
    </row>
    <row r="460" spans="1:2">
      <c r="A460">
        <v>79.8</v>
      </c>
    </row>
    <row r="461" spans="1:2">
      <c r="A461" s="89">
        <v>2.3E-2</v>
      </c>
      <c r="B461" s="89"/>
    </row>
    <row r="462" spans="1:2">
      <c r="A462">
        <v>1953</v>
      </c>
    </row>
    <row r="463" spans="1:2">
      <c r="A463">
        <v>80.400000000000006</v>
      </c>
    </row>
    <row r="464" spans="1:2">
      <c r="A464" s="89">
        <v>8.0000000000000002E-3</v>
      </c>
      <c r="B464" s="89"/>
    </row>
    <row r="465" spans="1:2">
      <c r="A465">
        <v>1954</v>
      </c>
    </row>
    <row r="466" spans="1:2">
      <c r="A466">
        <v>80.7</v>
      </c>
    </row>
    <row r="467" spans="1:2">
      <c r="A467" s="89">
        <v>3.0000000000000001E-3</v>
      </c>
      <c r="B467" s="89"/>
    </row>
    <row r="468" spans="1:2">
      <c r="A468">
        <v>1955</v>
      </c>
    </row>
    <row r="469" spans="1:2">
      <c r="A469">
        <v>80.5</v>
      </c>
    </row>
    <row r="470" spans="1:2">
      <c r="A470" s="89">
        <v>-3.0000000000000001E-3</v>
      </c>
      <c r="B470" s="89"/>
    </row>
    <row r="471" spans="1:2">
      <c r="A471">
        <v>1956</v>
      </c>
    </row>
    <row r="472" spans="1:2">
      <c r="A472">
        <v>81.7</v>
      </c>
    </row>
    <row r="473" spans="1:2">
      <c r="A473" s="89">
        <v>1.4999999999999999E-2</v>
      </c>
      <c r="B473" s="89"/>
    </row>
    <row r="474" spans="1:2">
      <c r="A474">
        <v>1957</v>
      </c>
    </row>
    <row r="475" spans="1:2">
      <c r="A475">
        <v>84.4</v>
      </c>
    </row>
    <row r="476" spans="1:2">
      <c r="A476" s="89">
        <v>3.3000000000000002E-2</v>
      </c>
      <c r="B476" s="89"/>
    </row>
    <row r="477" spans="1:2">
      <c r="A477">
        <v>1958</v>
      </c>
    </row>
    <row r="478" spans="1:2">
      <c r="A478">
        <v>86.7</v>
      </c>
    </row>
    <row r="479" spans="1:2">
      <c r="A479" s="89">
        <v>2.7E-2</v>
      </c>
      <c r="B479" s="89"/>
    </row>
    <row r="480" spans="1:2">
      <c r="A480">
        <v>1959</v>
      </c>
    </row>
    <row r="481" spans="1:2">
      <c r="A481">
        <v>87.6</v>
      </c>
    </row>
    <row r="482" spans="1:2">
      <c r="A482" s="89">
        <v>0.01</v>
      </c>
      <c r="B482" s="89"/>
    </row>
    <row r="483" spans="1:2">
      <c r="A483">
        <v>1960</v>
      </c>
    </row>
    <row r="484" spans="1:2">
      <c r="A484">
        <v>88.9</v>
      </c>
    </row>
    <row r="485" spans="1:2">
      <c r="A485" s="89">
        <v>1.4999999999999999E-2</v>
      </c>
      <c r="B485" s="89"/>
    </row>
    <row r="486" spans="1:2">
      <c r="A486">
        <v>1961</v>
      </c>
    </row>
    <row r="487" spans="1:2">
      <c r="A487">
        <v>89.8</v>
      </c>
    </row>
    <row r="488" spans="1:2">
      <c r="A488" s="89">
        <v>1.0999999999999999E-2</v>
      </c>
      <c r="B488" s="89"/>
    </row>
    <row r="489" spans="1:2">
      <c r="A489">
        <v>1962</v>
      </c>
    </row>
    <row r="490" spans="1:2">
      <c r="A490">
        <v>90.9</v>
      </c>
    </row>
    <row r="491" spans="1:2">
      <c r="A491" s="89">
        <v>1.2E-2</v>
      </c>
      <c r="B491" s="89"/>
    </row>
    <row r="492" spans="1:2">
      <c r="A492">
        <v>1963</v>
      </c>
    </row>
    <row r="493" spans="1:2">
      <c r="A493">
        <v>92</v>
      </c>
    </row>
    <row r="494" spans="1:2">
      <c r="A494" s="89">
        <v>1.2E-2</v>
      </c>
      <c r="B494" s="89"/>
    </row>
    <row r="495" spans="1:2">
      <c r="A495">
        <v>1964</v>
      </c>
    </row>
    <row r="496" spans="1:2">
      <c r="A496">
        <v>93.2</v>
      </c>
    </row>
    <row r="497" spans="1:2">
      <c r="A497" s="89">
        <v>1.2999999999999999E-2</v>
      </c>
      <c r="B497" s="89"/>
    </row>
    <row r="498" spans="1:2">
      <c r="A498">
        <v>1965</v>
      </c>
    </row>
    <row r="499" spans="1:2">
      <c r="A499">
        <v>94.7</v>
      </c>
    </row>
    <row r="500" spans="1:2">
      <c r="A500" s="89">
        <v>1.6E-2</v>
      </c>
      <c r="B500" s="89"/>
    </row>
    <row r="501" spans="1:2">
      <c r="A501">
        <v>1966</v>
      </c>
    </row>
    <row r="502" spans="1:2">
      <c r="A502">
        <v>97.5</v>
      </c>
    </row>
    <row r="503" spans="1:2">
      <c r="A503" s="89">
        <v>0.03</v>
      </c>
      <c r="B503" s="89"/>
    </row>
    <row r="504" spans="1:2">
      <c r="A504">
        <v>1967</v>
      </c>
    </row>
    <row r="505" spans="1:2">
      <c r="A505">
        <v>100.2</v>
      </c>
    </row>
    <row r="506" spans="1:2">
      <c r="A506" s="89">
        <v>2.8000000000000001E-2</v>
      </c>
      <c r="B506" s="89"/>
    </row>
    <row r="507" spans="1:2">
      <c r="A507">
        <v>1968</v>
      </c>
    </row>
    <row r="508" spans="1:2">
      <c r="A508">
        <v>104.5</v>
      </c>
    </row>
    <row r="509" spans="1:2">
      <c r="A509" s="89">
        <v>4.2999999999999997E-2</v>
      </c>
      <c r="B509" s="89"/>
    </row>
    <row r="510" spans="1:2">
      <c r="A510">
        <v>1969</v>
      </c>
    </row>
    <row r="511" spans="1:2">
      <c r="A511">
        <v>110.2</v>
      </c>
    </row>
    <row r="512" spans="1:2">
      <c r="A512" s="89">
        <v>5.5E-2</v>
      </c>
      <c r="B512" s="89"/>
    </row>
    <row r="513" spans="1:2">
      <c r="A513">
        <v>1970</v>
      </c>
    </row>
    <row r="514" spans="1:2">
      <c r="A514">
        <v>116.7</v>
      </c>
    </row>
    <row r="515" spans="1:2">
      <c r="A515" s="89">
        <v>5.8000000000000003E-2</v>
      </c>
      <c r="B515" s="89"/>
    </row>
    <row r="516" spans="1:2">
      <c r="A516">
        <v>1971</v>
      </c>
    </row>
    <row r="517" spans="1:2">
      <c r="A517">
        <v>121.7</v>
      </c>
    </row>
    <row r="518" spans="1:2">
      <c r="A518" s="89">
        <v>4.2999999999999997E-2</v>
      </c>
      <c r="B518" s="89"/>
    </row>
    <row r="519" spans="1:2">
      <c r="A519">
        <v>1972</v>
      </c>
    </row>
    <row r="520" spans="1:2">
      <c r="A520">
        <v>125.7</v>
      </c>
    </row>
    <row r="521" spans="1:2">
      <c r="A521" s="89">
        <v>3.3000000000000002E-2</v>
      </c>
      <c r="B521" s="89"/>
    </row>
    <row r="522" spans="1:2">
      <c r="A522">
        <v>1973</v>
      </c>
    </row>
    <row r="523" spans="1:2">
      <c r="A523">
        <v>133.4</v>
      </c>
    </row>
    <row r="524" spans="1:2">
      <c r="A524" s="89">
        <v>6.2E-2</v>
      </c>
      <c r="B524" s="89"/>
    </row>
    <row r="525" spans="1:2">
      <c r="A525">
        <v>1974</v>
      </c>
    </row>
    <row r="526" spans="1:2">
      <c r="A526">
        <v>148.19999999999999</v>
      </c>
    </row>
    <row r="527" spans="1:2">
      <c r="A527" s="89">
        <v>0.111</v>
      </c>
      <c r="B527" s="89"/>
    </row>
    <row r="528" spans="1:2">
      <c r="A528">
        <v>1975</v>
      </c>
    </row>
    <row r="529" spans="1:2">
      <c r="A529">
        <v>161.69999999999999</v>
      </c>
    </row>
    <row r="530" spans="1:2">
      <c r="A530" s="89">
        <v>9.0999999999999998E-2</v>
      </c>
      <c r="B530" s="89"/>
    </row>
    <row r="531" spans="1:2">
      <c r="A531">
        <v>1976</v>
      </c>
    </row>
    <row r="532" spans="1:2">
      <c r="A532">
        <v>171</v>
      </c>
    </row>
    <row r="533" spans="1:2">
      <c r="A533" s="89">
        <v>5.7000000000000002E-2</v>
      </c>
      <c r="B533" s="89"/>
    </row>
    <row r="534" spans="1:2">
      <c r="A534">
        <v>1977</v>
      </c>
    </row>
    <row r="535" spans="1:2">
      <c r="A535">
        <v>182.1</v>
      </c>
    </row>
    <row r="536" spans="1:2">
      <c r="A536" s="89">
        <v>6.5000000000000002E-2</v>
      </c>
      <c r="B536" s="89"/>
    </row>
    <row r="537" spans="1:2">
      <c r="A537">
        <v>1978</v>
      </c>
    </row>
    <row r="538" spans="1:2">
      <c r="A538">
        <v>196</v>
      </c>
    </row>
    <row r="539" spans="1:2">
      <c r="A539" s="89">
        <v>7.5999999999999998E-2</v>
      </c>
      <c r="B539" s="89"/>
    </row>
    <row r="540" spans="1:2">
      <c r="A540">
        <v>1979</v>
      </c>
    </row>
    <row r="541" spans="1:2">
      <c r="A541">
        <v>218.1</v>
      </c>
    </row>
    <row r="542" spans="1:2">
      <c r="A542" s="89">
        <v>0.113</v>
      </c>
      <c r="B542" s="89"/>
    </row>
    <row r="543" spans="1:2">
      <c r="A543">
        <v>1980</v>
      </c>
    </row>
    <row r="544" spans="1:2">
      <c r="A544">
        <v>247.6</v>
      </c>
    </row>
    <row r="545" spans="1:2">
      <c r="A545" s="89">
        <v>0.13500000000000001</v>
      </c>
      <c r="B545" s="89"/>
    </row>
    <row r="546" spans="1:2">
      <c r="A546">
        <v>1981</v>
      </c>
    </row>
    <row r="547" spans="1:2">
      <c r="A547">
        <v>273.2</v>
      </c>
    </row>
    <row r="548" spans="1:2">
      <c r="A548" s="89">
        <v>0.10299999999999999</v>
      </c>
      <c r="B548" s="89"/>
    </row>
    <row r="549" spans="1:2">
      <c r="A549">
        <v>1982</v>
      </c>
    </row>
    <row r="550" spans="1:2">
      <c r="A550">
        <v>290</v>
      </c>
    </row>
    <row r="551" spans="1:2">
      <c r="A551" s="89">
        <v>6.0999999999999999E-2</v>
      </c>
      <c r="B551" s="89"/>
    </row>
    <row r="552" spans="1:2">
      <c r="A552">
        <v>1983</v>
      </c>
    </row>
    <row r="553" spans="1:2">
      <c r="A553">
        <v>299.3</v>
      </c>
    </row>
    <row r="554" spans="1:2">
      <c r="A554" s="89">
        <v>3.2000000000000001E-2</v>
      </c>
      <c r="B554" s="89"/>
    </row>
    <row r="555" spans="1:2">
      <c r="A555">
        <v>1984</v>
      </c>
    </row>
    <row r="556" spans="1:2">
      <c r="A556">
        <v>312.2</v>
      </c>
    </row>
    <row r="557" spans="1:2">
      <c r="A557" s="89">
        <v>4.2999999999999997E-2</v>
      </c>
      <c r="B557" s="89"/>
    </row>
    <row r="558" spans="1:2">
      <c r="A558">
        <v>1985</v>
      </c>
    </row>
    <row r="559" spans="1:2">
      <c r="A559">
        <v>323.2</v>
      </c>
    </row>
    <row r="560" spans="1:2">
      <c r="A560" s="89">
        <v>3.5000000000000003E-2</v>
      </c>
      <c r="B560" s="89"/>
    </row>
    <row r="561" spans="1:2">
      <c r="A561">
        <v>1986</v>
      </c>
    </row>
    <row r="562" spans="1:2">
      <c r="A562">
        <v>329.4</v>
      </c>
    </row>
    <row r="563" spans="1:2">
      <c r="A563" s="89">
        <v>1.9E-2</v>
      </c>
      <c r="B563" s="89"/>
    </row>
    <row r="564" spans="1:2">
      <c r="A564">
        <v>1987</v>
      </c>
    </row>
    <row r="565" spans="1:2">
      <c r="A565">
        <v>341.4</v>
      </c>
    </row>
    <row r="566" spans="1:2">
      <c r="A566" s="89">
        <v>3.6999999999999998E-2</v>
      </c>
      <c r="B566" s="89"/>
    </row>
    <row r="567" spans="1:2">
      <c r="A567">
        <v>1988</v>
      </c>
    </row>
    <row r="568" spans="1:2">
      <c r="A568">
        <v>355.4</v>
      </c>
    </row>
    <row r="569" spans="1:2">
      <c r="A569" s="89">
        <v>4.1000000000000002E-2</v>
      </c>
      <c r="B569" s="89"/>
    </row>
    <row r="570" spans="1:2">
      <c r="A570">
        <v>1989</v>
      </c>
    </row>
    <row r="571" spans="1:2">
      <c r="A571">
        <v>372.5</v>
      </c>
    </row>
    <row r="572" spans="1:2">
      <c r="A572" s="89">
        <v>4.8000000000000001E-2</v>
      </c>
      <c r="B572" s="89"/>
    </row>
    <row r="573" spans="1:2">
      <c r="A573">
        <v>1990</v>
      </c>
    </row>
    <row r="574" spans="1:2">
      <c r="A574">
        <v>392.6</v>
      </c>
    </row>
    <row r="575" spans="1:2">
      <c r="A575" s="89">
        <v>5.3999999999999999E-2</v>
      </c>
      <c r="B575" s="89"/>
    </row>
    <row r="576" spans="1:2">
      <c r="A576">
        <v>1991</v>
      </c>
    </row>
    <row r="577" spans="1:2">
      <c r="A577">
        <v>409.3</v>
      </c>
    </row>
    <row r="578" spans="1:2">
      <c r="A578" s="89">
        <v>4.2000000000000003E-2</v>
      </c>
      <c r="B578" s="89"/>
    </row>
    <row r="579" spans="1:2">
      <c r="A579">
        <v>1992</v>
      </c>
    </row>
    <row r="580" spans="1:2">
      <c r="A580">
        <v>421.7</v>
      </c>
    </row>
    <row r="581" spans="1:2">
      <c r="A581" s="89">
        <v>0.03</v>
      </c>
      <c r="B581" s="89"/>
    </row>
    <row r="582" spans="1:2">
      <c r="A582">
        <v>1993</v>
      </c>
    </row>
    <row r="583" spans="1:2">
      <c r="A583">
        <v>434.1</v>
      </c>
    </row>
    <row r="584" spans="1:2">
      <c r="A584" s="89">
        <v>0.03</v>
      </c>
      <c r="B584" s="89"/>
    </row>
    <row r="585" spans="1:2">
      <c r="A585">
        <v>1994</v>
      </c>
    </row>
    <row r="586" spans="1:2">
      <c r="A586">
        <v>445.4</v>
      </c>
    </row>
    <row r="587" spans="1:2">
      <c r="A587" s="89">
        <v>2.5999999999999999E-2</v>
      </c>
      <c r="B587" s="89"/>
    </row>
    <row r="588" spans="1:2">
      <c r="A588">
        <v>1995</v>
      </c>
    </row>
    <row r="589" spans="1:2">
      <c r="A589">
        <v>457.9</v>
      </c>
    </row>
    <row r="590" spans="1:2">
      <c r="A590" s="89">
        <v>2.8000000000000001E-2</v>
      </c>
      <c r="B590" s="89"/>
    </row>
    <row r="591" spans="1:2">
      <c r="A591">
        <v>1996</v>
      </c>
    </row>
    <row r="592" spans="1:2">
      <c r="A592">
        <v>471.3</v>
      </c>
    </row>
    <row r="593" spans="1:2">
      <c r="A593" s="89">
        <v>2.9000000000000001E-2</v>
      </c>
      <c r="B593" s="89"/>
    </row>
    <row r="594" spans="1:2">
      <c r="A594">
        <v>1997</v>
      </c>
    </row>
    <row r="595" spans="1:2">
      <c r="A595">
        <v>482.4</v>
      </c>
    </row>
    <row r="596" spans="1:2">
      <c r="A596" s="89">
        <v>2.3E-2</v>
      </c>
      <c r="B596" s="89"/>
    </row>
    <row r="597" spans="1:2">
      <c r="A597">
        <v>1998</v>
      </c>
    </row>
    <row r="598" spans="1:2">
      <c r="A598">
        <v>489.8</v>
      </c>
    </row>
    <row r="599" spans="1:2">
      <c r="A599" s="89">
        <v>1.6E-2</v>
      </c>
      <c r="B599" s="89"/>
    </row>
    <row r="600" spans="1:2">
      <c r="A600">
        <v>1999</v>
      </c>
    </row>
    <row r="601" spans="1:2">
      <c r="A601">
        <v>500.6</v>
      </c>
    </row>
    <row r="602" spans="1:2">
      <c r="A602" s="89">
        <v>2.1999999999999999E-2</v>
      </c>
      <c r="B602" s="89"/>
    </row>
    <row r="603" spans="1:2">
      <c r="A603">
        <v>2000</v>
      </c>
    </row>
    <row r="604" spans="1:2">
      <c r="A604">
        <v>517.5</v>
      </c>
    </row>
    <row r="605" spans="1:2">
      <c r="A605" s="89">
        <v>3.4000000000000002E-2</v>
      </c>
      <c r="B605" s="89"/>
    </row>
    <row r="606" spans="1:2">
      <c r="A606">
        <v>2001</v>
      </c>
    </row>
    <row r="607" spans="1:2">
      <c r="A607">
        <v>532.1</v>
      </c>
    </row>
    <row r="608" spans="1:2">
      <c r="A608" s="89">
        <v>2.8000000000000001E-2</v>
      </c>
      <c r="B608" s="89"/>
    </row>
    <row r="609" spans="1:2">
      <c r="A609">
        <v>2002</v>
      </c>
    </row>
    <row r="610" spans="1:2">
      <c r="A610">
        <v>540.5</v>
      </c>
    </row>
    <row r="611" spans="1:2">
      <c r="A611" s="89">
        <v>1.6E-2</v>
      </c>
      <c r="B611" s="89"/>
    </row>
    <row r="612" spans="1:2">
      <c r="A612">
        <v>2003</v>
      </c>
    </row>
    <row r="613" spans="1:2">
      <c r="A613">
        <v>552.79999999999995</v>
      </c>
    </row>
    <row r="614" spans="1:2">
      <c r="A614" s="89">
        <v>2.3E-2</v>
      </c>
      <c r="B614" s="89"/>
    </row>
    <row r="615" spans="1:2">
      <c r="A615">
        <v>2004</v>
      </c>
    </row>
    <row r="616" spans="1:2">
      <c r="A616">
        <v>567.6</v>
      </c>
    </row>
    <row r="617" spans="1:2">
      <c r="A617" s="89">
        <v>2.7E-2</v>
      </c>
      <c r="B617" s="89"/>
    </row>
    <row r="618" spans="1:2">
      <c r="A618">
        <v>2005</v>
      </c>
    </row>
    <row r="619" spans="1:2">
      <c r="A619">
        <v>586.9</v>
      </c>
    </row>
    <row r="620" spans="1:2">
      <c r="A620" s="89">
        <v>3.4000000000000002E-2</v>
      </c>
      <c r="B620" s="89"/>
    </row>
    <row r="621" spans="1:2">
      <c r="A621">
        <v>2006</v>
      </c>
    </row>
    <row r="622" spans="1:2">
      <c r="A622">
        <v>605.79999999999995</v>
      </c>
    </row>
    <row r="623" spans="1:2">
      <c r="A623" s="89">
        <v>3.2000000000000001E-2</v>
      </c>
      <c r="B623" s="89"/>
    </row>
    <row r="624" spans="1:2">
      <c r="A624">
        <v>2007</v>
      </c>
    </row>
    <row r="625" spans="1:2">
      <c r="A625">
        <v>623.1</v>
      </c>
    </row>
    <row r="626" spans="1:2">
      <c r="A626" s="89">
        <v>2.9000000000000001E-2</v>
      </c>
      <c r="B626" s="89"/>
    </row>
    <row r="627" spans="1:2">
      <c r="A627">
        <v>2008</v>
      </c>
    </row>
    <row r="628" spans="1:2">
      <c r="A628">
        <v>647</v>
      </c>
    </row>
    <row r="629" spans="1:2">
      <c r="A629" s="89">
        <v>3.7999999999999999E-2</v>
      </c>
      <c r="B629" s="89"/>
    </row>
    <row r="630" spans="1:2">
      <c r="A630">
        <v>2009</v>
      </c>
    </row>
    <row r="631" spans="1:2">
      <c r="A631">
        <v>644.70000000000005</v>
      </c>
    </row>
    <row r="632" spans="1:2">
      <c r="A632" s="89">
        <v>-4.0000000000000001E-3</v>
      </c>
      <c r="B632" s="89"/>
    </row>
    <row r="633" spans="1:2">
      <c r="A633">
        <v>2010</v>
      </c>
    </row>
    <row r="634" spans="1:2">
      <c r="A634">
        <v>655.29999999999995</v>
      </c>
    </row>
    <row r="635" spans="1:2">
      <c r="A635" s="89">
        <v>1.6E-2</v>
      </c>
      <c r="B635" s="89"/>
    </row>
    <row r="636" spans="1:2">
      <c r="A636">
        <v>2011</v>
      </c>
    </row>
    <row r="637" spans="1:2">
      <c r="A637">
        <v>676</v>
      </c>
    </row>
    <row r="638" spans="1:2">
      <c r="A638" s="89">
        <v>3.2000000000000001E-2</v>
      </c>
      <c r="B638" s="89"/>
    </row>
    <row r="639" spans="1:2">
      <c r="A639">
        <v>2012</v>
      </c>
    </row>
    <row r="640" spans="1:2">
      <c r="A640">
        <v>689.9</v>
      </c>
    </row>
    <row r="641" spans="1:2">
      <c r="A641" s="89">
        <v>2.1000000000000001E-2</v>
      </c>
      <c r="B641" s="89"/>
    </row>
    <row r="642" spans="1:2">
      <c r="A642" t="s">
        <v>255</v>
      </c>
    </row>
    <row r="643" spans="1:2">
      <c r="A643">
        <v>703</v>
      </c>
    </row>
    <row r="644" spans="1:2">
      <c r="A644" s="89">
        <v>1.9E-2</v>
      </c>
      <c r="B644" s="89"/>
    </row>
    <row r="645" spans="1:2">
      <c r="A645" t="s">
        <v>256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89"/>
  <sheetViews>
    <sheetView tabSelected="1" workbookViewId="0">
      <selection activeCell="E7" sqref="E7"/>
    </sheetView>
  </sheetViews>
  <sheetFormatPr baseColWidth="10" defaultColWidth="8.83203125" defaultRowHeight="15" x14ac:dyDescent="0"/>
  <cols>
    <col min="1" max="2" width="20.6640625" customWidth="1"/>
  </cols>
  <sheetData>
    <row r="1" spans="1:2">
      <c r="A1" s="6" t="s">
        <v>21</v>
      </c>
      <c r="B1" s="6" t="s">
        <v>259</v>
      </c>
    </row>
    <row r="2" spans="1:2">
      <c r="A2" s="6" t="s">
        <v>23</v>
      </c>
      <c r="B2" s="6" t="s">
        <v>260</v>
      </c>
    </row>
    <row r="3" spans="1:2">
      <c r="A3" s="6" t="s">
        <v>25</v>
      </c>
      <c r="B3" s="6" t="s">
        <v>140</v>
      </c>
    </row>
    <row r="4" spans="1:2">
      <c r="A4" s="6" t="s">
        <v>27</v>
      </c>
      <c r="B4" s="6" t="s">
        <v>141</v>
      </c>
    </row>
    <row r="5" spans="1:2">
      <c r="A5" s="6" t="s">
        <v>29</v>
      </c>
      <c r="B5" s="6" t="s">
        <v>30</v>
      </c>
    </row>
    <row r="6" spans="1:2">
      <c r="A6" s="6" t="s">
        <v>31</v>
      </c>
      <c r="B6" s="6" t="s">
        <v>32</v>
      </c>
    </row>
    <row r="7" spans="1:2">
      <c r="A7" s="6" t="s">
        <v>33</v>
      </c>
      <c r="B7" s="6" t="s">
        <v>261</v>
      </c>
    </row>
    <row r="8" spans="1:2">
      <c r="A8" s="6" t="s">
        <v>35</v>
      </c>
      <c r="B8" s="6" t="s">
        <v>262</v>
      </c>
    </row>
    <row r="9" spans="1:2">
      <c r="A9" s="6" t="s">
        <v>37</v>
      </c>
      <c r="B9" s="6" t="s">
        <v>263</v>
      </c>
    </row>
    <row r="10" spans="1:2">
      <c r="A10" s="6" t="s">
        <v>39</v>
      </c>
      <c r="B10" s="6" t="s">
        <v>264</v>
      </c>
    </row>
    <row r="11" spans="1:2">
      <c r="B11" s="6" t="s">
        <v>265</v>
      </c>
    </row>
    <row r="12" spans="1:2">
      <c r="B12" s="6" t="s">
        <v>266</v>
      </c>
    </row>
    <row r="13" spans="1:2">
      <c r="B13" s="6" t="s">
        <v>267</v>
      </c>
    </row>
    <row r="14" spans="1:2">
      <c r="B14" s="6" t="s">
        <v>268</v>
      </c>
    </row>
    <row r="15" spans="1:2">
      <c r="B15" s="6" t="s">
        <v>269</v>
      </c>
    </row>
    <row r="16" spans="1:2">
      <c r="B16" s="6" t="s">
        <v>270</v>
      </c>
    </row>
    <row r="17" spans="1:2">
      <c r="B17" s="6" t="s">
        <v>271</v>
      </c>
    </row>
    <row r="18" spans="1:2">
      <c r="B18" s="6" t="s">
        <v>272</v>
      </c>
    </row>
    <row r="19" spans="1:2">
      <c r="B19" s="6" t="s">
        <v>273</v>
      </c>
    </row>
    <row r="20" spans="1:2">
      <c r="B20" s="6" t="s">
        <v>274</v>
      </c>
    </row>
    <row r="21" spans="1:2">
      <c r="B21" s="6" t="s">
        <v>275</v>
      </c>
    </row>
    <row r="22" spans="1:2">
      <c r="B22" s="6" t="s">
        <v>276</v>
      </c>
    </row>
    <row r="23" spans="1:2">
      <c r="B23" s="6" t="s">
        <v>277</v>
      </c>
    </row>
    <row r="24" spans="1:2">
      <c r="B24" s="6" t="s">
        <v>40</v>
      </c>
    </row>
    <row r="25" spans="1:2">
      <c r="B25" s="6" t="s">
        <v>278</v>
      </c>
    </row>
    <row r="26" spans="1:2">
      <c r="B26" s="6" t="s">
        <v>154</v>
      </c>
    </row>
    <row r="27" spans="1:2">
      <c r="B27" s="6" t="s">
        <v>40</v>
      </c>
    </row>
    <row r="28" spans="1:2">
      <c r="B28" s="6" t="s">
        <v>279</v>
      </c>
    </row>
    <row r="30" spans="1:2">
      <c r="A30" s="6" t="s">
        <v>41</v>
      </c>
      <c r="B30" s="6" t="s">
        <v>42</v>
      </c>
    </row>
    <row r="31" spans="1:2">
      <c r="A31" s="52" t="s">
        <v>280</v>
      </c>
      <c r="B31" s="92">
        <v>72</v>
      </c>
    </row>
    <row r="32" spans="1:2">
      <c r="A32" s="52" t="s">
        <v>281</v>
      </c>
      <c r="B32" s="92">
        <v>72</v>
      </c>
    </row>
    <row r="33" spans="1:2">
      <c r="A33" s="52" t="s">
        <v>282</v>
      </c>
      <c r="B33" s="92">
        <v>72</v>
      </c>
    </row>
    <row r="34" spans="1:2">
      <c r="A34" s="52" t="s">
        <v>283</v>
      </c>
      <c r="B34" s="92">
        <v>71</v>
      </c>
    </row>
    <row r="35" spans="1:2">
      <c r="A35" s="52" t="s">
        <v>284</v>
      </c>
      <c r="B35" s="92">
        <v>71</v>
      </c>
    </row>
    <row r="36" spans="1:2">
      <c r="A36" s="52" t="s">
        <v>285</v>
      </c>
      <c r="B36" s="92">
        <v>70</v>
      </c>
    </row>
    <row r="37" spans="1:2">
      <c r="A37" s="52" t="s">
        <v>286</v>
      </c>
      <c r="B37" s="92">
        <v>71</v>
      </c>
    </row>
    <row r="38" spans="1:2">
      <c r="A38" s="52" t="s">
        <v>287</v>
      </c>
      <c r="B38" s="92">
        <v>71</v>
      </c>
    </row>
    <row r="39" spans="1:2">
      <c r="A39" s="52" t="s">
        <v>288</v>
      </c>
      <c r="B39" s="92">
        <v>71</v>
      </c>
    </row>
    <row r="40" spans="1:2">
      <c r="A40" s="52" t="s">
        <v>289</v>
      </c>
      <c r="B40" s="92">
        <v>72</v>
      </c>
    </row>
    <row r="41" spans="1:2">
      <c r="A41" s="52" t="s">
        <v>290</v>
      </c>
      <c r="B41" s="92">
        <v>72</v>
      </c>
    </row>
    <row r="42" spans="1:2">
      <c r="A42" s="52" t="s">
        <v>291</v>
      </c>
      <c r="B42" s="92">
        <v>71</v>
      </c>
    </row>
    <row r="43" spans="1:2">
      <c r="A43" s="52" t="s">
        <v>292</v>
      </c>
      <c r="B43" s="92">
        <v>71</v>
      </c>
    </row>
    <row r="44" spans="1:2">
      <c r="A44" s="52" t="s">
        <v>293</v>
      </c>
      <c r="B44" s="92">
        <v>70</v>
      </c>
    </row>
    <row r="45" spans="1:2">
      <c r="A45" s="52" t="s">
        <v>294</v>
      </c>
      <c r="B45" s="92">
        <v>70</v>
      </c>
    </row>
    <row r="46" spans="1:2">
      <c r="A46" s="52" t="s">
        <v>295</v>
      </c>
      <c r="B46" s="92">
        <v>69</v>
      </c>
    </row>
    <row r="47" spans="1:2">
      <c r="A47" s="52" t="s">
        <v>296</v>
      </c>
      <c r="B47" s="92">
        <v>69</v>
      </c>
    </row>
    <row r="48" spans="1:2">
      <c r="A48" s="52" t="s">
        <v>297</v>
      </c>
      <c r="B48" s="92">
        <v>68</v>
      </c>
    </row>
    <row r="49" spans="1:2">
      <c r="A49" s="52" t="s">
        <v>298</v>
      </c>
      <c r="B49" s="92">
        <v>67</v>
      </c>
    </row>
    <row r="50" spans="1:2">
      <c r="A50" s="52" t="s">
        <v>299</v>
      </c>
      <c r="B50" s="92">
        <v>68</v>
      </c>
    </row>
    <row r="51" spans="1:2">
      <c r="A51" s="52" t="s">
        <v>300</v>
      </c>
      <c r="B51" s="92">
        <v>68</v>
      </c>
    </row>
    <row r="52" spans="1:2">
      <c r="A52" s="52" t="s">
        <v>301</v>
      </c>
      <c r="B52" s="92">
        <v>70</v>
      </c>
    </row>
    <row r="53" spans="1:2">
      <c r="A53" s="52" t="s">
        <v>302</v>
      </c>
      <c r="B53" s="92">
        <v>72</v>
      </c>
    </row>
    <row r="54" spans="1:2">
      <c r="A54" s="52" t="s">
        <v>303</v>
      </c>
      <c r="B54" s="92">
        <v>73</v>
      </c>
    </row>
    <row r="55" spans="1:2">
      <c r="A55" s="52" t="s">
        <v>304</v>
      </c>
      <c r="B55" s="92">
        <v>75</v>
      </c>
    </row>
    <row r="56" spans="1:2">
      <c r="A56" s="52" t="s">
        <v>305</v>
      </c>
      <c r="B56" s="92">
        <v>76</v>
      </c>
    </row>
    <row r="57" spans="1:2">
      <c r="A57" s="52" t="s">
        <v>306</v>
      </c>
      <c r="B57" s="92">
        <v>75</v>
      </c>
    </row>
    <row r="58" spans="1:2">
      <c r="A58" s="52" t="s">
        <v>307</v>
      </c>
      <c r="B58" s="92">
        <v>75</v>
      </c>
    </row>
    <row r="59" spans="1:2">
      <c r="A59" s="52" t="s">
        <v>308</v>
      </c>
      <c r="B59" s="92">
        <v>74</v>
      </c>
    </row>
    <row r="60" spans="1:2">
      <c r="A60" s="52" t="s">
        <v>309</v>
      </c>
      <c r="B60" s="92">
        <v>74</v>
      </c>
    </row>
    <row r="61" spans="1:2">
      <c r="A61" s="52" t="s">
        <v>310</v>
      </c>
      <c r="B61" s="92">
        <v>76</v>
      </c>
    </row>
    <row r="62" spans="1:2">
      <c r="A62" s="52" t="s">
        <v>311</v>
      </c>
      <c r="B62" s="92">
        <v>80</v>
      </c>
    </row>
    <row r="63" spans="1:2">
      <c r="A63" s="52" t="s">
        <v>312</v>
      </c>
      <c r="B63" s="92">
        <v>81</v>
      </c>
    </row>
    <row r="64" spans="1:2">
      <c r="A64" s="52" t="s">
        <v>313</v>
      </c>
      <c r="B64" s="92">
        <v>83</v>
      </c>
    </row>
    <row r="65" spans="1:2">
      <c r="A65" s="52" t="s">
        <v>314</v>
      </c>
      <c r="B65" s="92">
        <v>88</v>
      </c>
    </row>
    <row r="66" spans="1:2">
      <c r="A66" s="52" t="s">
        <v>315</v>
      </c>
      <c r="B66" s="92">
        <v>90</v>
      </c>
    </row>
    <row r="67" spans="1:2">
      <c r="A67" s="52" t="s">
        <v>316</v>
      </c>
      <c r="B67" s="92">
        <v>91</v>
      </c>
    </row>
    <row r="68" spans="1:2">
      <c r="A68" s="52" t="s">
        <v>317</v>
      </c>
      <c r="B68" s="92">
        <v>96</v>
      </c>
    </row>
    <row r="69" spans="1:2">
      <c r="A69" s="52" t="s">
        <v>318</v>
      </c>
      <c r="B69" s="92">
        <v>98</v>
      </c>
    </row>
    <row r="70" spans="1:2">
      <c r="A70" s="52" t="s">
        <v>319</v>
      </c>
      <c r="B70" s="92">
        <v>97</v>
      </c>
    </row>
    <row r="71" spans="1:2">
      <c r="A71" s="52" t="s">
        <v>320</v>
      </c>
      <c r="B71" s="92">
        <v>94</v>
      </c>
    </row>
    <row r="72" spans="1:2">
      <c r="A72" s="52" t="s">
        <v>321</v>
      </c>
      <c r="B72" s="92">
        <v>93</v>
      </c>
    </row>
    <row r="73" spans="1:2">
      <c r="A73" s="52" t="s">
        <v>322</v>
      </c>
      <c r="B73" s="92">
        <v>94</v>
      </c>
    </row>
    <row r="74" spans="1:2">
      <c r="A74" s="52" t="s">
        <v>323</v>
      </c>
      <c r="B74" s="92">
        <v>94</v>
      </c>
    </row>
    <row r="75" spans="1:2">
      <c r="A75" s="52" t="s">
        <v>324</v>
      </c>
      <c r="B75" s="92">
        <v>93</v>
      </c>
    </row>
    <row r="76" spans="1:2">
      <c r="A76" s="52" t="s">
        <v>325</v>
      </c>
      <c r="B76" s="92">
        <v>98</v>
      </c>
    </row>
    <row r="77" spans="1:2">
      <c r="A77" s="52" t="s">
        <v>326</v>
      </c>
      <c r="B77" s="92">
        <v>102</v>
      </c>
    </row>
    <row r="78" spans="1:2">
      <c r="A78" s="52" t="s">
        <v>327</v>
      </c>
      <c r="B78" s="92">
        <v>105</v>
      </c>
    </row>
    <row r="79" spans="1:2">
      <c r="A79" s="52" t="s">
        <v>328</v>
      </c>
      <c r="B79" s="92">
        <v>108</v>
      </c>
    </row>
    <row r="80" spans="1:2">
      <c r="A80" s="52" t="s">
        <v>329</v>
      </c>
      <c r="B80" s="92">
        <v>111</v>
      </c>
    </row>
    <row r="81" spans="1:2">
      <c r="A81" s="52" t="s">
        <v>330</v>
      </c>
      <c r="B81" s="92">
        <v>114</v>
      </c>
    </row>
    <row r="82" spans="1:2">
      <c r="A82" s="52" t="s">
        <v>331</v>
      </c>
      <c r="B82" s="92">
        <v>118</v>
      </c>
    </row>
    <row r="83" spans="1:2">
      <c r="A83" s="52" t="s">
        <v>332</v>
      </c>
      <c r="B83" s="92">
        <v>121</v>
      </c>
    </row>
    <row r="84" spans="1:2">
      <c r="A84" s="52" t="s">
        <v>333</v>
      </c>
      <c r="B84" s="92">
        <v>128</v>
      </c>
    </row>
    <row r="85" spans="1:2">
      <c r="A85" s="52" t="s">
        <v>334</v>
      </c>
      <c r="B85" s="92">
        <v>142</v>
      </c>
    </row>
    <row r="86" spans="1:2">
      <c r="A86" s="52" t="s">
        <v>335</v>
      </c>
      <c r="B86" s="92">
        <v>145</v>
      </c>
    </row>
    <row r="87" spans="1:2">
      <c r="A87" s="52" t="s">
        <v>336</v>
      </c>
      <c r="B87" s="92">
        <v>146</v>
      </c>
    </row>
    <row r="88" spans="1:2">
      <c r="A88" s="52" t="s">
        <v>337</v>
      </c>
      <c r="B88" s="92">
        <v>137</v>
      </c>
    </row>
    <row r="89" spans="1:2">
      <c r="A89" s="52" t="s">
        <v>338</v>
      </c>
      <c r="B89" s="92">
        <v>141</v>
      </c>
    </row>
    <row r="90" spans="1:2">
      <c r="A90" s="52" t="s">
        <v>339</v>
      </c>
      <c r="B90" s="92">
        <v>145</v>
      </c>
    </row>
    <row r="91" spans="1:2">
      <c r="A91" s="52" t="s">
        <v>340</v>
      </c>
      <c r="B91" s="92">
        <v>144</v>
      </c>
    </row>
    <row r="92" spans="1:2">
      <c r="A92" s="52" t="s">
        <v>341</v>
      </c>
      <c r="B92" s="92">
        <v>141</v>
      </c>
    </row>
    <row r="93" spans="1:2">
      <c r="A93" s="52" t="s">
        <v>342</v>
      </c>
      <c r="B93" s="92">
        <v>136</v>
      </c>
    </row>
    <row r="94" spans="1:2">
      <c r="A94" s="52" t="s">
        <v>343</v>
      </c>
      <c r="B94" s="92">
        <v>124</v>
      </c>
    </row>
    <row r="95" spans="1:2">
      <c r="A95" s="52" t="s">
        <v>344</v>
      </c>
      <c r="B95" s="92">
        <v>119</v>
      </c>
    </row>
    <row r="96" spans="1:2">
      <c r="A96" s="52" t="s">
        <v>345</v>
      </c>
      <c r="B96" s="92">
        <v>115</v>
      </c>
    </row>
    <row r="97" spans="1:2">
      <c r="A97" s="52" t="s">
        <v>346</v>
      </c>
      <c r="B97" s="92">
        <v>116</v>
      </c>
    </row>
    <row r="98" spans="1:2">
      <c r="A98" s="52" t="s">
        <v>347</v>
      </c>
      <c r="B98" s="92">
        <v>119</v>
      </c>
    </row>
    <row r="99" spans="1:2">
      <c r="A99" s="52" t="s">
        <v>348</v>
      </c>
      <c r="B99" s="92">
        <v>124</v>
      </c>
    </row>
    <row r="100" spans="1:2">
      <c r="A100" s="52" t="s">
        <v>349</v>
      </c>
      <c r="B100" s="92">
        <v>129</v>
      </c>
    </row>
    <row r="101" spans="1:2">
      <c r="A101" s="52" t="s">
        <v>350</v>
      </c>
      <c r="B101" s="92">
        <v>129</v>
      </c>
    </row>
    <row r="102" spans="1:2">
      <c r="A102" s="52" t="s">
        <v>351</v>
      </c>
      <c r="B102" s="92">
        <v>127</v>
      </c>
    </row>
    <row r="103" spans="1:2">
      <c r="A103" s="52" t="s">
        <v>352</v>
      </c>
      <c r="B103" s="92">
        <v>126</v>
      </c>
    </row>
    <row r="104" spans="1:2">
      <c r="A104" s="52" t="s">
        <v>353</v>
      </c>
      <c r="B104" s="92">
        <v>124</v>
      </c>
    </row>
    <row r="105" spans="1:2">
      <c r="A105" s="52" t="s">
        <v>354</v>
      </c>
      <c r="B105" s="92">
        <v>123</v>
      </c>
    </row>
    <row r="106" spans="1:2">
      <c r="A106" s="52" t="s">
        <v>355</v>
      </c>
      <c r="B106" s="92">
        <v>119</v>
      </c>
    </row>
    <row r="107" spans="1:2">
      <c r="A107" s="52" t="s">
        <v>356</v>
      </c>
      <c r="B107" s="92">
        <v>121</v>
      </c>
    </row>
    <row r="108" spans="1:2">
      <c r="A108" s="52" t="s">
        <v>357</v>
      </c>
      <c r="B108" s="92">
        <v>122</v>
      </c>
    </row>
    <row r="109" spans="1:2">
      <c r="A109" s="52" t="s">
        <v>358</v>
      </c>
      <c r="B109" s="92">
        <v>123</v>
      </c>
    </row>
    <row r="110" spans="1:2">
      <c r="A110" s="52" t="s">
        <v>359</v>
      </c>
      <c r="B110" s="92">
        <v>124</v>
      </c>
    </row>
    <row r="111" spans="1:2">
      <c r="A111" s="52" t="s">
        <v>360</v>
      </c>
      <c r="B111" s="92">
        <v>123</v>
      </c>
    </row>
    <row r="112" spans="1:2">
      <c r="A112" s="52" t="s">
        <v>361</v>
      </c>
      <c r="B112" s="92">
        <v>126</v>
      </c>
    </row>
    <row r="113" spans="1:2">
      <c r="A113" s="52" t="s">
        <v>362</v>
      </c>
      <c r="B113" s="92">
        <v>124</v>
      </c>
    </row>
    <row r="114" spans="1:2">
      <c r="A114" s="52" t="s">
        <v>363</v>
      </c>
      <c r="B114" s="92">
        <v>121</v>
      </c>
    </row>
    <row r="115" spans="1:2">
      <c r="A115" s="52" t="s">
        <v>364</v>
      </c>
      <c r="B115" s="92">
        <v>120</v>
      </c>
    </row>
    <row r="116" spans="1:2">
      <c r="A116" s="52" t="s">
        <v>365</v>
      </c>
      <c r="B116" s="92">
        <v>119</v>
      </c>
    </row>
    <row r="117" spans="1:2">
      <c r="A117" s="52" t="s">
        <v>366</v>
      </c>
      <c r="B117" s="92">
        <v>118</v>
      </c>
    </row>
    <row r="118" spans="1:2">
      <c r="A118" s="52" t="s">
        <v>367</v>
      </c>
      <c r="B118" s="92">
        <v>119</v>
      </c>
    </row>
    <row r="119" spans="1:2">
      <c r="A119" s="52" t="s">
        <v>368</v>
      </c>
      <c r="B119" s="92">
        <v>120</v>
      </c>
    </row>
    <row r="120" spans="1:2">
      <c r="A120" s="52" t="s">
        <v>369</v>
      </c>
      <c r="B120" s="92">
        <v>116</v>
      </c>
    </row>
    <row r="121" spans="1:2">
      <c r="A121" s="52" t="s">
        <v>370</v>
      </c>
      <c r="B121" s="92">
        <v>115</v>
      </c>
    </row>
    <row r="122" spans="1:2">
      <c r="A122" s="52" t="s">
        <v>371</v>
      </c>
      <c r="B122" s="92">
        <v>120</v>
      </c>
    </row>
    <row r="123" spans="1:2">
      <c r="A123" s="52" t="s">
        <v>372</v>
      </c>
      <c r="B123" s="92">
        <v>115</v>
      </c>
    </row>
    <row r="124" spans="1:2">
      <c r="A124" s="52" t="s">
        <v>373</v>
      </c>
      <c r="B124" s="92">
        <v>115</v>
      </c>
    </row>
    <row r="125" spans="1:2">
      <c r="A125" s="52" t="s">
        <v>374</v>
      </c>
      <c r="B125" s="92">
        <v>114</v>
      </c>
    </row>
    <row r="126" spans="1:2">
      <c r="A126" s="52" t="s">
        <v>375</v>
      </c>
      <c r="B126" s="92">
        <v>113</v>
      </c>
    </row>
    <row r="127" spans="1:2">
      <c r="A127" s="52" t="s">
        <v>376</v>
      </c>
      <c r="B127" s="92">
        <v>113</v>
      </c>
    </row>
    <row r="128" spans="1:2">
      <c r="A128" s="52" t="s">
        <v>377</v>
      </c>
      <c r="B128" s="92">
        <v>114</v>
      </c>
    </row>
    <row r="129" spans="1:2">
      <c r="A129" s="52" t="s">
        <v>378</v>
      </c>
      <c r="B129" s="92">
        <v>116</v>
      </c>
    </row>
    <row r="130" spans="1:2">
      <c r="A130" s="52" t="s">
        <v>379</v>
      </c>
      <c r="B130" s="92">
        <v>117</v>
      </c>
    </row>
    <row r="131" spans="1:2">
      <c r="A131" s="52" t="s">
        <v>380</v>
      </c>
      <c r="B131" s="92">
        <v>116</v>
      </c>
    </row>
    <row r="132" spans="1:2">
      <c r="A132" s="52" t="s">
        <v>381</v>
      </c>
      <c r="B132" s="92">
        <v>114</v>
      </c>
    </row>
    <row r="133" spans="1:2">
      <c r="A133" s="52" t="s">
        <v>382</v>
      </c>
      <c r="B133" s="92">
        <v>113</v>
      </c>
    </row>
    <row r="134" spans="1:2">
      <c r="A134" s="52" t="s">
        <v>383</v>
      </c>
      <c r="B134" s="92">
        <v>114</v>
      </c>
    </row>
    <row r="135" spans="1:2">
      <c r="A135" s="52" t="s">
        <v>384</v>
      </c>
      <c r="B135" s="92">
        <v>113</v>
      </c>
    </row>
    <row r="136" spans="1:2">
      <c r="A136" s="52" t="s">
        <v>385</v>
      </c>
      <c r="B136" s="92">
        <v>112</v>
      </c>
    </row>
    <row r="137" spans="1:2">
      <c r="A137" s="52" t="s">
        <v>386</v>
      </c>
      <c r="B137" s="92">
        <v>112</v>
      </c>
    </row>
    <row r="138" spans="1:2">
      <c r="A138" s="52" t="s">
        <v>387</v>
      </c>
      <c r="B138" s="92">
        <v>112</v>
      </c>
    </row>
    <row r="139" spans="1:2">
      <c r="A139" s="52" t="s">
        <v>388</v>
      </c>
      <c r="B139" s="92">
        <v>112</v>
      </c>
    </row>
    <row r="140" spans="1:2">
      <c r="A140" s="52" t="s">
        <v>389</v>
      </c>
      <c r="B140" s="92">
        <v>113</v>
      </c>
    </row>
    <row r="141" spans="1:2">
      <c r="A141" s="52" t="s">
        <v>390</v>
      </c>
      <c r="B141" s="92">
        <v>112</v>
      </c>
    </row>
    <row r="142" spans="1:2">
      <c r="A142" s="52" t="s">
        <v>391</v>
      </c>
      <c r="B142" s="92">
        <v>111</v>
      </c>
    </row>
    <row r="143" spans="1:2">
      <c r="A143" s="52" t="s">
        <v>392</v>
      </c>
      <c r="B143" s="92">
        <v>110</v>
      </c>
    </row>
    <row r="144" spans="1:2">
      <c r="A144" s="52" t="s">
        <v>393</v>
      </c>
      <c r="B144" s="92">
        <v>109</v>
      </c>
    </row>
    <row r="145" spans="1:2">
      <c r="A145" s="52" t="s">
        <v>394</v>
      </c>
      <c r="B145" s="92">
        <v>109</v>
      </c>
    </row>
    <row r="146" spans="1:2">
      <c r="A146" s="52" t="s">
        <v>395</v>
      </c>
      <c r="B146" s="92">
        <v>112</v>
      </c>
    </row>
    <row r="147" spans="1:2">
      <c r="A147" s="52" t="s">
        <v>396</v>
      </c>
      <c r="B147" s="92">
        <v>111</v>
      </c>
    </row>
    <row r="148" spans="1:2">
      <c r="A148" s="52" t="s">
        <v>397</v>
      </c>
      <c r="B148" s="92">
        <v>109</v>
      </c>
    </row>
    <row r="149" spans="1:2">
      <c r="A149" s="52" t="s">
        <v>398</v>
      </c>
      <c r="B149" s="92">
        <v>109</v>
      </c>
    </row>
    <row r="150" spans="1:2">
      <c r="A150" s="52" t="s">
        <v>399</v>
      </c>
      <c r="B150" s="92">
        <v>108</v>
      </c>
    </row>
    <row r="151" spans="1:2">
      <c r="A151" s="52" t="s">
        <v>400</v>
      </c>
      <c r="B151" s="92">
        <v>105</v>
      </c>
    </row>
    <row r="152" spans="1:2">
      <c r="A152" s="52" t="s">
        <v>401</v>
      </c>
      <c r="B152" s="92">
        <v>104</v>
      </c>
    </row>
    <row r="153" spans="1:2">
      <c r="A153" s="52" t="s">
        <v>402</v>
      </c>
      <c r="B153" s="92">
        <v>102</v>
      </c>
    </row>
    <row r="154" spans="1:2">
      <c r="A154" s="52" t="s">
        <v>403</v>
      </c>
      <c r="B154" s="92">
        <v>102</v>
      </c>
    </row>
    <row r="155" spans="1:2">
      <c r="A155" s="52" t="s">
        <v>404</v>
      </c>
      <c r="B155" s="92">
        <v>103</v>
      </c>
    </row>
    <row r="156" spans="1:2">
      <c r="A156" s="52" t="s">
        <v>405</v>
      </c>
      <c r="B156" s="92">
        <v>102</v>
      </c>
    </row>
    <row r="157" spans="1:2">
      <c r="A157" s="52" t="s">
        <v>406</v>
      </c>
      <c r="B157" s="92">
        <v>102</v>
      </c>
    </row>
    <row r="158" spans="1:2">
      <c r="A158" s="52" t="s">
        <v>407</v>
      </c>
      <c r="B158" s="92">
        <v>101</v>
      </c>
    </row>
    <row r="159" spans="1:2">
      <c r="A159" s="52" t="s">
        <v>408</v>
      </c>
      <c r="B159" s="92">
        <v>101</v>
      </c>
    </row>
    <row r="160" spans="1:2">
      <c r="A160" s="52" t="s">
        <v>409</v>
      </c>
      <c r="B160" s="92">
        <v>101</v>
      </c>
    </row>
    <row r="161" spans="1:2">
      <c r="A161" s="52" t="s">
        <v>410</v>
      </c>
      <c r="B161" s="92">
        <v>100</v>
      </c>
    </row>
    <row r="162" spans="1:2">
      <c r="A162" s="52" t="s">
        <v>411</v>
      </c>
      <c r="B162" s="92">
        <v>99</v>
      </c>
    </row>
    <row r="163" spans="1:2">
      <c r="A163" s="52" t="s">
        <v>412</v>
      </c>
      <c r="B163" s="92">
        <v>100</v>
      </c>
    </row>
    <row r="164" spans="1:2">
      <c r="A164" s="52" t="s">
        <v>413</v>
      </c>
      <c r="B164" s="92">
        <v>102</v>
      </c>
    </row>
    <row r="165" spans="1:2">
      <c r="A165" s="52" t="s">
        <v>414</v>
      </c>
      <c r="B165" s="92">
        <v>103</v>
      </c>
    </row>
    <row r="166" spans="1:2">
      <c r="A166" s="52" t="s">
        <v>415</v>
      </c>
      <c r="B166" s="92">
        <v>100</v>
      </c>
    </row>
    <row r="167" spans="1:2">
      <c r="A167" s="52" t="s">
        <v>416</v>
      </c>
      <c r="B167" s="92">
        <v>99</v>
      </c>
    </row>
    <row r="168" spans="1:2">
      <c r="A168" s="52" t="s">
        <v>417</v>
      </c>
      <c r="B168" s="92">
        <v>98</v>
      </c>
    </row>
    <row r="169" spans="1:2">
      <c r="A169" s="52" t="s">
        <v>418</v>
      </c>
      <c r="B169" s="92">
        <v>98</v>
      </c>
    </row>
    <row r="170" spans="1:2">
      <c r="A170" s="52" t="s">
        <v>419</v>
      </c>
      <c r="B170" s="92">
        <v>97</v>
      </c>
    </row>
    <row r="171" spans="1:2">
      <c r="A171" s="52" t="s">
        <v>420</v>
      </c>
      <c r="B171" s="92">
        <v>98</v>
      </c>
    </row>
    <row r="172" spans="1:2">
      <c r="A172" s="52" t="s">
        <v>421</v>
      </c>
      <c r="B172" s="92">
        <v>99</v>
      </c>
    </row>
    <row r="173" spans="1:2">
      <c r="A173" s="52" t="s">
        <v>422</v>
      </c>
      <c r="B173" s="92">
        <v>99</v>
      </c>
    </row>
    <row r="174" spans="1:2">
      <c r="A174" s="52" t="s">
        <v>423</v>
      </c>
      <c r="B174" s="92">
        <v>100</v>
      </c>
    </row>
    <row r="175" spans="1:2">
      <c r="A175" s="52" t="s">
        <v>424</v>
      </c>
      <c r="B175" s="92">
        <v>100</v>
      </c>
    </row>
    <row r="176" spans="1:2">
      <c r="A176" s="52" t="s">
        <v>425</v>
      </c>
      <c r="B176" s="92">
        <v>100</v>
      </c>
    </row>
    <row r="177" spans="1:2">
      <c r="A177" s="52" t="s">
        <v>426</v>
      </c>
      <c r="B177" s="92">
        <v>101</v>
      </c>
    </row>
    <row r="178" spans="1:2">
      <c r="A178" s="52" t="s">
        <v>427</v>
      </c>
      <c r="B178" s="92">
        <v>103</v>
      </c>
    </row>
    <row r="179" spans="1:2">
      <c r="A179" s="52" t="s">
        <v>428</v>
      </c>
      <c r="B179" s="92">
        <v>103</v>
      </c>
    </row>
    <row r="180" spans="1:2">
      <c r="A180" s="52" t="s">
        <v>429</v>
      </c>
      <c r="B180" s="92">
        <v>102</v>
      </c>
    </row>
    <row r="181" spans="1:2">
      <c r="A181" s="52" t="s">
        <v>430</v>
      </c>
      <c r="B181" s="92">
        <v>101</v>
      </c>
    </row>
    <row r="182" spans="1:2">
      <c r="A182" s="52" t="s">
        <v>431</v>
      </c>
      <c r="B182" s="92">
        <v>102</v>
      </c>
    </row>
    <row r="183" spans="1:2">
      <c r="A183" s="52" t="s">
        <v>432</v>
      </c>
      <c r="B183" s="92">
        <v>102</v>
      </c>
    </row>
    <row r="184" spans="1:2">
      <c r="A184" s="52" t="s">
        <v>433</v>
      </c>
      <c r="B184" s="92">
        <v>101</v>
      </c>
    </row>
    <row r="185" spans="1:2">
      <c r="A185" s="52" t="s">
        <v>434</v>
      </c>
      <c r="B185" s="92">
        <v>103</v>
      </c>
    </row>
    <row r="186" spans="1:2">
      <c r="A186" s="52" t="s">
        <v>435</v>
      </c>
      <c r="B186" s="92">
        <v>102</v>
      </c>
    </row>
    <row r="187" spans="1:2">
      <c r="A187" s="52" t="s">
        <v>436</v>
      </c>
      <c r="B187" s="92">
        <v>102</v>
      </c>
    </row>
    <row r="188" spans="1:2">
      <c r="A188" s="52" t="s">
        <v>437</v>
      </c>
      <c r="B188" s="92">
        <v>103</v>
      </c>
    </row>
    <row r="189" spans="1:2">
      <c r="A189" s="52" t="s">
        <v>438</v>
      </c>
      <c r="B189" s="92">
        <v>103</v>
      </c>
    </row>
    <row r="190" spans="1:2">
      <c r="A190" s="52" t="s">
        <v>439</v>
      </c>
      <c r="B190" s="92">
        <v>103</v>
      </c>
    </row>
    <row r="191" spans="1:2">
      <c r="A191" s="52" t="s">
        <v>440</v>
      </c>
      <c r="B191" s="92">
        <v>101</v>
      </c>
    </row>
    <row r="192" spans="1:2">
      <c r="A192" s="52" t="s">
        <v>441</v>
      </c>
      <c r="B192" s="92">
        <v>99</v>
      </c>
    </row>
    <row r="193" spans="1:2">
      <c r="A193" s="52" t="s">
        <v>442</v>
      </c>
      <c r="B193" s="92">
        <v>99</v>
      </c>
    </row>
    <row r="194" spans="1:2">
      <c r="A194" s="52" t="s">
        <v>443</v>
      </c>
      <c r="B194" s="92">
        <v>99</v>
      </c>
    </row>
    <row r="195" spans="1:2">
      <c r="A195" s="52" t="s">
        <v>444</v>
      </c>
      <c r="B195" s="92">
        <v>99</v>
      </c>
    </row>
    <row r="196" spans="1:2">
      <c r="A196" s="52" t="s">
        <v>445</v>
      </c>
      <c r="B196" s="92">
        <v>98</v>
      </c>
    </row>
    <row r="197" spans="1:2">
      <c r="A197" s="52" t="s">
        <v>446</v>
      </c>
      <c r="B197" s="92">
        <v>96</v>
      </c>
    </row>
    <row r="198" spans="1:2">
      <c r="A198" s="52" t="s">
        <v>447</v>
      </c>
      <c r="B198" s="92">
        <v>98</v>
      </c>
    </row>
    <row r="199" spans="1:2">
      <c r="A199" s="52" t="s">
        <v>448</v>
      </c>
      <c r="B199" s="92">
        <v>98</v>
      </c>
    </row>
    <row r="200" spans="1:2">
      <c r="A200" s="52" t="s">
        <v>449</v>
      </c>
      <c r="B200" s="92">
        <v>97</v>
      </c>
    </row>
    <row r="201" spans="1:2">
      <c r="A201" s="52" t="s">
        <v>450</v>
      </c>
      <c r="B201" s="92">
        <v>97</v>
      </c>
    </row>
    <row r="202" spans="1:2">
      <c r="A202" s="52" t="s">
        <v>451</v>
      </c>
      <c r="B202" s="92">
        <v>97</v>
      </c>
    </row>
    <row r="203" spans="1:2">
      <c r="A203" s="52" t="s">
        <v>452</v>
      </c>
      <c r="B203" s="92">
        <v>97</v>
      </c>
    </row>
    <row r="204" spans="1:2">
      <c r="A204" s="52" t="s">
        <v>453</v>
      </c>
      <c r="B204" s="92">
        <v>95</v>
      </c>
    </row>
    <row r="205" spans="1:2">
      <c r="A205" s="52" t="s">
        <v>454</v>
      </c>
      <c r="B205" s="92">
        <v>96</v>
      </c>
    </row>
    <row r="206" spans="1:2">
      <c r="A206" s="52" t="s">
        <v>455</v>
      </c>
      <c r="B206" s="92">
        <v>95</v>
      </c>
    </row>
    <row r="207" spans="1:2">
      <c r="A207" s="52" t="s">
        <v>456</v>
      </c>
      <c r="B207" s="92">
        <v>95</v>
      </c>
    </row>
    <row r="208" spans="1:2">
      <c r="A208" s="52" t="s">
        <v>457</v>
      </c>
      <c r="B208" s="92">
        <v>94</v>
      </c>
    </row>
    <row r="209" spans="1:2">
      <c r="A209" s="52" t="s">
        <v>458</v>
      </c>
      <c r="B209" s="92">
        <v>93</v>
      </c>
    </row>
    <row r="210" spans="1:2">
      <c r="A210" s="52" t="s">
        <v>459</v>
      </c>
      <c r="B210" s="92">
        <v>94</v>
      </c>
    </row>
    <row r="211" spans="1:2">
      <c r="A211" s="52" t="s">
        <v>460</v>
      </c>
      <c r="B211" s="92">
        <v>94</v>
      </c>
    </row>
    <row r="212" spans="1:2">
      <c r="A212" s="52" t="s">
        <v>461</v>
      </c>
      <c r="B212" s="92">
        <v>94</v>
      </c>
    </row>
    <row r="213" spans="1:2">
      <c r="A213" s="52" t="s">
        <v>462</v>
      </c>
      <c r="B213" s="92">
        <v>94</v>
      </c>
    </row>
    <row r="214" spans="1:2">
      <c r="A214" s="52" t="s">
        <v>463</v>
      </c>
      <c r="B214" s="92">
        <v>94</v>
      </c>
    </row>
    <row r="215" spans="1:2">
      <c r="A215" s="52" t="s">
        <v>464</v>
      </c>
      <c r="B215" s="92">
        <v>93</v>
      </c>
    </row>
    <row r="216" spans="1:2">
      <c r="A216" s="52" t="s">
        <v>465</v>
      </c>
      <c r="B216" s="92">
        <v>92</v>
      </c>
    </row>
    <row r="217" spans="1:2">
      <c r="A217" s="52" t="s">
        <v>466</v>
      </c>
      <c r="B217" s="92">
        <v>92</v>
      </c>
    </row>
    <row r="218" spans="1:2">
      <c r="A218" s="52" t="s">
        <v>467</v>
      </c>
      <c r="B218" s="92">
        <v>92</v>
      </c>
    </row>
    <row r="219" spans="1:2">
      <c r="A219" s="52" t="s">
        <v>468</v>
      </c>
      <c r="B219" s="92">
        <v>92</v>
      </c>
    </row>
    <row r="220" spans="1:2">
      <c r="A220" s="52" t="s">
        <v>469</v>
      </c>
      <c r="B220" s="92">
        <v>91</v>
      </c>
    </row>
    <row r="221" spans="1:2">
      <c r="A221" s="52" t="s">
        <v>470</v>
      </c>
      <c r="B221" s="92">
        <v>91</v>
      </c>
    </row>
    <row r="222" spans="1:2">
      <c r="A222" s="52" t="s">
        <v>471</v>
      </c>
      <c r="B222" s="92">
        <v>90</v>
      </c>
    </row>
    <row r="223" spans="1:2">
      <c r="A223" s="52" t="s">
        <v>472</v>
      </c>
      <c r="B223" s="92">
        <v>90</v>
      </c>
    </row>
    <row r="224" spans="1:2">
      <c r="A224" s="52" t="s">
        <v>473</v>
      </c>
      <c r="B224" s="92">
        <v>90</v>
      </c>
    </row>
    <row r="225" spans="1:2">
      <c r="A225" s="52" t="s">
        <v>474</v>
      </c>
      <c r="B225" s="92">
        <v>89</v>
      </c>
    </row>
    <row r="226" spans="1:2">
      <c r="A226" s="52" t="s">
        <v>475</v>
      </c>
      <c r="B226" s="92">
        <v>88</v>
      </c>
    </row>
    <row r="227" spans="1:2">
      <c r="A227" s="52" t="s">
        <v>476</v>
      </c>
      <c r="B227" s="92">
        <v>86</v>
      </c>
    </row>
    <row r="228" spans="1:2">
      <c r="A228" s="52" t="s">
        <v>477</v>
      </c>
      <c r="B228" s="92">
        <v>85</v>
      </c>
    </row>
    <row r="229" spans="1:2">
      <c r="A229" s="52" t="s">
        <v>478</v>
      </c>
      <c r="B229" s="92">
        <v>85</v>
      </c>
    </row>
    <row r="230" spans="1:2">
      <c r="A230" s="52" t="s">
        <v>479</v>
      </c>
      <c r="B230" s="92">
        <v>86</v>
      </c>
    </row>
    <row r="231" spans="1:2">
      <c r="A231" s="52" t="s">
        <v>480</v>
      </c>
      <c r="B231" s="92">
        <v>86</v>
      </c>
    </row>
    <row r="232" spans="1:2">
      <c r="A232" s="52" t="s">
        <v>481</v>
      </c>
      <c r="B232" s="92">
        <v>87</v>
      </c>
    </row>
    <row r="233" spans="1:2">
      <c r="A233" s="52" t="s">
        <v>482</v>
      </c>
      <c r="B233" s="92">
        <v>87</v>
      </c>
    </row>
    <row r="234" spans="1:2">
      <c r="A234" s="52" t="s">
        <v>483</v>
      </c>
      <c r="B234" s="92">
        <v>88</v>
      </c>
    </row>
    <row r="235" spans="1:2">
      <c r="A235" s="52" t="s">
        <v>484</v>
      </c>
      <c r="B235" s="92">
        <v>88</v>
      </c>
    </row>
    <row r="236" spans="1:2">
      <c r="A236" s="52" t="s">
        <v>485</v>
      </c>
      <c r="B236" s="92">
        <v>87</v>
      </c>
    </row>
    <row r="237" spans="1:2">
      <c r="A237" s="52" t="s">
        <v>486</v>
      </c>
      <c r="B237" s="92">
        <v>85</v>
      </c>
    </row>
    <row r="238" spans="1:2">
      <c r="A238" s="52" t="s">
        <v>487</v>
      </c>
      <c r="B238" s="92">
        <v>85</v>
      </c>
    </row>
    <row r="239" spans="1:2">
      <c r="A239" s="52" t="s">
        <v>488</v>
      </c>
      <c r="B239" s="92">
        <v>86</v>
      </c>
    </row>
    <row r="240" spans="1:2">
      <c r="A240" s="52" t="s">
        <v>489</v>
      </c>
      <c r="B240" s="92">
        <v>84</v>
      </c>
    </row>
    <row r="241" spans="1:2">
      <c r="A241" s="52" t="s">
        <v>490</v>
      </c>
      <c r="B241" s="92">
        <v>84</v>
      </c>
    </row>
    <row r="242" spans="1:2">
      <c r="A242" s="52" t="s">
        <v>491</v>
      </c>
      <c r="B242" s="92">
        <v>82</v>
      </c>
    </row>
    <row r="243" spans="1:2">
      <c r="A243" s="52" t="s">
        <v>492</v>
      </c>
      <c r="B243" s="92">
        <v>83</v>
      </c>
    </row>
    <row r="244" spans="1:2">
      <c r="A244" s="52" t="s">
        <v>493</v>
      </c>
      <c r="B244" s="92">
        <v>82</v>
      </c>
    </row>
    <row r="245" spans="1:2">
      <c r="A245" s="52" t="s">
        <v>494</v>
      </c>
      <c r="B245" s="92">
        <v>81</v>
      </c>
    </row>
    <row r="246" spans="1:2">
      <c r="A246" s="52" t="s">
        <v>495</v>
      </c>
      <c r="B246" s="92">
        <v>81</v>
      </c>
    </row>
    <row r="247" spans="1:2">
      <c r="A247" s="52" t="s">
        <v>496</v>
      </c>
      <c r="B247" s="92">
        <v>80</v>
      </c>
    </row>
    <row r="248" spans="1:2">
      <c r="A248" s="52" t="s">
        <v>497</v>
      </c>
      <c r="B248" s="92">
        <v>80</v>
      </c>
    </row>
    <row r="249" spans="1:2">
      <c r="A249" s="52" t="s">
        <v>498</v>
      </c>
      <c r="B249" s="92">
        <v>79</v>
      </c>
    </row>
    <row r="250" spans="1:2">
      <c r="A250" s="52" t="s">
        <v>499</v>
      </c>
      <c r="B250" s="92">
        <v>78</v>
      </c>
    </row>
    <row r="251" spans="1:2">
      <c r="A251" s="52" t="s">
        <v>500</v>
      </c>
      <c r="B251" s="92">
        <v>77</v>
      </c>
    </row>
    <row r="252" spans="1:2">
      <c r="A252" s="52" t="s">
        <v>501</v>
      </c>
      <c r="B252" s="92">
        <v>76</v>
      </c>
    </row>
    <row r="253" spans="1:2">
      <c r="A253" s="52" t="s">
        <v>502</v>
      </c>
      <c r="B253" s="92">
        <v>77</v>
      </c>
    </row>
    <row r="254" spans="1:2">
      <c r="A254" s="52" t="s">
        <v>503</v>
      </c>
      <c r="B254" s="92">
        <v>77</v>
      </c>
    </row>
    <row r="255" spans="1:2">
      <c r="A255" s="52" t="s">
        <v>504</v>
      </c>
      <c r="B255" s="92">
        <v>77</v>
      </c>
    </row>
    <row r="256" spans="1:2">
      <c r="A256" s="52" t="s">
        <v>505</v>
      </c>
      <c r="B256" s="92">
        <v>77</v>
      </c>
    </row>
    <row r="257" spans="1:2">
      <c r="A257" s="52" t="s">
        <v>506</v>
      </c>
      <c r="B257" s="92">
        <v>76</v>
      </c>
    </row>
    <row r="258" spans="1:2">
      <c r="A258" s="52" t="s">
        <v>507</v>
      </c>
      <c r="B258" s="92">
        <v>76</v>
      </c>
    </row>
    <row r="259" spans="1:2">
      <c r="A259" s="52" t="s">
        <v>508</v>
      </c>
      <c r="B259" s="92">
        <v>76</v>
      </c>
    </row>
    <row r="260" spans="1:2">
      <c r="A260" s="52" t="s">
        <v>509</v>
      </c>
      <c r="B260" s="92">
        <v>76</v>
      </c>
    </row>
    <row r="261" spans="1:2">
      <c r="A261" s="52" t="s">
        <v>510</v>
      </c>
      <c r="B261" s="92">
        <v>76</v>
      </c>
    </row>
    <row r="262" spans="1:2">
      <c r="A262" s="52" t="s">
        <v>511</v>
      </c>
      <c r="B262" s="92">
        <v>75</v>
      </c>
    </row>
    <row r="263" spans="1:2">
      <c r="A263" s="52" t="s">
        <v>512</v>
      </c>
      <c r="B263" s="92">
        <v>75</v>
      </c>
    </row>
    <row r="264" spans="1:2">
      <c r="A264" s="52" t="s">
        <v>513</v>
      </c>
      <c r="B264" s="92">
        <v>75</v>
      </c>
    </row>
    <row r="265" spans="1:2">
      <c r="A265" s="52" t="s">
        <v>514</v>
      </c>
      <c r="B265" s="92">
        <v>75</v>
      </c>
    </row>
    <row r="266" spans="1:2">
      <c r="A266" s="52" t="s">
        <v>515</v>
      </c>
      <c r="B266" s="92">
        <v>75</v>
      </c>
    </row>
    <row r="267" spans="1:2">
      <c r="A267" s="52" t="s">
        <v>516</v>
      </c>
      <c r="B267" s="92">
        <v>77</v>
      </c>
    </row>
    <row r="268" spans="1:2">
      <c r="A268" s="52" t="s">
        <v>517</v>
      </c>
      <c r="B268" s="92">
        <v>79</v>
      </c>
    </row>
    <row r="269" spans="1:2">
      <c r="A269" s="52" t="s">
        <v>518</v>
      </c>
      <c r="B269" s="92">
        <v>81</v>
      </c>
    </row>
    <row r="270" spans="1:2">
      <c r="A270" s="52" t="s">
        <v>519</v>
      </c>
      <c r="B270" s="92">
        <v>82</v>
      </c>
    </row>
    <row r="271" spans="1:2">
      <c r="A271" s="52" t="s">
        <v>520</v>
      </c>
      <c r="B271" s="92">
        <v>83</v>
      </c>
    </row>
    <row r="272" spans="1:2">
      <c r="A272" s="52" t="s">
        <v>521</v>
      </c>
      <c r="B272" s="92">
        <v>84</v>
      </c>
    </row>
    <row r="273" spans="1:2">
      <c r="A273" s="52" t="s">
        <v>522</v>
      </c>
      <c r="B273" s="92">
        <v>84</v>
      </c>
    </row>
    <row r="274" spans="1:2">
      <c r="A274" s="52" t="s">
        <v>523</v>
      </c>
      <c r="B274" s="92">
        <v>83</v>
      </c>
    </row>
    <row r="275" spans="1:2">
      <c r="A275" s="52" t="s">
        <v>524</v>
      </c>
      <c r="B275" s="92">
        <v>82</v>
      </c>
    </row>
    <row r="276" spans="1:2">
      <c r="A276" s="52" t="s">
        <v>525</v>
      </c>
      <c r="B276" s="92">
        <v>81</v>
      </c>
    </row>
    <row r="277" spans="1:2">
      <c r="A277" s="52" t="s">
        <v>526</v>
      </c>
      <c r="B277" s="92">
        <v>81</v>
      </c>
    </row>
    <row r="278" spans="1:2">
      <c r="A278" s="52" t="s">
        <v>527</v>
      </c>
      <c r="B278" s="92">
        <v>82</v>
      </c>
    </row>
    <row r="279" spans="1:2">
      <c r="A279" s="52" t="s">
        <v>528</v>
      </c>
      <c r="B279" s="92">
        <v>82</v>
      </c>
    </row>
    <row r="280" spans="1:2">
      <c r="A280" s="52" t="s">
        <v>529</v>
      </c>
      <c r="B280" s="92">
        <v>83</v>
      </c>
    </row>
    <row r="281" spans="1:2">
      <c r="A281" s="52" t="s">
        <v>530</v>
      </c>
      <c r="B281" s="92">
        <v>83</v>
      </c>
    </row>
    <row r="282" spans="1:2">
      <c r="A282" s="52" t="s">
        <v>531</v>
      </c>
      <c r="B282" s="92">
        <v>83</v>
      </c>
    </row>
    <row r="283" spans="1:2">
      <c r="A283" s="52" t="s">
        <v>532</v>
      </c>
      <c r="B283" s="92">
        <v>83</v>
      </c>
    </row>
    <row r="284" spans="1:2">
      <c r="A284" s="52" t="s">
        <v>533</v>
      </c>
      <c r="B284" s="92">
        <v>84</v>
      </c>
    </row>
    <row r="285" spans="1:2">
      <c r="A285" s="52" t="s">
        <v>534</v>
      </c>
      <c r="B285" s="92">
        <v>84</v>
      </c>
    </row>
    <row r="286" spans="1:2">
      <c r="A286" s="52" t="s">
        <v>535</v>
      </c>
      <c r="B286" s="92">
        <v>84</v>
      </c>
    </row>
    <row r="287" spans="1:2">
      <c r="A287" s="52" t="s">
        <v>536</v>
      </c>
      <c r="B287" s="92">
        <v>84</v>
      </c>
    </row>
    <row r="288" spans="1:2">
      <c r="A288" s="52" t="s">
        <v>537</v>
      </c>
      <c r="B288" s="92">
        <v>84</v>
      </c>
    </row>
    <row r="289" spans="1:2">
      <c r="A289" s="52" t="s">
        <v>538</v>
      </c>
      <c r="B289" s="92">
        <v>85</v>
      </c>
    </row>
    <row r="290" spans="1:2">
      <c r="A290" s="52" t="s">
        <v>539</v>
      </c>
      <c r="B290" s="92">
        <v>85</v>
      </c>
    </row>
    <row r="291" spans="1:2">
      <c r="A291" s="52" t="s">
        <v>540</v>
      </c>
      <c r="B291" s="92">
        <v>87</v>
      </c>
    </row>
    <row r="292" spans="1:2">
      <c r="A292" s="52" t="s">
        <v>541</v>
      </c>
      <c r="B292" s="92">
        <v>87</v>
      </c>
    </row>
    <row r="293" spans="1:2">
      <c r="A293" s="52" t="s">
        <v>542</v>
      </c>
      <c r="B293" s="92">
        <v>87</v>
      </c>
    </row>
    <row r="294" spans="1:2">
      <c r="A294" s="52" t="s">
        <v>543</v>
      </c>
      <c r="B294" s="92">
        <v>87</v>
      </c>
    </row>
    <row r="295" spans="1:2">
      <c r="A295" s="52" t="s">
        <v>544</v>
      </c>
      <c r="B295" s="92">
        <v>87</v>
      </c>
    </row>
    <row r="296" spans="1:2">
      <c r="A296" s="52" t="s">
        <v>545</v>
      </c>
      <c r="B296" s="92">
        <v>87</v>
      </c>
    </row>
    <row r="297" spans="1:2">
      <c r="A297" s="52" t="s">
        <v>546</v>
      </c>
      <c r="B297" s="92">
        <v>87</v>
      </c>
    </row>
    <row r="298" spans="1:2">
      <c r="A298" s="52" t="s">
        <v>547</v>
      </c>
      <c r="B298" s="92">
        <v>88</v>
      </c>
    </row>
    <row r="299" spans="1:2">
      <c r="A299" s="52" t="s">
        <v>548</v>
      </c>
      <c r="B299" s="92">
        <v>88</v>
      </c>
    </row>
    <row r="300" spans="1:2">
      <c r="A300" s="52" t="s">
        <v>549</v>
      </c>
      <c r="B300" s="92">
        <v>89</v>
      </c>
    </row>
    <row r="301" spans="1:2">
      <c r="A301" s="52" t="s">
        <v>550</v>
      </c>
      <c r="B301" s="92">
        <v>88</v>
      </c>
    </row>
    <row r="302" spans="1:2">
      <c r="A302" s="52" t="s">
        <v>551</v>
      </c>
      <c r="B302" s="92">
        <v>89</v>
      </c>
    </row>
    <row r="303" spans="1:2">
      <c r="A303" s="52" t="s">
        <v>552</v>
      </c>
      <c r="B303" s="92">
        <v>88</v>
      </c>
    </row>
    <row r="304" spans="1:2">
      <c r="A304" s="52" t="s">
        <v>553</v>
      </c>
      <c r="B304" s="92">
        <v>88</v>
      </c>
    </row>
    <row r="305" spans="1:2">
      <c r="A305" s="52" t="s">
        <v>554</v>
      </c>
      <c r="B305" s="92">
        <v>87</v>
      </c>
    </row>
    <row r="306" spans="1:2">
      <c r="A306" s="52" t="s">
        <v>555</v>
      </c>
      <c r="B306" s="92">
        <v>86</v>
      </c>
    </row>
    <row r="307" spans="1:2">
      <c r="A307" s="52" t="s">
        <v>556</v>
      </c>
      <c r="B307" s="92">
        <v>86</v>
      </c>
    </row>
    <row r="308" spans="1:2">
      <c r="A308" s="52" t="s">
        <v>557</v>
      </c>
      <c r="B308" s="92">
        <v>86</v>
      </c>
    </row>
    <row r="309" spans="1:2">
      <c r="A309" s="52" t="s">
        <v>558</v>
      </c>
      <c r="B309" s="92">
        <v>86</v>
      </c>
    </row>
    <row r="310" spans="1:2">
      <c r="A310" s="52" t="s">
        <v>559</v>
      </c>
      <c r="B310" s="92">
        <v>86</v>
      </c>
    </row>
    <row r="311" spans="1:2">
      <c r="A311" s="52" t="s">
        <v>560</v>
      </c>
      <c r="B311" s="92">
        <v>85</v>
      </c>
    </row>
    <row r="312" spans="1:2">
      <c r="A312" s="52" t="s">
        <v>561</v>
      </c>
      <c r="B312" s="92">
        <v>84</v>
      </c>
    </row>
    <row r="313" spans="1:2">
      <c r="A313" s="52" t="s">
        <v>562</v>
      </c>
      <c r="B313" s="92">
        <v>83</v>
      </c>
    </row>
    <row r="314" spans="1:2">
      <c r="A314" s="52" t="s">
        <v>563</v>
      </c>
      <c r="B314" s="92">
        <v>83</v>
      </c>
    </row>
    <row r="315" spans="1:2">
      <c r="A315" s="52" t="s">
        <v>564</v>
      </c>
      <c r="B315" s="92">
        <v>82</v>
      </c>
    </row>
    <row r="316" spans="1:2">
      <c r="A316" s="52" t="s">
        <v>565</v>
      </c>
      <c r="B316" s="92">
        <v>82</v>
      </c>
    </row>
    <row r="317" spans="1:2">
      <c r="A317" s="52" t="s">
        <v>566</v>
      </c>
      <c r="B317" s="92">
        <v>82</v>
      </c>
    </row>
    <row r="318" spans="1:2">
      <c r="A318" s="52" t="s">
        <v>567</v>
      </c>
      <c r="B318" s="92">
        <v>82</v>
      </c>
    </row>
    <row r="319" spans="1:2">
      <c r="A319" s="52" t="s">
        <v>568</v>
      </c>
      <c r="B319" s="92">
        <v>82</v>
      </c>
    </row>
    <row r="320" spans="1:2">
      <c r="A320" s="52" t="s">
        <v>569</v>
      </c>
      <c r="B320" s="92">
        <v>82</v>
      </c>
    </row>
    <row r="321" spans="1:2">
      <c r="A321" s="52" t="s">
        <v>570</v>
      </c>
      <c r="B321" s="92">
        <v>82</v>
      </c>
    </row>
    <row r="322" spans="1:2">
      <c r="A322" s="52" t="s">
        <v>571</v>
      </c>
      <c r="B322" s="92">
        <v>81</v>
      </c>
    </row>
    <row r="323" spans="1:2">
      <c r="A323" s="52" t="s">
        <v>572</v>
      </c>
      <c r="B323" s="92">
        <v>79</v>
      </c>
    </row>
    <row r="324" spans="1:2">
      <c r="A324" s="52" t="s">
        <v>573</v>
      </c>
      <c r="B324" s="92">
        <v>79</v>
      </c>
    </row>
    <row r="325" spans="1:2">
      <c r="A325" s="52" t="s">
        <v>574</v>
      </c>
      <c r="B325" s="92">
        <v>79</v>
      </c>
    </row>
    <row r="326" spans="1:2">
      <c r="A326" s="52" t="s">
        <v>575</v>
      </c>
      <c r="B326" s="92">
        <v>79</v>
      </c>
    </row>
    <row r="327" spans="1:2">
      <c r="A327" s="52" t="s">
        <v>576</v>
      </c>
      <c r="B327" s="92">
        <v>79</v>
      </c>
    </row>
    <row r="328" spans="1:2">
      <c r="A328" s="52" t="s">
        <v>577</v>
      </c>
      <c r="B328" s="92">
        <v>78</v>
      </c>
    </row>
    <row r="329" spans="1:2">
      <c r="A329" s="52" t="s">
        <v>578</v>
      </c>
      <c r="B329" s="92">
        <v>78</v>
      </c>
    </row>
    <row r="330" spans="1:2">
      <c r="A330" s="52" t="s">
        <v>579</v>
      </c>
      <c r="B330" s="92">
        <v>77</v>
      </c>
    </row>
    <row r="331" spans="1:2">
      <c r="A331" s="52" t="s">
        <v>580</v>
      </c>
      <c r="B331" s="92">
        <v>77</v>
      </c>
    </row>
    <row r="332" spans="1:2">
      <c r="A332" s="52" t="s">
        <v>581</v>
      </c>
      <c r="B332" s="92">
        <v>78</v>
      </c>
    </row>
    <row r="333" spans="1:2">
      <c r="A333" s="52" t="s">
        <v>582</v>
      </c>
      <c r="B333" s="92">
        <v>77</v>
      </c>
    </row>
    <row r="334" spans="1:2">
      <c r="A334" s="52" t="s">
        <v>583</v>
      </c>
      <c r="B334" s="92">
        <v>77</v>
      </c>
    </row>
    <row r="335" spans="1:2">
      <c r="A335" s="52" t="s">
        <v>584</v>
      </c>
      <c r="B335" s="92">
        <v>77</v>
      </c>
    </row>
    <row r="336" spans="1:2">
      <c r="A336" s="52" t="s">
        <v>585</v>
      </c>
      <c r="B336" s="92">
        <v>76</v>
      </c>
    </row>
    <row r="337" spans="1:2">
      <c r="A337" s="52" t="s">
        <v>586</v>
      </c>
      <c r="B337" s="92">
        <v>76</v>
      </c>
    </row>
    <row r="338" spans="1:2">
      <c r="A338" s="52" t="s">
        <v>587</v>
      </c>
      <c r="B338" s="92">
        <v>76</v>
      </c>
    </row>
    <row r="339" spans="1:2">
      <c r="A339" s="52" t="s">
        <v>588</v>
      </c>
      <c r="B339" s="92">
        <v>76</v>
      </c>
    </row>
    <row r="340" spans="1:2">
      <c r="A340" s="52" t="s">
        <v>589</v>
      </c>
      <c r="B340" s="92">
        <v>77</v>
      </c>
    </row>
    <row r="341" spans="1:2">
      <c r="A341" s="52" t="s">
        <v>590</v>
      </c>
      <c r="B341" s="92">
        <v>77</v>
      </c>
    </row>
    <row r="342" spans="1:2">
      <c r="A342" s="52" t="s">
        <v>591</v>
      </c>
      <c r="B342" s="92">
        <v>78</v>
      </c>
    </row>
    <row r="343" spans="1:2">
      <c r="A343" s="52" t="s">
        <v>592</v>
      </c>
      <c r="B343" s="92">
        <v>77</v>
      </c>
    </row>
    <row r="344" spans="1:2">
      <c r="A344" s="52" t="s">
        <v>593</v>
      </c>
      <c r="B344" s="92">
        <v>77</v>
      </c>
    </row>
    <row r="345" spans="1:2">
      <c r="A345" s="52" t="s">
        <v>594</v>
      </c>
      <c r="B345" s="92">
        <v>76</v>
      </c>
    </row>
    <row r="346" spans="1:2">
      <c r="A346" s="52" t="s">
        <v>595</v>
      </c>
      <c r="B346" s="92">
        <v>76</v>
      </c>
    </row>
    <row r="347" spans="1:2">
      <c r="A347" s="52" t="s">
        <v>596</v>
      </c>
      <c r="B347" s="92">
        <v>75</v>
      </c>
    </row>
    <row r="348" spans="1:2">
      <c r="A348" s="52" t="s">
        <v>597</v>
      </c>
      <c r="B348" s="92">
        <v>75</v>
      </c>
    </row>
    <row r="349" spans="1:2">
      <c r="A349" s="52" t="s">
        <v>598</v>
      </c>
      <c r="B349" s="92">
        <v>75</v>
      </c>
    </row>
    <row r="350" spans="1:2">
      <c r="A350" s="52" t="s">
        <v>599</v>
      </c>
      <c r="B350" s="92">
        <v>76</v>
      </c>
    </row>
    <row r="351" spans="1:2">
      <c r="A351" s="52" t="s">
        <v>600</v>
      </c>
      <c r="B351" s="92">
        <v>76</v>
      </c>
    </row>
    <row r="352" spans="1:2">
      <c r="A352" s="52" t="s">
        <v>601</v>
      </c>
      <c r="B352" s="92">
        <v>76</v>
      </c>
    </row>
    <row r="353" spans="1:2">
      <c r="A353" s="52" t="s">
        <v>602</v>
      </c>
      <c r="B353" s="92">
        <v>76</v>
      </c>
    </row>
    <row r="354" spans="1:2">
      <c r="A354" s="52" t="s">
        <v>603</v>
      </c>
      <c r="B354" s="92">
        <v>76</v>
      </c>
    </row>
    <row r="355" spans="1:2">
      <c r="A355" s="52" t="s">
        <v>604</v>
      </c>
      <c r="B355" s="92">
        <v>77</v>
      </c>
    </row>
    <row r="356" spans="1:2">
      <c r="A356" s="52" t="s">
        <v>605</v>
      </c>
      <c r="B356" s="92">
        <v>77</v>
      </c>
    </row>
    <row r="357" spans="1:2">
      <c r="A357" s="52" t="s">
        <v>606</v>
      </c>
      <c r="B357" s="92">
        <v>77</v>
      </c>
    </row>
    <row r="358" spans="1:2">
      <c r="A358" s="52" t="s">
        <v>607</v>
      </c>
      <c r="B358" s="92">
        <v>77</v>
      </c>
    </row>
    <row r="359" spans="1:2">
      <c r="A359" s="52" t="s">
        <v>608</v>
      </c>
      <c r="B359" s="92">
        <v>77</v>
      </c>
    </row>
    <row r="360" spans="1:2">
      <c r="A360" s="52" t="s">
        <v>609</v>
      </c>
      <c r="B360" s="92">
        <v>77</v>
      </c>
    </row>
    <row r="361" spans="1:2">
      <c r="A361" s="52" t="s">
        <v>610</v>
      </c>
      <c r="B361" s="92">
        <v>76</v>
      </c>
    </row>
    <row r="362" spans="1:2">
      <c r="A362" s="52" t="s">
        <v>611</v>
      </c>
      <c r="B362" s="92">
        <v>77</v>
      </c>
    </row>
    <row r="363" spans="1:2">
      <c r="A363" s="52" t="s">
        <v>612</v>
      </c>
      <c r="B363" s="92">
        <v>76</v>
      </c>
    </row>
    <row r="364" spans="1:2">
      <c r="A364" s="52" t="s">
        <v>613</v>
      </c>
      <c r="B364" s="92">
        <v>77</v>
      </c>
    </row>
    <row r="365" spans="1:2">
      <c r="A365" s="52" t="s">
        <v>614</v>
      </c>
      <c r="B365" s="92">
        <v>77</v>
      </c>
    </row>
    <row r="366" spans="1:2">
      <c r="A366" s="52" t="s">
        <v>615</v>
      </c>
      <c r="B366" s="92">
        <v>78</v>
      </c>
    </row>
    <row r="367" spans="1:2">
      <c r="A367" s="52" t="s">
        <v>616</v>
      </c>
      <c r="B367" s="92">
        <v>78</v>
      </c>
    </row>
    <row r="368" spans="1:2">
      <c r="A368" s="52" t="s">
        <v>617</v>
      </c>
      <c r="B368" s="92">
        <v>78</v>
      </c>
    </row>
    <row r="369" spans="1:2">
      <c r="A369" s="52" t="s">
        <v>618</v>
      </c>
      <c r="B369" s="92">
        <v>78</v>
      </c>
    </row>
    <row r="370" spans="1:2">
      <c r="A370" s="52" t="s">
        <v>619</v>
      </c>
      <c r="B370" s="92">
        <v>78</v>
      </c>
    </row>
    <row r="371" spans="1:2">
      <c r="A371" s="52" t="s">
        <v>620</v>
      </c>
      <c r="B371" s="92">
        <v>78</v>
      </c>
    </row>
    <row r="372" spans="1:2">
      <c r="A372" s="52" t="s">
        <v>621</v>
      </c>
      <c r="B372" s="92">
        <v>77</v>
      </c>
    </row>
    <row r="373" spans="1:2">
      <c r="A373" s="52" t="s">
        <v>622</v>
      </c>
      <c r="B373" s="92">
        <v>78</v>
      </c>
    </row>
    <row r="374" spans="1:2">
      <c r="A374" s="52" t="s">
        <v>623</v>
      </c>
      <c r="B374" s="92">
        <v>78</v>
      </c>
    </row>
    <row r="375" spans="1:2">
      <c r="A375" s="52" t="s">
        <v>624</v>
      </c>
      <c r="B375" s="92">
        <v>78</v>
      </c>
    </row>
    <row r="376" spans="1:2">
      <c r="A376" s="52" t="s">
        <v>625</v>
      </c>
      <c r="B376" s="92">
        <v>78</v>
      </c>
    </row>
    <row r="377" spans="1:2">
      <c r="A377" s="52" t="s">
        <v>626</v>
      </c>
      <c r="B377" s="92">
        <v>78</v>
      </c>
    </row>
    <row r="378" spans="1:2">
      <c r="A378" s="52" t="s">
        <v>627</v>
      </c>
      <c r="B378" s="92">
        <v>78</v>
      </c>
    </row>
    <row r="379" spans="1:2">
      <c r="A379" s="52" t="s">
        <v>628</v>
      </c>
      <c r="B379" s="92">
        <v>77</v>
      </c>
    </row>
    <row r="380" spans="1:2">
      <c r="A380" s="52" t="s">
        <v>629</v>
      </c>
      <c r="B380" s="92">
        <v>78</v>
      </c>
    </row>
    <row r="381" spans="1:2">
      <c r="A381" s="52" t="s">
        <v>630</v>
      </c>
      <c r="B381" s="92">
        <v>77</v>
      </c>
    </row>
    <row r="382" spans="1:2">
      <c r="A382" s="52" t="s">
        <v>631</v>
      </c>
      <c r="B382" s="92">
        <v>77</v>
      </c>
    </row>
    <row r="383" spans="1:2">
      <c r="A383" s="52" t="s">
        <v>632</v>
      </c>
      <c r="B383" s="92">
        <v>77</v>
      </c>
    </row>
    <row r="384" spans="1:2">
      <c r="A384" s="52" t="s">
        <v>633</v>
      </c>
      <c r="B384" s="92">
        <v>77</v>
      </c>
    </row>
    <row r="385" spans="1:2">
      <c r="A385" s="52" t="s">
        <v>634</v>
      </c>
      <c r="B385" s="92">
        <v>77</v>
      </c>
    </row>
    <row r="386" spans="1:2">
      <c r="A386" s="52" t="s">
        <v>635</v>
      </c>
      <c r="B386" s="92">
        <v>77</v>
      </c>
    </row>
    <row r="387" spans="1:2">
      <c r="A387" s="52" t="s">
        <v>636</v>
      </c>
      <c r="B387" s="92">
        <v>77</v>
      </c>
    </row>
    <row r="388" spans="1:2">
      <c r="A388" s="52" t="s">
        <v>637</v>
      </c>
      <c r="B388" s="92">
        <v>77</v>
      </c>
    </row>
    <row r="389" spans="1:2">
      <c r="A389" s="52" t="s">
        <v>638</v>
      </c>
      <c r="B389" s="92">
        <v>77</v>
      </c>
    </row>
    <row r="390" spans="1:2">
      <c r="A390" s="52" t="s">
        <v>639</v>
      </c>
      <c r="B390" s="92">
        <v>77</v>
      </c>
    </row>
    <row r="391" spans="1:2">
      <c r="A391" s="52" t="s">
        <v>640</v>
      </c>
      <c r="B391" s="92">
        <v>77</v>
      </c>
    </row>
    <row r="392" spans="1:2">
      <c r="A392" s="52" t="s">
        <v>641</v>
      </c>
      <c r="B392" s="92">
        <v>77</v>
      </c>
    </row>
    <row r="393" spans="1:2">
      <c r="A393" s="52" t="s">
        <v>642</v>
      </c>
      <c r="B393" s="92">
        <v>77</v>
      </c>
    </row>
    <row r="394" spans="1:2">
      <c r="A394" s="52" t="s">
        <v>643</v>
      </c>
      <c r="B394" s="92">
        <v>77</v>
      </c>
    </row>
    <row r="395" spans="1:2">
      <c r="A395" s="52" t="s">
        <v>644</v>
      </c>
      <c r="B395" s="92">
        <v>78</v>
      </c>
    </row>
    <row r="396" spans="1:2">
      <c r="A396" s="52" t="s">
        <v>645</v>
      </c>
      <c r="B396" s="92">
        <v>78</v>
      </c>
    </row>
    <row r="397" spans="1:2">
      <c r="A397" s="52" t="s">
        <v>646</v>
      </c>
      <c r="B397" s="92">
        <v>77</v>
      </c>
    </row>
    <row r="398" spans="1:2">
      <c r="A398" s="52" t="s">
        <v>647</v>
      </c>
      <c r="B398" s="92">
        <v>78</v>
      </c>
    </row>
    <row r="399" spans="1:2">
      <c r="A399" s="52" t="s">
        <v>648</v>
      </c>
      <c r="B399" s="92">
        <v>79</v>
      </c>
    </row>
    <row r="400" spans="1:2">
      <c r="A400" s="52" t="s">
        <v>649</v>
      </c>
      <c r="B400" s="92">
        <v>78</v>
      </c>
    </row>
    <row r="401" spans="1:2">
      <c r="A401" s="52" t="s">
        <v>650</v>
      </c>
      <c r="B401" s="92">
        <v>77</v>
      </c>
    </row>
    <row r="402" spans="1:2">
      <c r="A402" s="52" t="s">
        <v>651</v>
      </c>
      <c r="B402" s="92">
        <v>77</v>
      </c>
    </row>
    <row r="403" spans="1:2">
      <c r="A403" s="52" t="s">
        <v>652</v>
      </c>
      <c r="B403" s="92">
        <v>77</v>
      </c>
    </row>
    <row r="404" spans="1:2">
      <c r="A404" s="52" t="s">
        <v>653</v>
      </c>
      <c r="B404" s="92">
        <v>77</v>
      </c>
    </row>
    <row r="405" spans="1:2">
      <c r="A405" s="52" t="s">
        <v>654</v>
      </c>
      <c r="B405" s="92">
        <v>78</v>
      </c>
    </row>
    <row r="406" spans="1:2">
      <c r="A406" s="52" t="s">
        <v>655</v>
      </c>
      <c r="B406" s="92">
        <v>78</v>
      </c>
    </row>
    <row r="407" spans="1:2">
      <c r="A407" s="52" t="s">
        <v>656</v>
      </c>
      <c r="B407" s="92">
        <v>77</v>
      </c>
    </row>
    <row r="408" spans="1:2">
      <c r="A408" s="52" t="s">
        <v>657</v>
      </c>
      <c r="B408" s="92">
        <v>77</v>
      </c>
    </row>
    <row r="409" spans="1:2">
      <c r="A409" s="52" t="s">
        <v>658</v>
      </c>
      <c r="B409" s="92">
        <v>77</v>
      </c>
    </row>
    <row r="410" spans="1:2">
      <c r="A410" s="52" t="s">
        <v>659</v>
      </c>
      <c r="B410" s="92">
        <v>76</v>
      </c>
    </row>
    <row r="411" spans="1:2">
      <c r="A411" s="52" t="s">
        <v>660</v>
      </c>
      <c r="B411" s="92">
        <v>76</v>
      </c>
    </row>
    <row r="412" spans="1:2">
      <c r="A412" s="52" t="s">
        <v>661</v>
      </c>
      <c r="B412" s="92">
        <v>76</v>
      </c>
    </row>
    <row r="413" spans="1:2">
      <c r="A413" s="52" t="s">
        <v>662</v>
      </c>
      <c r="B413" s="92">
        <v>76</v>
      </c>
    </row>
    <row r="414" spans="1:2">
      <c r="A414" s="52" t="s">
        <v>663</v>
      </c>
      <c r="B414" s="92">
        <v>76</v>
      </c>
    </row>
    <row r="415" spans="1:2">
      <c r="A415" s="52" t="s">
        <v>664</v>
      </c>
      <c r="B415" s="92">
        <v>75</v>
      </c>
    </row>
    <row r="416" spans="1:2">
      <c r="A416" s="52" t="s">
        <v>665</v>
      </c>
      <c r="B416" s="92">
        <v>76</v>
      </c>
    </row>
    <row r="417" spans="1:2">
      <c r="A417" s="52" t="s">
        <v>666</v>
      </c>
      <c r="B417" s="92">
        <v>75</v>
      </c>
    </row>
    <row r="418" spans="1:2">
      <c r="A418" s="52" t="s">
        <v>667</v>
      </c>
      <c r="B418" s="92">
        <v>75</v>
      </c>
    </row>
    <row r="419" spans="1:2">
      <c r="A419" s="52" t="s">
        <v>668</v>
      </c>
      <c r="B419" s="92">
        <v>76</v>
      </c>
    </row>
    <row r="420" spans="1:2">
      <c r="A420" s="52" t="s">
        <v>669</v>
      </c>
      <c r="B420" s="92">
        <v>76</v>
      </c>
    </row>
    <row r="421" spans="1:2">
      <c r="A421" s="52" t="s">
        <v>670</v>
      </c>
      <c r="B421" s="92">
        <v>75</v>
      </c>
    </row>
    <row r="422" spans="1:2">
      <c r="A422" s="52" t="s">
        <v>671</v>
      </c>
      <c r="B422" s="92">
        <v>76</v>
      </c>
    </row>
    <row r="423" spans="1:2">
      <c r="A423" s="52" t="s">
        <v>672</v>
      </c>
      <c r="B423" s="92">
        <v>76</v>
      </c>
    </row>
    <row r="424" spans="1:2">
      <c r="A424" s="52" t="s">
        <v>673</v>
      </c>
      <c r="B424" s="92">
        <v>76</v>
      </c>
    </row>
    <row r="425" spans="1:2">
      <c r="A425" s="52" t="s">
        <v>674</v>
      </c>
      <c r="B425" s="92">
        <v>76</v>
      </c>
    </row>
    <row r="426" spans="1:2">
      <c r="A426" s="52" t="s">
        <v>675</v>
      </c>
      <c r="B426" s="92">
        <v>77</v>
      </c>
    </row>
    <row r="427" spans="1:2">
      <c r="A427" s="52" t="s">
        <v>676</v>
      </c>
      <c r="B427" s="92">
        <v>78</v>
      </c>
    </row>
    <row r="428" spans="1:2">
      <c r="A428" s="52" t="s">
        <v>677</v>
      </c>
      <c r="B428" s="92">
        <v>78</v>
      </c>
    </row>
    <row r="429" spans="1:2">
      <c r="A429" s="52" t="s">
        <v>678</v>
      </c>
      <c r="B429" s="92">
        <v>78</v>
      </c>
    </row>
    <row r="430" spans="1:2">
      <c r="A430" s="52" t="s">
        <v>679</v>
      </c>
      <c r="B430" s="92">
        <v>77</v>
      </c>
    </row>
    <row r="431" spans="1:2">
      <c r="A431" s="52" t="s">
        <v>680</v>
      </c>
      <c r="B431" s="92">
        <v>76</v>
      </c>
    </row>
    <row r="432" spans="1:2">
      <c r="A432" s="52" t="s">
        <v>681</v>
      </c>
      <c r="B432" s="92">
        <v>75</v>
      </c>
    </row>
    <row r="433" spans="1:2">
      <c r="A433" s="52" t="s">
        <v>682</v>
      </c>
      <c r="B433" s="92">
        <v>73</v>
      </c>
    </row>
    <row r="434" spans="1:2">
      <c r="A434" s="52" t="s">
        <v>683</v>
      </c>
      <c r="B434" s="92">
        <v>74</v>
      </c>
    </row>
    <row r="435" spans="1:2">
      <c r="A435" s="52" t="s">
        <v>684</v>
      </c>
      <c r="B435" s="92">
        <v>73</v>
      </c>
    </row>
    <row r="436" spans="1:2">
      <c r="A436" s="52" t="s">
        <v>685</v>
      </c>
      <c r="B436" s="92">
        <v>74</v>
      </c>
    </row>
    <row r="437" spans="1:2">
      <c r="A437" s="52" t="s">
        <v>686</v>
      </c>
      <c r="B437" s="92">
        <v>74</v>
      </c>
    </row>
    <row r="438" spans="1:2">
      <c r="A438" s="52" t="s">
        <v>687</v>
      </c>
      <c r="B438" s="92">
        <v>73</v>
      </c>
    </row>
    <row r="439" spans="1:2">
      <c r="A439" s="52" t="s">
        <v>688</v>
      </c>
      <c r="B439" s="92">
        <v>72</v>
      </c>
    </row>
    <row r="440" spans="1:2">
      <c r="A440" s="52" t="s">
        <v>689</v>
      </c>
      <c r="B440" s="92">
        <v>71</v>
      </c>
    </row>
    <row r="441" spans="1:2">
      <c r="A441" s="52" t="s">
        <v>690</v>
      </c>
      <c r="B441" s="92">
        <v>71</v>
      </c>
    </row>
    <row r="442" spans="1:2">
      <c r="A442" s="52" t="s">
        <v>691</v>
      </c>
      <c r="B442" s="92">
        <v>71</v>
      </c>
    </row>
    <row r="443" spans="1:2">
      <c r="A443" s="52" t="s">
        <v>692</v>
      </c>
      <c r="B443" s="92">
        <v>70</v>
      </c>
    </row>
    <row r="444" spans="1:2">
      <c r="A444" s="52" t="s">
        <v>693</v>
      </c>
      <c r="B444" s="92">
        <v>71</v>
      </c>
    </row>
    <row r="445" spans="1:2">
      <c r="A445" s="52" t="s">
        <v>694</v>
      </c>
      <c r="B445" s="92">
        <v>71</v>
      </c>
    </row>
    <row r="446" spans="1:2">
      <c r="A446" s="52" t="s">
        <v>695</v>
      </c>
      <c r="B446" s="92">
        <v>71</v>
      </c>
    </row>
    <row r="447" spans="1:2">
      <c r="A447" s="52" t="s">
        <v>696</v>
      </c>
      <c r="B447" s="92">
        <v>72</v>
      </c>
    </row>
    <row r="448" spans="1:2">
      <c r="A448" s="52" t="s">
        <v>697</v>
      </c>
      <c r="B448" s="92">
        <v>71</v>
      </c>
    </row>
    <row r="449" spans="1:2">
      <c r="A449" s="52" t="s">
        <v>698</v>
      </c>
      <c r="B449" s="92">
        <v>71</v>
      </c>
    </row>
    <row r="450" spans="1:2">
      <c r="A450" s="52" t="s">
        <v>699</v>
      </c>
      <c r="B450" s="92">
        <v>71</v>
      </c>
    </row>
    <row r="451" spans="1:2">
      <c r="A451" s="52" t="s">
        <v>700</v>
      </c>
      <c r="B451" s="92">
        <v>71</v>
      </c>
    </row>
    <row r="452" spans="1:2">
      <c r="A452" s="52" t="s">
        <v>701</v>
      </c>
      <c r="B452" s="92">
        <v>71</v>
      </c>
    </row>
    <row r="453" spans="1:2">
      <c r="A453" s="52" t="s">
        <v>702</v>
      </c>
      <c r="B453" s="92">
        <v>71</v>
      </c>
    </row>
    <row r="454" spans="1:2">
      <c r="A454" s="52" t="s">
        <v>703</v>
      </c>
      <c r="B454" s="92">
        <v>72</v>
      </c>
    </row>
    <row r="455" spans="1:2">
      <c r="A455" s="52" t="s">
        <v>704</v>
      </c>
      <c r="B455" s="92">
        <v>73</v>
      </c>
    </row>
    <row r="456" spans="1:2">
      <c r="A456" s="52" t="s">
        <v>705</v>
      </c>
      <c r="B456" s="92">
        <v>73</v>
      </c>
    </row>
    <row r="457" spans="1:2">
      <c r="A457" s="52" t="s">
        <v>706</v>
      </c>
      <c r="B457" s="92">
        <v>73</v>
      </c>
    </row>
    <row r="458" spans="1:2">
      <c r="A458" s="52" t="s">
        <v>707</v>
      </c>
      <c r="B458" s="92">
        <v>73</v>
      </c>
    </row>
    <row r="459" spans="1:2">
      <c r="A459" s="52" t="s">
        <v>708</v>
      </c>
      <c r="B459" s="92">
        <v>73</v>
      </c>
    </row>
    <row r="460" spans="1:2">
      <c r="A460" s="52" t="s">
        <v>709</v>
      </c>
      <c r="B460" s="92">
        <v>73</v>
      </c>
    </row>
    <row r="461" spans="1:2">
      <c r="A461" s="52" t="s">
        <v>710</v>
      </c>
      <c r="B461" s="92">
        <v>72</v>
      </c>
    </row>
    <row r="462" spans="1:2">
      <c r="A462" s="52" t="s">
        <v>711</v>
      </c>
      <c r="B462" s="92">
        <v>72</v>
      </c>
    </row>
    <row r="463" spans="1:2">
      <c r="A463" s="52" t="s">
        <v>712</v>
      </c>
      <c r="B463" s="92">
        <v>72</v>
      </c>
    </row>
    <row r="464" spans="1:2">
      <c r="A464" s="52" t="s">
        <v>713</v>
      </c>
      <c r="B464" s="92">
        <v>72</v>
      </c>
    </row>
    <row r="465" spans="1:2">
      <c r="A465" s="52" t="s">
        <v>714</v>
      </c>
      <c r="B465" s="92">
        <v>71</v>
      </c>
    </row>
    <row r="466" spans="1:2">
      <c r="A466" s="52" t="s">
        <v>715</v>
      </c>
      <c r="B466" s="92">
        <v>71</v>
      </c>
    </row>
    <row r="467" spans="1:2">
      <c r="A467" s="52" t="s">
        <v>716</v>
      </c>
      <c r="B467" s="92">
        <v>71</v>
      </c>
    </row>
    <row r="468" spans="1:2">
      <c r="A468" s="52" t="s">
        <v>717</v>
      </c>
      <c r="B468" s="92">
        <v>71</v>
      </c>
    </row>
    <row r="469" spans="1:2">
      <c r="A469" s="52" t="s">
        <v>718</v>
      </c>
      <c r="B469" s="92">
        <v>71</v>
      </c>
    </row>
    <row r="470" spans="1:2">
      <c r="A470" s="52" t="s">
        <v>719</v>
      </c>
      <c r="B470" s="92">
        <v>70</v>
      </c>
    </row>
    <row r="471" spans="1:2">
      <c r="A471" s="52" t="s">
        <v>720</v>
      </c>
      <c r="B471" s="92">
        <v>70</v>
      </c>
    </row>
    <row r="472" spans="1:2">
      <c r="A472" s="52" t="s">
        <v>721</v>
      </c>
      <c r="B472" s="92">
        <v>71</v>
      </c>
    </row>
    <row r="473" spans="1:2">
      <c r="A473" s="52" t="s">
        <v>722</v>
      </c>
      <c r="B473" s="92">
        <v>72</v>
      </c>
    </row>
    <row r="474" spans="1:2">
      <c r="A474" s="52" t="s">
        <v>723</v>
      </c>
      <c r="B474" s="92">
        <v>72</v>
      </c>
    </row>
    <row r="475" spans="1:2">
      <c r="A475" s="52" t="s">
        <v>724</v>
      </c>
      <c r="B475" s="92">
        <v>71</v>
      </c>
    </row>
    <row r="476" spans="1:2">
      <c r="A476" s="52" t="s">
        <v>725</v>
      </c>
      <c r="B476" s="92">
        <v>71</v>
      </c>
    </row>
    <row r="477" spans="1:2">
      <c r="A477" s="52" t="s">
        <v>726</v>
      </c>
      <c r="B477" s="92">
        <v>71</v>
      </c>
    </row>
    <row r="478" spans="1:2">
      <c r="A478" s="52" t="s">
        <v>727</v>
      </c>
      <c r="B478" s="92">
        <v>71</v>
      </c>
    </row>
    <row r="479" spans="1:2">
      <c r="A479" s="52" t="s">
        <v>728</v>
      </c>
      <c r="B479" s="92">
        <v>71</v>
      </c>
    </row>
    <row r="480" spans="1:2">
      <c r="A480" s="52" t="s">
        <v>729</v>
      </c>
      <c r="B480" s="92">
        <v>71</v>
      </c>
    </row>
    <row r="481" spans="1:2">
      <c r="A481" s="52" t="s">
        <v>730</v>
      </c>
      <c r="B481" s="92">
        <v>71</v>
      </c>
    </row>
    <row r="482" spans="1:2">
      <c r="A482" s="52" t="s">
        <v>731</v>
      </c>
      <c r="B482" s="92">
        <v>72</v>
      </c>
    </row>
    <row r="483" spans="1:2">
      <c r="A483" s="52" t="s">
        <v>732</v>
      </c>
      <c r="B483" s="92">
        <v>73</v>
      </c>
    </row>
    <row r="484" spans="1:2">
      <c r="A484" s="52" t="s">
        <v>733</v>
      </c>
      <c r="B484" s="92">
        <v>73</v>
      </c>
    </row>
    <row r="485" spans="1:2">
      <c r="A485" s="52" t="s">
        <v>734</v>
      </c>
      <c r="B485" s="92">
        <v>73</v>
      </c>
    </row>
    <row r="486" spans="1:2">
      <c r="A486" s="52" t="s">
        <v>735</v>
      </c>
      <c r="B486" s="92">
        <v>73</v>
      </c>
    </row>
    <row r="487" spans="1:2">
      <c r="A487" s="52" t="s">
        <v>736</v>
      </c>
      <c r="B487" s="92">
        <v>73</v>
      </c>
    </row>
    <row r="488" spans="1:2">
      <c r="A488" s="52" t="s">
        <v>737</v>
      </c>
      <c r="B488" s="92">
        <v>74</v>
      </c>
    </row>
    <row r="489" spans="1:2">
      <c r="A489" s="52" t="s">
        <v>738</v>
      </c>
      <c r="B489" s="92">
        <v>73</v>
      </c>
    </row>
    <row r="490" spans="1:2">
      <c r="A490" s="52" t="s">
        <v>739</v>
      </c>
      <c r="B490" s="92">
        <v>73</v>
      </c>
    </row>
    <row r="491" spans="1:2">
      <c r="A491" s="52" t="s">
        <v>740</v>
      </c>
      <c r="B491" s="92">
        <v>74</v>
      </c>
    </row>
    <row r="492" spans="1:2">
      <c r="A492" s="52" t="s">
        <v>741</v>
      </c>
      <c r="B492" s="92">
        <v>73</v>
      </c>
    </row>
    <row r="493" spans="1:2">
      <c r="A493" s="52" t="s">
        <v>742</v>
      </c>
      <c r="B493" s="92">
        <v>73</v>
      </c>
    </row>
    <row r="494" spans="1:2">
      <c r="A494" s="52" t="s">
        <v>743</v>
      </c>
      <c r="B494" s="92">
        <v>73</v>
      </c>
    </row>
    <row r="495" spans="1:2">
      <c r="A495" s="52" t="s">
        <v>744</v>
      </c>
      <c r="B495" s="92">
        <v>73</v>
      </c>
    </row>
    <row r="496" spans="1:2">
      <c r="A496" s="52" t="s">
        <v>745</v>
      </c>
      <c r="B496" s="92">
        <v>74</v>
      </c>
    </row>
    <row r="497" spans="1:2">
      <c r="A497" s="52" t="s">
        <v>746</v>
      </c>
      <c r="B497" s="92">
        <v>74</v>
      </c>
    </row>
    <row r="498" spans="1:2">
      <c r="A498" s="52" t="s">
        <v>747</v>
      </c>
      <c r="B498" s="92">
        <v>74</v>
      </c>
    </row>
    <row r="499" spans="1:2">
      <c r="A499" s="52" t="s">
        <v>156</v>
      </c>
      <c r="B499" s="92">
        <v>75</v>
      </c>
    </row>
    <row r="500" spans="1:2">
      <c r="A500" s="52" t="s">
        <v>157</v>
      </c>
      <c r="B500" s="92">
        <v>75</v>
      </c>
    </row>
    <row r="501" spans="1:2">
      <c r="A501" s="52" t="s">
        <v>158</v>
      </c>
      <c r="B501" s="92">
        <v>75</v>
      </c>
    </row>
    <row r="502" spans="1:2">
      <c r="A502" s="52" t="s">
        <v>159</v>
      </c>
      <c r="B502" s="92">
        <v>76</v>
      </c>
    </row>
    <row r="503" spans="1:2">
      <c r="A503" s="52" t="s">
        <v>160</v>
      </c>
      <c r="B503" s="92">
        <v>77</v>
      </c>
    </row>
    <row r="504" spans="1:2">
      <c r="A504" s="52" t="s">
        <v>161</v>
      </c>
      <c r="B504" s="92">
        <v>77</v>
      </c>
    </row>
    <row r="505" spans="1:2">
      <c r="A505" s="52" t="s">
        <v>162</v>
      </c>
      <c r="B505" s="92">
        <v>77</v>
      </c>
    </row>
    <row r="506" spans="1:2">
      <c r="A506" s="52" t="s">
        <v>163</v>
      </c>
      <c r="B506" s="92">
        <v>77</v>
      </c>
    </row>
    <row r="507" spans="1:2">
      <c r="A507" s="52" t="s">
        <v>164</v>
      </c>
      <c r="B507" s="92">
        <v>79</v>
      </c>
    </row>
    <row r="508" spans="1:2">
      <c r="A508" s="52" t="s">
        <v>165</v>
      </c>
      <c r="B508" s="92">
        <v>79</v>
      </c>
    </row>
    <row r="509" spans="1:2">
      <c r="A509" s="52" t="s">
        <v>166</v>
      </c>
      <c r="B509" s="92">
        <v>79</v>
      </c>
    </row>
    <row r="510" spans="1:2">
      <c r="A510" s="52" t="s">
        <v>167</v>
      </c>
      <c r="B510" s="92">
        <v>79</v>
      </c>
    </row>
    <row r="511" spans="1:2">
      <c r="A511" s="7">
        <v>1</v>
      </c>
      <c r="B511" s="92">
        <v>80</v>
      </c>
    </row>
    <row r="512" spans="1:2">
      <c r="A512" s="7">
        <v>32</v>
      </c>
      <c r="B512" s="92">
        <v>80</v>
      </c>
    </row>
    <row r="513" spans="1:2">
      <c r="A513" s="7">
        <v>61</v>
      </c>
      <c r="B513" s="92">
        <v>80</v>
      </c>
    </row>
    <row r="514" spans="1:2">
      <c r="A514" s="7">
        <v>92</v>
      </c>
      <c r="B514" s="92">
        <v>80</v>
      </c>
    </row>
    <row r="515" spans="1:2">
      <c r="A515" s="7">
        <v>122</v>
      </c>
      <c r="B515" s="92">
        <v>79</v>
      </c>
    </row>
    <row r="516" spans="1:2">
      <c r="A516" s="7">
        <v>153</v>
      </c>
      <c r="B516" s="92">
        <v>79</v>
      </c>
    </row>
    <row r="517" spans="1:2">
      <c r="A517" s="7">
        <v>183</v>
      </c>
      <c r="B517" s="92">
        <v>79</v>
      </c>
    </row>
    <row r="518" spans="1:2">
      <c r="A518" s="7">
        <v>214</v>
      </c>
      <c r="B518" s="92">
        <v>79</v>
      </c>
    </row>
    <row r="519" spans="1:2">
      <c r="A519" s="7">
        <v>245</v>
      </c>
      <c r="B519" s="92">
        <v>79</v>
      </c>
    </row>
    <row r="520" spans="1:2">
      <c r="A520" s="7">
        <v>275</v>
      </c>
      <c r="B520" s="92">
        <v>80</v>
      </c>
    </row>
    <row r="521" spans="1:2">
      <c r="A521" s="7">
        <v>306</v>
      </c>
      <c r="B521" s="92">
        <v>80</v>
      </c>
    </row>
    <row r="522" spans="1:2">
      <c r="A522" s="7">
        <v>336</v>
      </c>
      <c r="B522" s="92">
        <v>80</v>
      </c>
    </row>
    <row r="523" spans="1:2">
      <c r="A523" s="7">
        <v>367</v>
      </c>
      <c r="B523" s="92">
        <v>80</v>
      </c>
    </row>
    <row r="524" spans="1:2">
      <c r="A524" s="7">
        <v>398</v>
      </c>
      <c r="B524" s="92">
        <v>80</v>
      </c>
    </row>
    <row r="525" spans="1:2">
      <c r="A525" s="7">
        <v>426</v>
      </c>
      <c r="B525" s="92">
        <v>80</v>
      </c>
    </row>
    <row r="526" spans="1:2">
      <c r="A526" s="7">
        <v>457</v>
      </c>
      <c r="B526" s="92">
        <v>81</v>
      </c>
    </row>
    <row r="527" spans="1:2">
      <c r="A527" s="7">
        <v>487</v>
      </c>
      <c r="B527" s="92">
        <v>81</v>
      </c>
    </row>
    <row r="528" spans="1:2">
      <c r="A528" s="7">
        <v>518</v>
      </c>
      <c r="B528" s="92">
        <v>81</v>
      </c>
    </row>
    <row r="529" spans="1:2">
      <c r="A529" s="7">
        <v>548</v>
      </c>
      <c r="B529" s="92">
        <v>81</v>
      </c>
    </row>
    <row r="530" spans="1:2">
      <c r="A530" s="7">
        <v>579</v>
      </c>
      <c r="B530" s="92">
        <v>81</v>
      </c>
    </row>
    <row r="531" spans="1:2">
      <c r="A531" s="7">
        <v>610</v>
      </c>
      <c r="B531" s="92">
        <v>81</v>
      </c>
    </row>
    <row r="532" spans="1:2">
      <c r="A532" s="7">
        <v>640</v>
      </c>
      <c r="B532" s="92">
        <v>82</v>
      </c>
    </row>
    <row r="533" spans="1:2">
      <c r="A533" s="7">
        <v>671</v>
      </c>
      <c r="B533" s="92">
        <v>82</v>
      </c>
    </row>
    <row r="534" spans="1:2">
      <c r="A534" s="7">
        <v>701</v>
      </c>
      <c r="B534" s="92">
        <v>83</v>
      </c>
    </row>
    <row r="535" spans="1:2">
      <c r="A535" s="7">
        <v>732</v>
      </c>
      <c r="B535" s="92">
        <v>82</v>
      </c>
    </row>
    <row r="536" spans="1:2">
      <c r="A536" s="7">
        <v>763</v>
      </c>
      <c r="B536" s="92">
        <v>82</v>
      </c>
    </row>
    <row r="537" spans="1:2">
      <c r="A537" s="7">
        <v>791</v>
      </c>
      <c r="B537" s="92">
        <v>82</v>
      </c>
    </row>
    <row r="538" spans="1:2">
      <c r="A538" s="7">
        <v>822</v>
      </c>
      <c r="B538" s="92">
        <v>83</v>
      </c>
    </row>
    <row r="539" spans="1:2">
      <c r="A539" s="7">
        <v>852</v>
      </c>
      <c r="B539" s="92">
        <v>84</v>
      </c>
    </row>
    <row r="540" spans="1:2">
      <c r="A540" s="7">
        <v>883</v>
      </c>
      <c r="B540" s="92">
        <v>84</v>
      </c>
    </row>
    <row r="541" spans="1:2">
      <c r="A541" s="7">
        <v>913</v>
      </c>
      <c r="B541" s="92">
        <v>84</v>
      </c>
    </row>
    <row r="542" spans="1:2">
      <c r="A542" s="7">
        <v>944</v>
      </c>
      <c r="B542" s="92">
        <v>84</v>
      </c>
    </row>
    <row r="543" spans="1:2">
      <c r="A543" s="7">
        <v>975</v>
      </c>
      <c r="B543" s="92">
        <v>85</v>
      </c>
    </row>
    <row r="544" spans="1:2">
      <c r="A544" s="7">
        <v>1005</v>
      </c>
      <c r="B544" s="92">
        <v>87</v>
      </c>
    </row>
    <row r="545" spans="1:2">
      <c r="A545" s="7">
        <v>1036</v>
      </c>
      <c r="B545" s="92">
        <v>85</v>
      </c>
    </row>
    <row r="546" spans="1:2">
      <c r="A546" s="7">
        <v>1066</v>
      </c>
      <c r="B546" s="92">
        <v>86</v>
      </c>
    </row>
    <row r="547" spans="1:2">
      <c r="A547" s="7">
        <v>1097</v>
      </c>
      <c r="B547" s="92">
        <v>86</v>
      </c>
    </row>
    <row r="548" spans="1:2">
      <c r="A548" s="7">
        <v>1128</v>
      </c>
      <c r="B548" s="92">
        <v>86</v>
      </c>
    </row>
    <row r="549" spans="1:2">
      <c r="A549" s="7">
        <v>1156</v>
      </c>
      <c r="B549" s="92">
        <v>86</v>
      </c>
    </row>
    <row r="550" spans="1:2">
      <c r="A550" s="7">
        <v>1187</v>
      </c>
      <c r="B550" s="92">
        <v>86</v>
      </c>
    </row>
    <row r="551" spans="1:2">
      <c r="A551" s="7">
        <v>1217</v>
      </c>
      <c r="B551" s="92">
        <v>86</v>
      </c>
    </row>
    <row r="552" spans="1:2">
      <c r="A552" s="7">
        <v>1248</v>
      </c>
      <c r="B552" s="92">
        <v>86</v>
      </c>
    </row>
    <row r="553" spans="1:2">
      <c r="A553" s="7">
        <v>1278</v>
      </c>
      <c r="B553" s="92">
        <v>85</v>
      </c>
    </row>
    <row r="554" spans="1:2">
      <c r="A554" s="7">
        <v>1309</v>
      </c>
      <c r="B554" s="92">
        <v>85</v>
      </c>
    </row>
    <row r="555" spans="1:2">
      <c r="A555" s="7">
        <v>1340</v>
      </c>
      <c r="B555" s="92">
        <v>85</v>
      </c>
    </row>
    <row r="556" spans="1:2">
      <c r="A556" s="7">
        <v>1370</v>
      </c>
      <c r="B556" s="92">
        <v>85</v>
      </c>
    </row>
    <row r="557" spans="1:2">
      <c r="A557" s="7">
        <v>1401</v>
      </c>
      <c r="B557" s="92">
        <v>85</v>
      </c>
    </row>
    <row r="558" spans="1:2">
      <c r="A558" s="7">
        <v>1431</v>
      </c>
      <c r="B558" s="92">
        <v>84</v>
      </c>
    </row>
    <row r="559" spans="1:2">
      <c r="A559" s="7">
        <v>1462</v>
      </c>
      <c r="B559" s="92">
        <v>85</v>
      </c>
    </row>
    <row r="560" spans="1:2">
      <c r="A560" s="7">
        <v>1493</v>
      </c>
      <c r="B560" s="92">
        <v>86</v>
      </c>
    </row>
    <row r="561" spans="1:2">
      <c r="A561" s="7">
        <v>1522</v>
      </c>
      <c r="B561" s="92">
        <v>86</v>
      </c>
    </row>
    <row r="562" spans="1:2">
      <c r="A562" s="7">
        <v>1553</v>
      </c>
      <c r="B562" s="92">
        <v>85</v>
      </c>
    </row>
    <row r="563" spans="1:2">
      <c r="A563" s="7">
        <v>1583</v>
      </c>
      <c r="B563" s="92">
        <v>85</v>
      </c>
    </row>
    <row r="564" spans="1:2">
      <c r="A564" s="7">
        <v>1614</v>
      </c>
      <c r="B564" s="92">
        <v>85</v>
      </c>
    </row>
    <row r="565" spans="1:2">
      <c r="A565" s="7">
        <v>1644</v>
      </c>
      <c r="B565" s="92">
        <v>86</v>
      </c>
    </row>
    <row r="566" spans="1:2">
      <c r="A566" s="7">
        <v>1675</v>
      </c>
      <c r="B566" s="92">
        <v>86</v>
      </c>
    </row>
    <row r="567" spans="1:2">
      <c r="A567" s="7">
        <v>1706</v>
      </c>
      <c r="B567" s="92">
        <v>86</v>
      </c>
    </row>
    <row r="568" spans="1:2">
      <c r="A568" s="7">
        <v>1736</v>
      </c>
      <c r="B568" s="92">
        <v>87</v>
      </c>
    </row>
    <row r="569" spans="1:2">
      <c r="A569" s="7">
        <v>1767</v>
      </c>
      <c r="B569" s="92">
        <v>87</v>
      </c>
    </row>
    <row r="570" spans="1:2">
      <c r="A570" s="7">
        <v>1797</v>
      </c>
      <c r="B570" s="92">
        <v>87</v>
      </c>
    </row>
    <row r="571" spans="1:2">
      <c r="A571" s="7">
        <v>1828</v>
      </c>
      <c r="B571" s="92">
        <v>88</v>
      </c>
    </row>
    <row r="572" spans="1:2">
      <c r="A572" s="7">
        <v>1859</v>
      </c>
      <c r="B572" s="92">
        <v>88</v>
      </c>
    </row>
    <row r="573" spans="1:2">
      <c r="A573" s="7">
        <v>1887</v>
      </c>
      <c r="B573" s="92">
        <v>88</v>
      </c>
    </row>
    <row r="574" spans="1:2">
      <c r="A574" s="7">
        <v>1918</v>
      </c>
      <c r="B574" s="92">
        <v>89</v>
      </c>
    </row>
    <row r="575" spans="1:2">
      <c r="A575" s="7">
        <v>1948</v>
      </c>
      <c r="B575" s="92">
        <v>87</v>
      </c>
    </row>
    <row r="576" spans="1:2">
      <c r="A576" s="7">
        <v>1979</v>
      </c>
      <c r="B576" s="92">
        <v>87</v>
      </c>
    </row>
    <row r="577" spans="1:2">
      <c r="A577" s="7">
        <v>2009</v>
      </c>
      <c r="B577" s="92">
        <v>88</v>
      </c>
    </row>
    <row r="578" spans="1:2">
      <c r="A578" s="7">
        <v>2040</v>
      </c>
      <c r="B578" s="92">
        <v>88</v>
      </c>
    </row>
    <row r="579" spans="1:2">
      <c r="A579" s="7">
        <v>2071</v>
      </c>
      <c r="B579" s="92">
        <v>88</v>
      </c>
    </row>
    <row r="580" spans="1:2">
      <c r="A580" s="7">
        <v>2101</v>
      </c>
      <c r="B580" s="92">
        <v>89</v>
      </c>
    </row>
    <row r="581" spans="1:2">
      <c r="A581" s="7">
        <v>2132</v>
      </c>
      <c r="B581" s="92">
        <v>89</v>
      </c>
    </row>
    <row r="582" spans="1:2">
      <c r="A582" s="7">
        <v>2162</v>
      </c>
      <c r="B582" s="92">
        <v>89</v>
      </c>
    </row>
    <row r="583" spans="1:2">
      <c r="A583" s="7">
        <v>2193</v>
      </c>
      <c r="B583" s="92">
        <v>90</v>
      </c>
    </row>
    <row r="584" spans="1:2">
      <c r="A584" s="7">
        <v>2224</v>
      </c>
      <c r="B584" s="92">
        <v>90</v>
      </c>
    </row>
    <row r="585" spans="1:2">
      <c r="A585" s="7">
        <v>2252</v>
      </c>
      <c r="B585" s="92">
        <v>90</v>
      </c>
    </row>
    <row r="586" spans="1:2">
      <c r="A586" s="7">
        <v>2283</v>
      </c>
      <c r="B586" s="92">
        <v>90</v>
      </c>
    </row>
    <row r="587" spans="1:2">
      <c r="A587" s="7">
        <v>2313</v>
      </c>
      <c r="B587" s="92">
        <v>90</v>
      </c>
    </row>
    <row r="588" spans="1:2">
      <c r="A588" s="7">
        <v>2344</v>
      </c>
      <c r="B588" s="92">
        <v>90</v>
      </c>
    </row>
    <row r="589" spans="1:2">
      <c r="A589" s="7">
        <v>2374</v>
      </c>
      <c r="B589" s="92">
        <v>90</v>
      </c>
    </row>
    <row r="590" spans="1:2">
      <c r="A590" s="7">
        <v>2405</v>
      </c>
      <c r="B590" s="92">
        <v>90</v>
      </c>
    </row>
    <row r="591" spans="1:2">
      <c r="A591" s="7">
        <v>2436</v>
      </c>
      <c r="B591" s="92">
        <v>91</v>
      </c>
    </row>
    <row r="592" spans="1:2">
      <c r="A592" s="7">
        <v>2466</v>
      </c>
      <c r="B592" s="92">
        <v>92</v>
      </c>
    </row>
    <row r="593" spans="1:2">
      <c r="A593" s="7">
        <v>2497</v>
      </c>
      <c r="B593" s="92">
        <v>92</v>
      </c>
    </row>
    <row r="594" spans="1:2">
      <c r="A594" s="7">
        <v>2527</v>
      </c>
      <c r="B594" s="92">
        <v>93</v>
      </c>
    </row>
    <row r="595" spans="1:2">
      <c r="A595" s="7">
        <v>2558</v>
      </c>
      <c r="B595" s="92">
        <v>93</v>
      </c>
    </row>
    <row r="596" spans="1:2">
      <c r="A596" s="7">
        <v>2589</v>
      </c>
      <c r="B596" s="92">
        <v>93</v>
      </c>
    </row>
    <row r="597" spans="1:2">
      <c r="A597" s="7">
        <v>2617</v>
      </c>
      <c r="B597" s="92">
        <v>93</v>
      </c>
    </row>
    <row r="598" spans="1:2">
      <c r="A598" s="7">
        <v>2648</v>
      </c>
      <c r="B598" s="92">
        <v>94</v>
      </c>
    </row>
    <row r="599" spans="1:2">
      <c r="A599" s="7">
        <v>2678</v>
      </c>
      <c r="B599" s="92">
        <v>93</v>
      </c>
    </row>
    <row r="600" spans="1:2">
      <c r="A600" s="7">
        <v>2709</v>
      </c>
      <c r="B600" s="92">
        <v>93</v>
      </c>
    </row>
    <row r="601" spans="1:2">
      <c r="A601" s="7">
        <v>2739</v>
      </c>
      <c r="B601" s="92">
        <v>93</v>
      </c>
    </row>
    <row r="602" spans="1:2">
      <c r="A602" s="7">
        <v>2770</v>
      </c>
      <c r="B602" s="92">
        <v>93</v>
      </c>
    </row>
    <row r="603" spans="1:2">
      <c r="A603" s="7">
        <v>2801</v>
      </c>
      <c r="B603" s="92">
        <v>93</v>
      </c>
    </row>
    <row r="604" spans="1:2">
      <c r="A604" s="7">
        <v>2831</v>
      </c>
      <c r="B604" s="92">
        <v>93</v>
      </c>
    </row>
    <row r="605" spans="1:2">
      <c r="A605" s="7">
        <v>2862</v>
      </c>
      <c r="B605" s="92">
        <v>91</v>
      </c>
    </row>
    <row r="606" spans="1:2">
      <c r="A606" s="7">
        <v>2892</v>
      </c>
      <c r="B606" s="92">
        <v>91</v>
      </c>
    </row>
    <row r="607" spans="1:2">
      <c r="A607" s="7">
        <v>2923</v>
      </c>
      <c r="B607" s="92">
        <v>91</v>
      </c>
    </row>
    <row r="608" spans="1:2">
      <c r="A608" s="7">
        <v>2954</v>
      </c>
      <c r="B608" s="92">
        <v>90</v>
      </c>
    </row>
    <row r="609" spans="1:2">
      <c r="A609" s="7">
        <v>2983</v>
      </c>
      <c r="B609" s="92">
        <v>90</v>
      </c>
    </row>
    <row r="610" spans="1:2">
      <c r="A610" s="7">
        <v>3014</v>
      </c>
      <c r="B610" s="92">
        <v>90</v>
      </c>
    </row>
    <row r="611" spans="1:2">
      <c r="A611" s="7">
        <v>3044</v>
      </c>
      <c r="B611" s="92">
        <v>91</v>
      </c>
    </row>
    <row r="612" spans="1:2">
      <c r="A612" s="7">
        <v>3075</v>
      </c>
      <c r="B612" s="92">
        <v>91</v>
      </c>
    </row>
    <row r="613" spans="1:2">
      <c r="A613" s="7">
        <v>3105</v>
      </c>
      <c r="B613" s="92">
        <v>91</v>
      </c>
    </row>
    <row r="614" spans="1:2">
      <c r="A614" s="7">
        <v>3136</v>
      </c>
      <c r="B614" s="92">
        <v>91</v>
      </c>
    </row>
    <row r="615" spans="1:2">
      <c r="A615" s="7">
        <v>3167</v>
      </c>
      <c r="B615" s="92">
        <v>91</v>
      </c>
    </row>
    <row r="616" spans="1:2">
      <c r="A616" s="7">
        <v>3197</v>
      </c>
      <c r="B616" s="92">
        <v>91</v>
      </c>
    </row>
    <row r="617" spans="1:2">
      <c r="A617" s="7">
        <v>3228</v>
      </c>
      <c r="B617" s="92">
        <v>92</v>
      </c>
    </row>
    <row r="618" spans="1:2">
      <c r="A618" s="7">
        <v>3258</v>
      </c>
      <c r="B618" s="92">
        <v>92</v>
      </c>
    </row>
    <row r="619" spans="1:2">
      <c r="A619" s="7">
        <v>3289</v>
      </c>
      <c r="B619" s="92">
        <v>93</v>
      </c>
    </row>
    <row r="620" spans="1:2">
      <c r="A620" s="7">
        <v>3320</v>
      </c>
      <c r="B620" s="92">
        <v>93</v>
      </c>
    </row>
    <row r="621" spans="1:2">
      <c r="A621" s="7">
        <v>3348</v>
      </c>
      <c r="B621" s="92">
        <v>93</v>
      </c>
    </row>
    <row r="622" spans="1:2">
      <c r="A622" s="7">
        <v>3379</v>
      </c>
      <c r="B622" s="92">
        <v>93</v>
      </c>
    </row>
    <row r="623" spans="1:2">
      <c r="A623" s="7">
        <v>3409</v>
      </c>
      <c r="B623" s="92">
        <v>94</v>
      </c>
    </row>
    <row r="624" spans="1:2">
      <c r="A624" s="7">
        <v>3440</v>
      </c>
      <c r="B624" s="92">
        <v>95</v>
      </c>
    </row>
    <row r="625" spans="1:2">
      <c r="A625" s="7">
        <v>3470</v>
      </c>
      <c r="B625" s="92">
        <v>95</v>
      </c>
    </row>
    <row r="626" spans="1:2">
      <c r="A626" s="7">
        <v>3501</v>
      </c>
      <c r="B626" s="92">
        <v>95</v>
      </c>
    </row>
    <row r="627" spans="1:2">
      <c r="A627" s="7">
        <v>3532</v>
      </c>
      <c r="B627" s="92">
        <v>95</v>
      </c>
    </row>
    <row r="628" spans="1:2">
      <c r="A628" s="7">
        <v>3562</v>
      </c>
      <c r="B628" s="92">
        <v>96</v>
      </c>
    </row>
    <row r="629" spans="1:2">
      <c r="A629" s="7">
        <v>3593</v>
      </c>
      <c r="B629" s="92">
        <v>97</v>
      </c>
    </row>
    <row r="630" spans="1:2">
      <c r="A630" s="7">
        <v>3623</v>
      </c>
      <c r="B630" s="92">
        <v>97</v>
      </c>
    </row>
    <row r="631" spans="1:2">
      <c r="A631" s="7">
        <v>3654</v>
      </c>
      <c r="B631" s="92">
        <v>97</v>
      </c>
    </row>
    <row r="632" spans="1:2">
      <c r="A632" s="7">
        <v>3685</v>
      </c>
      <c r="B632" s="92">
        <v>97</v>
      </c>
    </row>
    <row r="633" spans="1:2">
      <c r="A633" s="7">
        <v>3713</v>
      </c>
      <c r="B633" s="92">
        <v>98</v>
      </c>
    </row>
    <row r="634" spans="1:2">
      <c r="A634" s="7">
        <v>3744</v>
      </c>
      <c r="B634" s="92">
        <v>97</v>
      </c>
    </row>
    <row r="635" spans="1:2">
      <c r="A635" s="7">
        <v>3774</v>
      </c>
      <c r="B635" s="92">
        <v>98</v>
      </c>
    </row>
    <row r="636" spans="1:2">
      <c r="A636" s="7">
        <v>3805</v>
      </c>
      <c r="B636" s="92">
        <v>97</v>
      </c>
    </row>
    <row r="637" spans="1:2">
      <c r="A637" s="7">
        <v>3835</v>
      </c>
      <c r="B637" s="92">
        <v>98</v>
      </c>
    </row>
    <row r="638" spans="1:2">
      <c r="A638" s="7">
        <v>3866</v>
      </c>
      <c r="B638" s="92">
        <v>97</v>
      </c>
    </row>
    <row r="639" spans="1:2">
      <c r="A639" s="7">
        <v>3897</v>
      </c>
      <c r="B639" s="92">
        <v>97</v>
      </c>
    </row>
    <row r="640" spans="1:2">
      <c r="A640" s="7">
        <v>3927</v>
      </c>
      <c r="B640" s="92">
        <v>96</v>
      </c>
    </row>
    <row r="641" spans="1:2">
      <c r="A641" s="7">
        <v>3958</v>
      </c>
      <c r="B641" s="92">
        <v>96</v>
      </c>
    </row>
    <row r="642" spans="1:2">
      <c r="A642" s="7">
        <v>3988</v>
      </c>
      <c r="B642" s="92">
        <v>96</v>
      </c>
    </row>
    <row r="643" spans="1:2">
      <c r="A643" s="7">
        <v>4019</v>
      </c>
      <c r="B643" s="92">
        <v>96</v>
      </c>
    </row>
    <row r="644" spans="1:2">
      <c r="A644" s="7">
        <v>4050</v>
      </c>
      <c r="B644" s="92">
        <v>96</v>
      </c>
    </row>
    <row r="645" spans="1:2">
      <c r="A645" s="7">
        <v>4078</v>
      </c>
      <c r="B645" s="92">
        <v>96</v>
      </c>
    </row>
    <row r="646" spans="1:2">
      <c r="A646" s="7">
        <v>4109</v>
      </c>
      <c r="B646" s="92">
        <v>96</v>
      </c>
    </row>
    <row r="647" spans="1:2">
      <c r="A647" s="7">
        <v>4139</v>
      </c>
      <c r="B647" s="92">
        <v>96</v>
      </c>
    </row>
    <row r="648" spans="1:2">
      <c r="A648" s="7">
        <v>4170</v>
      </c>
      <c r="B648" s="92">
        <v>96</v>
      </c>
    </row>
    <row r="649" spans="1:2">
      <c r="A649" s="7">
        <v>4200</v>
      </c>
      <c r="B649" s="92">
        <v>96</v>
      </c>
    </row>
    <row r="650" spans="1:2">
      <c r="A650" s="7">
        <v>4231</v>
      </c>
      <c r="B650" s="92">
        <v>96</v>
      </c>
    </row>
    <row r="651" spans="1:2">
      <c r="A651" s="7">
        <v>4262</v>
      </c>
      <c r="B651" s="92">
        <v>96</v>
      </c>
    </row>
    <row r="652" spans="1:2">
      <c r="A652" s="7">
        <v>4292</v>
      </c>
      <c r="B652" s="92">
        <v>97</v>
      </c>
    </row>
    <row r="653" spans="1:2">
      <c r="A653" s="7">
        <v>4323</v>
      </c>
      <c r="B653" s="92">
        <v>96</v>
      </c>
    </row>
    <row r="654" spans="1:2">
      <c r="A654" s="7">
        <v>4353</v>
      </c>
      <c r="B654" s="92">
        <v>97</v>
      </c>
    </row>
    <row r="655" spans="1:2">
      <c r="A655" s="7">
        <v>4384</v>
      </c>
      <c r="B655" s="92">
        <v>97</v>
      </c>
    </row>
    <row r="656" spans="1:2">
      <c r="A656" s="7">
        <v>4415</v>
      </c>
      <c r="B656" s="92">
        <v>98</v>
      </c>
    </row>
    <row r="657" spans="1:2">
      <c r="A657" s="7">
        <v>4444</v>
      </c>
      <c r="B657" s="92">
        <v>99</v>
      </c>
    </row>
    <row r="658" spans="1:2">
      <c r="A658" s="7">
        <v>4475</v>
      </c>
      <c r="B658" s="92">
        <v>100</v>
      </c>
    </row>
    <row r="659" spans="1:2">
      <c r="A659" s="7">
        <v>4505</v>
      </c>
      <c r="B659" s="92">
        <v>100</v>
      </c>
    </row>
    <row r="660" spans="1:2">
      <c r="A660" s="7">
        <v>4536</v>
      </c>
      <c r="B660" s="92">
        <v>100</v>
      </c>
    </row>
    <row r="661" spans="1:2">
      <c r="A661" s="7">
        <v>4566</v>
      </c>
      <c r="B661" s="92">
        <v>100</v>
      </c>
    </row>
    <row r="662" spans="1:2">
      <c r="A662" s="7">
        <v>4597</v>
      </c>
      <c r="B662" s="92">
        <v>100</v>
      </c>
    </row>
    <row r="663" spans="1:2">
      <c r="A663" s="7">
        <v>4628</v>
      </c>
      <c r="B663" s="92">
        <v>100</v>
      </c>
    </row>
    <row r="664" spans="1:2">
      <c r="A664" s="7">
        <v>4658</v>
      </c>
      <c r="B664" s="92">
        <v>101</v>
      </c>
    </row>
    <row r="665" spans="1:2">
      <c r="A665" s="7">
        <v>4689</v>
      </c>
      <c r="B665" s="92">
        <v>100</v>
      </c>
    </row>
    <row r="666" spans="1:2">
      <c r="A666" s="7">
        <v>4719</v>
      </c>
      <c r="B666" s="92">
        <v>100</v>
      </c>
    </row>
    <row r="667" spans="1:2">
      <c r="A667" s="7">
        <v>4750</v>
      </c>
      <c r="B667" s="92">
        <v>100</v>
      </c>
    </row>
    <row r="668" spans="1:2">
      <c r="A668" s="7">
        <v>4781</v>
      </c>
      <c r="B668" s="92">
        <v>100</v>
      </c>
    </row>
    <row r="669" spans="1:2">
      <c r="A669" s="7">
        <v>4809</v>
      </c>
      <c r="B669" s="92">
        <v>100</v>
      </c>
    </row>
    <row r="670" spans="1:2">
      <c r="A670" s="7">
        <v>4840</v>
      </c>
      <c r="B670" s="92">
        <v>100</v>
      </c>
    </row>
    <row r="671" spans="1:2">
      <c r="A671" s="7">
        <v>4870</v>
      </c>
      <c r="B671" s="92">
        <v>100</v>
      </c>
    </row>
    <row r="672" spans="1:2">
      <c r="A672" s="7">
        <v>4901</v>
      </c>
      <c r="B672" s="92">
        <v>99</v>
      </c>
    </row>
    <row r="673" spans="1:2">
      <c r="A673" s="7">
        <v>4931</v>
      </c>
      <c r="B673" s="92">
        <v>100</v>
      </c>
    </row>
    <row r="674" spans="1:2">
      <c r="A674" s="7">
        <v>4962</v>
      </c>
      <c r="B674" s="92">
        <v>100</v>
      </c>
    </row>
    <row r="675" spans="1:2">
      <c r="A675" s="7">
        <v>4993</v>
      </c>
      <c r="B675" s="92">
        <v>101</v>
      </c>
    </row>
    <row r="676" spans="1:2">
      <c r="A676" s="7">
        <v>5023</v>
      </c>
      <c r="B676" s="92">
        <v>101</v>
      </c>
    </row>
    <row r="677" spans="1:2">
      <c r="A677" s="7">
        <v>5054</v>
      </c>
      <c r="B677" s="92">
        <v>100</v>
      </c>
    </row>
    <row r="678" spans="1:2">
      <c r="A678" s="7">
        <v>5084</v>
      </c>
      <c r="B678" s="92">
        <v>100</v>
      </c>
    </row>
    <row r="679" spans="1:2">
      <c r="A679" s="7">
        <v>5115</v>
      </c>
      <c r="B679" s="92">
        <v>100</v>
      </c>
    </row>
    <row r="680" spans="1:2">
      <c r="A680" s="7">
        <v>5146</v>
      </c>
      <c r="B680" s="92">
        <v>100</v>
      </c>
    </row>
    <row r="681" spans="1:2">
      <c r="A681" s="7">
        <v>5174</v>
      </c>
      <c r="B681" s="92">
        <v>100</v>
      </c>
    </row>
    <row r="682" spans="1:2">
      <c r="A682" s="7">
        <v>5205</v>
      </c>
      <c r="B682" s="92">
        <v>100</v>
      </c>
    </row>
    <row r="683" spans="1:2">
      <c r="A683" s="7">
        <v>5235</v>
      </c>
      <c r="B683" s="92">
        <v>100</v>
      </c>
    </row>
    <row r="684" spans="1:2">
      <c r="A684" s="7">
        <v>5266</v>
      </c>
      <c r="B684" s="92">
        <v>100</v>
      </c>
    </row>
    <row r="685" spans="1:2">
      <c r="A685" s="7">
        <v>5296</v>
      </c>
      <c r="B685" s="92">
        <v>100</v>
      </c>
    </row>
    <row r="686" spans="1:2">
      <c r="A686" s="7">
        <v>5327</v>
      </c>
      <c r="B686" s="92">
        <v>101</v>
      </c>
    </row>
    <row r="687" spans="1:2">
      <c r="A687" s="7">
        <v>5358</v>
      </c>
      <c r="B687" s="92">
        <v>101</v>
      </c>
    </row>
    <row r="688" spans="1:2">
      <c r="A688" s="7">
        <v>5388</v>
      </c>
      <c r="B688" s="92">
        <v>100</v>
      </c>
    </row>
    <row r="689" spans="1:2">
      <c r="A689" s="7">
        <v>5419</v>
      </c>
      <c r="B689" s="92">
        <v>99</v>
      </c>
    </row>
    <row r="690" spans="1:2">
      <c r="A690" s="7">
        <v>5449</v>
      </c>
      <c r="B690" s="92">
        <v>100</v>
      </c>
    </row>
    <row r="691" spans="1:2">
      <c r="A691" s="7">
        <v>5480</v>
      </c>
      <c r="B691" s="92">
        <v>100</v>
      </c>
    </row>
    <row r="692" spans="1:2">
      <c r="A692" s="7">
        <v>5511</v>
      </c>
      <c r="B692" s="92">
        <v>100</v>
      </c>
    </row>
    <row r="693" spans="1:2">
      <c r="A693" s="7">
        <v>5539</v>
      </c>
      <c r="B693" s="92">
        <v>100</v>
      </c>
    </row>
    <row r="694" spans="1:2">
      <c r="A694" s="7">
        <v>5570</v>
      </c>
      <c r="B694" s="92">
        <v>101</v>
      </c>
    </row>
    <row r="695" spans="1:2">
      <c r="A695" s="7">
        <v>5600</v>
      </c>
      <c r="B695" s="92">
        <v>101</v>
      </c>
    </row>
    <row r="696" spans="1:2">
      <c r="A696" s="7">
        <v>5631</v>
      </c>
      <c r="B696" s="92">
        <v>101</v>
      </c>
    </row>
    <row r="697" spans="1:2">
      <c r="A697" s="7">
        <v>5661</v>
      </c>
      <c r="B697" s="92">
        <v>102</v>
      </c>
    </row>
    <row r="698" spans="1:2">
      <c r="A698" s="7">
        <v>5692</v>
      </c>
      <c r="B698" s="92">
        <v>103</v>
      </c>
    </row>
    <row r="699" spans="1:2">
      <c r="A699" s="7">
        <v>5723</v>
      </c>
      <c r="B699" s="92">
        <v>104</v>
      </c>
    </row>
    <row r="700" spans="1:2">
      <c r="A700" s="7">
        <v>5753</v>
      </c>
      <c r="B700" s="92">
        <v>107</v>
      </c>
    </row>
    <row r="701" spans="1:2">
      <c r="A701" s="7">
        <v>5784</v>
      </c>
      <c r="B701" s="92">
        <v>107</v>
      </c>
    </row>
    <row r="702" spans="1:2">
      <c r="A702" s="7">
        <v>5814</v>
      </c>
      <c r="B702" s="92">
        <v>108</v>
      </c>
    </row>
    <row r="703" spans="1:2">
      <c r="A703" s="7">
        <v>5845</v>
      </c>
      <c r="B703" s="92">
        <v>110</v>
      </c>
    </row>
    <row r="704" spans="1:2">
      <c r="A704" s="7">
        <v>5876</v>
      </c>
      <c r="B704" s="92">
        <v>111</v>
      </c>
    </row>
    <row r="705" spans="1:2">
      <c r="A705" s="7">
        <v>5905</v>
      </c>
      <c r="B705" s="92">
        <v>113</v>
      </c>
    </row>
    <row r="706" spans="1:2">
      <c r="A706" s="7">
        <v>5936</v>
      </c>
      <c r="B706" s="92">
        <v>114</v>
      </c>
    </row>
    <row r="707" spans="1:2">
      <c r="A707" s="7">
        <v>5966</v>
      </c>
      <c r="B707" s="92">
        <v>114</v>
      </c>
    </row>
    <row r="708" spans="1:2">
      <c r="A708" s="7">
        <v>5997</v>
      </c>
      <c r="B708" s="92">
        <v>115</v>
      </c>
    </row>
    <row r="709" spans="1:2">
      <c r="A709" s="7">
        <v>6027</v>
      </c>
      <c r="B709" s="92">
        <v>115</v>
      </c>
    </row>
    <row r="710" spans="1:2">
      <c r="A710" s="7">
        <v>6058</v>
      </c>
      <c r="B710" s="92">
        <v>117</v>
      </c>
    </row>
    <row r="711" spans="1:2">
      <c r="A711" s="7">
        <v>6089</v>
      </c>
      <c r="B711" s="92">
        <v>120</v>
      </c>
    </row>
    <row r="712" spans="1:2">
      <c r="A712" s="7">
        <v>6119</v>
      </c>
      <c r="B712" s="92">
        <v>122</v>
      </c>
    </row>
    <row r="713" spans="1:2">
      <c r="A713" s="7">
        <v>6150</v>
      </c>
      <c r="B713" s="92">
        <v>126</v>
      </c>
    </row>
    <row r="714" spans="1:2">
      <c r="A714" s="7">
        <v>6180</v>
      </c>
      <c r="B714" s="92">
        <v>127</v>
      </c>
    </row>
    <row r="715" spans="1:2">
      <c r="A715" s="7">
        <v>6211</v>
      </c>
      <c r="B715" s="92">
        <v>128</v>
      </c>
    </row>
    <row r="716" spans="1:2">
      <c r="A716" s="7">
        <v>6242</v>
      </c>
      <c r="B716" s="92">
        <v>130</v>
      </c>
    </row>
    <row r="717" spans="1:2">
      <c r="A717" s="7">
        <v>6270</v>
      </c>
      <c r="B717" s="92">
        <v>132</v>
      </c>
    </row>
    <row r="718" spans="1:2">
      <c r="A718" s="7">
        <v>6301</v>
      </c>
      <c r="B718" s="92">
        <v>136</v>
      </c>
    </row>
    <row r="719" spans="1:2">
      <c r="A719" s="7">
        <v>6331</v>
      </c>
      <c r="B719" s="92">
        <v>139</v>
      </c>
    </row>
    <row r="720" spans="1:2">
      <c r="A720" s="7">
        <v>6362</v>
      </c>
      <c r="B720" s="92">
        <v>142</v>
      </c>
    </row>
    <row r="721" spans="1:2">
      <c r="A721" s="7">
        <v>6392</v>
      </c>
      <c r="B721" s="92">
        <v>141</v>
      </c>
    </row>
    <row r="722" spans="1:2">
      <c r="A722" s="7">
        <v>6423</v>
      </c>
      <c r="B722" s="92">
        <v>142</v>
      </c>
    </row>
    <row r="723" spans="1:2">
      <c r="A723" s="7">
        <v>6454</v>
      </c>
      <c r="B723" s="92">
        <v>142</v>
      </c>
    </row>
    <row r="724" spans="1:2">
      <c r="A724" s="7">
        <v>6484</v>
      </c>
      <c r="B724" s="92">
        <v>142</v>
      </c>
    </row>
    <row r="725" spans="1:2">
      <c r="A725" s="7">
        <v>6515</v>
      </c>
      <c r="B725" s="92">
        <v>141</v>
      </c>
    </row>
    <row r="726" spans="1:2">
      <c r="A726" s="7">
        <v>6545</v>
      </c>
      <c r="B726" s="92">
        <v>143</v>
      </c>
    </row>
    <row r="727" spans="1:2">
      <c r="A727" s="7">
        <v>6576</v>
      </c>
      <c r="B727" s="92">
        <v>144</v>
      </c>
    </row>
    <row r="728" spans="1:2">
      <c r="A728" s="7">
        <v>6607</v>
      </c>
      <c r="B728" s="92">
        <v>146</v>
      </c>
    </row>
    <row r="729" spans="1:2">
      <c r="A729" s="7">
        <v>6635</v>
      </c>
      <c r="B729" s="92">
        <v>147</v>
      </c>
    </row>
    <row r="730" spans="1:2">
      <c r="A730" s="7">
        <v>6666</v>
      </c>
      <c r="B730" s="92">
        <v>149</v>
      </c>
    </row>
    <row r="731" spans="1:2">
      <c r="A731" s="7">
        <v>6696</v>
      </c>
      <c r="B731" s="92">
        <v>151</v>
      </c>
    </row>
    <row r="732" spans="1:2">
      <c r="A732" s="7">
        <v>6727</v>
      </c>
      <c r="B732" s="92">
        <v>153</v>
      </c>
    </row>
    <row r="733" spans="1:2">
      <c r="A733" s="7">
        <v>6757</v>
      </c>
      <c r="B733" s="92">
        <v>155</v>
      </c>
    </row>
    <row r="734" spans="1:2">
      <c r="A734" s="7">
        <v>6788</v>
      </c>
      <c r="B734" s="92">
        <v>158</v>
      </c>
    </row>
    <row r="735" spans="1:2">
      <c r="A735" s="7">
        <v>6819</v>
      </c>
      <c r="B735" s="92">
        <v>160</v>
      </c>
    </row>
    <row r="736" spans="1:2">
      <c r="A736" s="7">
        <v>6849</v>
      </c>
      <c r="B736" s="92">
        <v>162</v>
      </c>
    </row>
    <row r="737" spans="1:2">
      <c r="A737" s="7">
        <v>6880</v>
      </c>
      <c r="B737" s="92">
        <v>162</v>
      </c>
    </row>
    <row r="738" spans="1:2">
      <c r="A738" s="7">
        <v>6910</v>
      </c>
      <c r="B738" s="92">
        <v>164</v>
      </c>
    </row>
    <row r="739" spans="1:2">
      <c r="A739" s="7">
        <v>6941</v>
      </c>
      <c r="B739" s="92">
        <v>163</v>
      </c>
    </row>
    <row r="740" spans="1:2">
      <c r="A740" s="7">
        <v>6972</v>
      </c>
      <c r="B740" s="92">
        <v>161</v>
      </c>
    </row>
    <row r="741" spans="1:2">
      <c r="A741" s="7">
        <v>7000</v>
      </c>
      <c r="B741" s="92">
        <v>162</v>
      </c>
    </row>
    <row r="742" spans="1:2">
      <c r="A742" s="7">
        <v>7031</v>
      </c>
      <c r="B742" s="92">
        <v>164</v>
      </c>
    </row>
    <row r="743" spans="1:2">
      <c r="A743" s="7">
        <v>7061</v>
      </c>
      <c r="B743" s="92">
        <v>167</v>
      </c>
    </row>
    <row r="744" spans="1:2">
      <c r="A744" s="7">
        <v>7092</v>
      </c>
      <c r="B744" s="92">
        <v>170</v>
      </c>
    </row>
    <row r="745" spans="1:2">
      <c r="A745" s="7">
        <v>7122</v>
      </c>
      <c r="B745" s="92">
        <v>174</v>
      </c>
    </row>
    <row r="746" spans="1:2">
      <c r="A746" s="7">
        <v>7153</v>
      </c>
      <c r="B746" s="92">
        <v>176</v>
      </c>
    </row>
    <row r="747" spans="1:2">
      <c r="A747" s="7">
        <v>7184</v>
      </c>
      <c r="B747" s="92">
        <v>176</v>
      </c>
    </row>
    <row r="748" spans="1:2">
      <c r="A748" s="7">
        <v>7214</v>
      </c>
      <c r="B748" s="92">
        <v>178</v>
      </c>
    </row>
    <row r="749" spans="1:2">
      <c r="A749" s="7">
        <v>7245</v>
      </c>
      <c r="B749" s="92">
        <v>181</v>
      </c>
    </row>
    <row r="750" spans="1:2">
      <c r="A750" s="7">
        <v>7275</v>
      </c>
      <c r="B750" s="92">
        <v>184</v>
      </c>
    </row>
    <row r="751" spans="1:2">
      <c r="A751" s="7">
        <v>7306</v>
      </c>
      <c r="B751" s="92">
        <v>188</v>
      </c>
    </row>
    <row r="752" spans="1:2">
      <c r="A752" s="7">
        <v>7337</v>
      </c>
      <c r="B752" s="92">
        <v>189</v>
      </c>
    </row>
    <row r="753" spans="1:2">
      <c r="A753" s="7">
        <v>7366</v>
      </c>
      <c r="B753" s="92">
        <v>192</v>
      </c>
    </row>
    <row r="754" spans="1:2">
      <c r="A754" s="7">
        <v>7397</v>
      </c>
      <c r="B754" s="92">
        <v>196</v>
      </c>
    </row>
    <row r="755" spans="1:2">
      <c r="A755" s="7">
        <v>7427</v>
      </c>
      <c r="B755" s="92">
        <v>198</v>
      </c>
    </row>
    <row r="756" spans="1:2">
      <c r="A756" s="7">
        <v>7458</v>
      </c>
      <c r="B756" s="92">
        <v>199</v>
      </c>
    </row>
    <row r="757" spans="1:2">
      <c r="A757" s="7">
        <v>7488</v>
      </c>
      <c r="B757" s="92">
        <v>198</v>
      </c>
    </row>
    <row r="758" spans="1:2">
      <c r="A758" s="7">
        <v>7519</v>
      </c>
      <c r="B758" s="92">
        <v>195</v>
      </c>
    </row>
    <row r="759" spans="1:2">
      <c r="A759" s="7">
        <v>7550</v>
      </c>
      <c r="B759" s="92">
        <v>195</v>
      </c>
    </row>
    <row r="760" spans="1:2">
      <c r="A760" s="7">
        <v>7580</v>
      </c>
      <c r="B760" s="92">
        <v>192</v>
      </c>
    </row>
    <row r="761" spans="1:2">
      <c r="A761" s="7">
        <v>7611</v>
      </c>
      <c r="B761" s="92">
        <v>187</v>
      </c>
    </row>
    <row r="762" spans="1:2">
      <c r="A762" s="7">
        <v>7641</v>
      </c>
      <c r="B762" s="92">
        <v>180</v>
      </c>
    </row>
    <row r="763" spans="1:2">
      <c r="A763" s="7">
        <v>7672</v>
      </c>
      <c r="B763" s="92">
        <v>177</v>
      </c>
    </row>
    <row r="764" spans="1:2">
      <c r="A764" s="7">
        <v>7703</v>
      </c>
      <c r="B764" s="92">
        <v>172</v>
      </c>
    </row>
    <row r="765" spans="1:2">
      <c r="A765" s="7">
        <v>7731</v>
      </c>
      <c r="B765" s="92">
        <v>170</v>
      </c>
    </row>
    <row r="766" spans="1:2">
      <c r="A766" s="7">
        <v>7762</v>
      </c>
      <c r="B766" s="92">
        <v>167</v>
      </c>
    </row>
    <row r="767" spans="1:2">
      <c r="A767" s="7">
        <v>7792</v>
      </c>
      <c r="B767" s="92">
        <v>164</v>
      </c>
    </row>
    <row r="768" spans="1:2">
      <c r="A768" s="7">
        <v>7823</v>
      </c>
      <c r="B768" s="92">
        <v>162</v>
      </c>
    </row>
    <row r="769" spans="1:2">
      <c r="A769" s="7">
        <v>7853</v>
      </c>
      <c r="B769" s="92">
        <v>160</v>
      </c>
    </row>
    <row r="770" spans="1:2">
      <c r="A770" s="7">
        <v>7884</v>
      </c>
      <c r="B770" s="92">
        <v>160</v>
      </c>
    </row>
    <row r="771" spans="1:2">
      <c r="A771" s="7">
        <v>7915</v>
      </c>
      <c r="B771" s="92">
        <v>159</v>
      </c>
    </row>
    <row r="772" spans="1:2">
      <c r="A772" s="7">
        <v>7945</v>
      </c>
      <c r="B772" s="92">
        <v>159</v>
      </c>
    </row>
    <row r="773" spans="1:2">
      <c r="A773" s="7">
        <v>7976</v>
      </c>
      <c r="B773" s="92">
        <v>159</v>
      </c>
    </row>
    <row r="774" spans="1:2">
      <c r="A774" s="7">
        <v>8006</v>
      </c>
      <c r="B774" s="92">
        <v>158</v>
      </c>
    </row>
    <row r="775" spans="1:2">
      <c r="A775" s="7">
        <v>8037</v>
      </c>
      <c r="B775" s="92">
        <v>156</v>
      </c>
    </row>
    <row r="776" spans="1:2">
      <c r="A776" s="7">
        <v>8068</v>
      </c>
      <c r="B776" s="92">
        <v>155</v>
      </c>
    </row>
    <row r="777" spans="1:2">
      <c r="A777" s="7">
        <v>8096</v>
      </c>
      <c r="B777" s="92">
        <v>155</v>
      </c>
    </row>
    <row r="778" spans="1:2">
      <c r="A778" s="7">
        <v>8127</v>
      </c>
      <c r="B778" s="92">
        <v>156</v>
      </c>
    </row>
    <row r="779" spans="1:2">
      <c r="A779" s="7">
        <v>8157</v>
      </c>
      <c r="B779" s="92">
        <v>158</v>
      </c>
    </row>
    <row r="780" spans="1:2">
      <c r="A780" s="7">
        <v>8188</v>
      </c>
      <c r="B780" s="92">
        <v>158</v>
      </c>
    </row>
    <row r="781" spans="1:2">
      <c r="A781" s="7">
        <v>8218</v>
      </c>
      <c r="B781" s="92">
        <v>159</v>
      </c>
    </row>
    <row r="782" spans="1:2">
      <c r="A782" s="7">
        <v>8249</v>
      </c>
      <c r="B782" s="92">
        <v>160</v>
      </c>
    </row>
    <row r="783" spans="1:2">
      <c r="A783" s="7">
        <v>8280</v>
      </c>
      <c r="B783" s="92">
        <v>160</v>
      </c>
    </row>
    <row r="784" spans="1:2">
      <c r="A784" s="7">
        <v>8310</v>
      </c>
      <c r="B784" s="92">
        <v>161</v>
      </c>
    </row>
    <row r="785" spans="1:2">
      <c r="A785" s="7">
        <v>8341</v>
      </c>
      <c r="B785" s="92">
        <v>162</v>
      </c>
    </row>
    <row r="786" spans="1:2">
      <c r="A786" s="7">
        <v>8371</v>
      </c>
      <c r="B786" s="92">
        <v>163</v>
      </c>
    </row>
    <row r="787" spans="1:2">
      <c r="A787" s="7">
        <v>8402</v>
      </c>
      <c r="B787" s="92">
        <v>163</v>
      </c>
    </row>
    <row r="788" spans="1:2">
      <c r="A788" s="7">
        <v>8433</v>
      </c>
      <c r="B788" s="92">
        <v>164</v>
      </c>
    </row>
    <row r="789" spans="1:2">
      <c r="A789" s="7">
        <v>8461</v>
      </c>
      <c r="B789" s="92">
        <v>165</v>
      </c>
    </row>
    <row r="790" spans="1:2">
      <c r="A790" s="7">
        <v>8492</v>
      </c>
      <c r="B790" s="92">
        <v>165</v>
      </c>
    </row>
    <row r="791" spans="1:2">
      <c r="A791" s="7">
        <v>8522</v>
      </c>
      <c r="B791" s="92">
        <v>166</v>
      </c>
    </row>
    <row r="792" spans="1:2">
      <c r="A792" s="7">
        <v>8553</v>
      </c>
      <c r="B792" s="92">
        <v>166</v>
      </c>
    </row>
    <row r="793" spans="1:2">
      <c r="A793" s="7">
        <v>8583</v>
      </c>
      <c r="B793" s="92">
        <v>165</v>
      </c>
    </row>
    <row r="794" spans="1:2">
      <c r="A794" s="7">
        <v>8614</v>
      </c>
      <c r="B794" s="92">
        <v>165</v>
      </c>
    </row>
    <row r="795" spans="1:2">
      <c r="A795" s="7">
        <v>8645</v>
      </c>
      <c r="B795" s="92">
        <v>165</v>
      </c>
    </row>
    <row r="796" spans="1:2">
      <c r="A796" s="7">
        <v>8675</v>
      </c>
      <c r="B796" s="92">
        <v>166</v>
      </c>
    </row>
    <row r="797" spans="1:2">
      <c r="A797" s="7">
        <v>8706</v>
      </c>
      <c r="B797" s="92">
        <v>166</v>
      </c>
    </row>
    <row r="798" spans="1:2">
      <c r="A798" s="7">
        <v>8736</v>
      </c>
      <c r="B798" s="92">
        <v>166</v>
      </c>
    </row>
    <row r="799" spans="1:2">
      <c r="A799" s="7">
        <v>8767</v>
      </c>
      <c r="B799" s="92">
        <v>167</v>
      </c>
    </row>
    <row r="800" spans="1:2">
      <c r="A800" s="7">
        <v>8798</v>
      </c>
      <c r="B800" s="92">
        <v>167</v>
      </c>
    </row>
    <row r="801" spans="1:2">
      <c r="A801" s="7">
        <v>8827</v>
      </c>
      <c r="B801" s="92">
        <v>166</v>
      </c>
    </row>
    <row r="802" spans="1:2">
      <c r="A802" s="7">
        <v>8858</v>
      </c>
      <c r="B802" s="92">
        <v>165</v>
      </c>
    </row>
    <row r="803" spans="1:2">
      <c r="A803" s="7">
        <v>8888</v>
      </c>
      <c r="B803" s="92">
        <v>165</v>
      </c>
    </row>
    <row r="804" spans="1:2">
      <c r="A804" s="7">
        <v>8919</v>
      </c>
      <c r="B804" s="92">
        <v>164</v>
      </c>
    </row>
    <row r="805" spans="1:2">
      <c r="A805" s="7">
        <v>8949</v>
      </c>
      <c r="B805" s="92">
        <v>165</v>
      </c>
    </row>
    <row r="806" spans="1:2">
      <c r="A806" s="7">
        <v>8980</v>
      </c>
      <c r="B806" s="92">
        <v>166</v>
      </c>
    </row>
    <row r="807" spans="1:2">
      <c r="A807" s="7">
        <v>9011</v>
      </c>
      <c r="B807" s="92">
        <v>165</v>
      </c>
    </row>
    <row r="808" spans="1:2">
      <c r="A808" s="7">
        <v>9041</v>
      </c>
      <c r="B808" s="92">
        <v>165</v>
      </c>
    </row>
    <row r="809" spans="1:2">
      <c r="A809" s="7">
        <v>9072</v>
      </c>
      <c r="B809" s="92">
        <v>166</v>
      </c>
    </row>
    <row r="810" spans="1:2">
      <c r="A810" s="7">
        <v>9102</v>
      </c>
      <c r="B810" s="92">
        <v>168</v>
      </c>
    </row>
    <row r="811" spans="1:2">
      <c r="A811" s="7">
        <v>9133</v>
      </c>
      <c r="B811" s="92">
        <v>169</v>
      </c>
    </row>
    <row r="812" spans="1:2">
      <c r="A812" s="7">
        <v>9164</v>
      </c>
      <c r="B812" s="92">
        <v>169</v>
      </c>
    </row>
    <row r="813" spans="1:2">
      <c r="A813" s="7">
        <v>9192</v>
      </c>
      <c r="B813" s="92">
        <v>169</v>
      </c>
    </row>
    <row r="814" spans="1:2">
      <c r="A814" s="7">
        <v>9223</v>
      </c>
      <c r="B814" s="92">
        <v>168</v>
      </c>
    </row>
    <row r="815" spans="1:2">
      <c r="A815" s="7">
        <v>9253</v>
      </c>
      <c r="B815" s="92">
        <v>168</v>
      </c>
    </row>
    <row r="816" spans="1:2">
      <c r="A816" s="7">
        <v>9284</v>
      </c>
      <c r="B816" s="92">
        <v>170</v>
      </c>
    </row>
    <row r="817" spans="1:2">
      <c r="A817" s="7">
        <v>9314</v>
      </c>
      <c r="B817" s="92">
        <v>170</v>
      </c>
    </row>
    <row r="818" spans="1:2">
      <c r="A818" s="7">
        <v>9345</v>
      </c>
      <c r="B818" s="92">
        <v>171</v>
      </c>
    </row>
    <row r="819" spans="1:2">
      <c r="A819" s="7">
        <v>9376</v>
      </c>
      <c r="B819" s="92">
        <v>171</v>
      </c>
    </row>
    <row r="820" spans="1:2">
      <c r="A820" s="7">
        <v>9406</v>
      </c>
      <c r="B820" s="92">
        <v>172</v>
      </c>
    </row>
    <row r="821" spans="1:2">
      <c r="A821" s="7">
        <v>9437</v>
      </c>
      <c r="B821" s="92">
        <v>173</v>
      </c>
    </row>
    <row r="822" spans="1:2">
      <c r="A822" s="7">
        <v>9467</v>
      </c>
      <c r="B822" s="92">
        <v>173</v>
      </c>
    </row>
    <row r="823" spans="1:2">
      <c r="A823" s="7">
        <v>9498</v>
      </c>
      <c r="B823" s="92">
        <v>173</v>
      </c>
    </row>
    <row r="824" spans="1:2">
      <c r="A824" s="7">
        <v>9529</v>
      </c>
      <c r="B824" s="92">
        <v>172</v>
      </c>
    </row>
    <row r="825" spans="1:2">
      <c r="A825" s="7">
        <v>9557</v>
      </c>
      <c r="B825" s="92">
        <v>171</v>
      </c>
    </row>
    <row r="826" spans="1:2">
      <c r="A826" s="7">
        <v>9588</v>
      </c>
      <c r="B826" s="92">
        <v>171</v>
      </c>
    </row>
    <row r="827" spans="1:2">
      <c r="A827" s="7">
        <v>9618</v>
      </c>
      <c r="B827" s="92">
        <v>171</v>
      </c>
    </row>
    <row r="828" spans="1:2">
      <c r="A828" s="7">
        <v>9649</v>
      </c>
      <c r="B828" s="92">
        <v>171</v>
      </c>
    </row>
    <row r="829" spans="1:2">
      <c r="A829" s="7">
        <v>9679</v>
      </c>
      <c r="B829" s="92">
        <v>171</v>
      </c>
    </row>
    <row r="830" spans="1:2">
      <c r="A830" s="7">
        <v>9710</v>
      </c>
      <c r="B830" s="92">
        <v>171</v>
      </c>
    </row>
    <row r="831" spans="1:2">
      <c r="A831" s="7">
        <v>9741</v>
      </c>
      <c r="B831" s="92">
        <v>172</v>
      </c>
    </row>
    <row r="832" spans="1:2">
      <c r="A832" s="7">
        <v>9771</v>
      </c>
      <c r="B832" s="92">
        <v>171</v>
      </c>
    </row>
    <row r="833" spans="1:2">
      <c r="A833" s="7">
        <v>9802</v>
      </c>
      <c r="B833" s="92">
        <v>172</v>
      </c>
    </row>
    <row r="834" spans="1:2">
      <c r="A834" s="7">
        <v>9832</v>
      </c>
      <c r="B834" s="92">
        <v>171</v>
      </c>
    </row>
    <row r="835" spans="1:2">
      <c r="A835" s="7">
        <v>9863</v>
      </c>
      <c r="B835" s="92">
        <v>170</v>
      </c>
    </row>
    <row r="836" spans="1:2">
      <c r="A836" s="7">
        <v>9894</v>
      </c>
      <c r="B836" s="92">
        <v>170</v>
      </c>
    </row>
    <row r="837" spans="1:2">
      <c r="A837" s="7">
        <v>9922</v>
      </c>
      <c r="B837" s="92">
        <v>170</v>
      </c>
    </row>
    <row r="838" spans="1:2">
      <c r="A838" s="7">
        <v>9953</v>
      </c>
      <c r="B838" s="92">
        <v>169</v>
      </c>
    </row>
    <row r="839" spans="1:2">
      <c r="A839" s="7">
        <v>9983</v>
      </c>
      <c r="B839" s="92">
        <v>170</v>
      </c>
    </row>
    <row r="840" spans="1:2">
      <c r="A840" s="7">
        <v>10014</v>
      </c>
      <c r="B840" s="92">
        <v>171</v>
      </c>
    </row>
    <row r="841" spans="1:2">
      <c r="A841" s="7">
        <v>10044</v>
      </c>
      <c r="B841" s="92">
        <v>170</v>
      </c>
    </row>
    <row r="842" spans="1:2">
      <c r="A842" s="7">
        <v>10075</v>
      </c>
      <c r="B842" s="92">
        <v>171</v>
      </c>
    </row>
    <row r="843" spans="1:2">
      <c r="A843" s="7">
        <v>10106</v>
      </c>
      <c r="B843" s="92">
        <v>173</v>
      </c>
    </row>
    <row r="844" spans="1:2">
      <c r="A844" s="7">
        <v>10136</v>
      </c>
      <c r="B844" s="92">
        <v>173</v>
      </c>
    </row>
    <row r="845" spans="1:2">
      <c r="A845" s="7">
        <v>10167</v>
      </c>
      <c r="B845" s="92">
        <v>173</v>
      </c>
    </row>
    <row r="846" spans="1:2">
      <c r="A846" s="7">
        <v>10197</v>
      </c>
      <c r="B846" s="92">
        <v>174</v>
      </c>
    </row>
    <row r="847" spans="1:2">
      <c r="A847" s="7">
        <v>10228</v>
      </c>
      <c r="B847" s="92">
        <v>173</v>
      </c>
    </row>
    <row r="848" spans="1:2">
      <c r="A848" s="7">
        <v>10259</v>
      </c>
      <c r="B848" s="92">
        <v>173</v>
      </c>
    </row>
    <row r="849" spans="1:2">
      <c r="A849" s="7">
        <v>10288</v>
      </c>
      <c r="B849" s="92">
        <v>174</v>
      </c>
    </row>
    <row r="850" spans="1:2">
      <c r="A850" s="7">
        <v>10319</v>
      </c>
      <c r="B850" s="92">
        <v>175</v>
      </c>
    </row>
    <row r="851" spans="1:2">
      <c r="A851" s="7">
        <v>10349</v>
      </c>
      <c r="B851" s="92">
        <v>177</v>
      </c>
    </row>
    <row r="852" spans="1:2">
      <c r="A852" s="7">
        <v>10380</v>
      </c>
      <c r="B852" s="92">
        <v>176</v>
      </c>
    </row>
    <row r="853" spans="1:2">
      <c r="A853" s="7">
        <v>10410</v>
      </c>
      <c r="B853" s="92">
        <v>176</v>
      </c>
    </row>
    <row r="854" spans="1:2">
      <c r="A854" s="7">
        <v>10441</v>
      </c>
      <c r="B854" s="92">
        <v>176</v>
      </c>
    </row>
    <row r="855" spans="1:2">
      <c r="A855" s="7">
        <v>10472</v>
      </c>
      <c r="B855" s="92">
        <v>178</v>
      </c>
    </row>
    <row r="856" spans="1:2">
      <c r="A856" s="7">
        <v>10502</v>
      </c>
      <c r="B856" s="92">
        <v>177</v>
      </c>
    </row>
    <row r="857" spans="1:2">
      <c r="A857" s="7">
        <v>10533</v>
      </c>
      <c r="B857" s="92">
        <v>178</v>
      </c>
    </row>
    <row r="858" spans="1:2">
      <c r="A858" s="7">
        <v>10563</v>
      </c>
      <c r="B858" s="92">
        <v>178</v>
      </c>
    </row>
    <row r="859" spans="1:2">
      <c r="A859" s="7">
        <v>10594</v>
      </c>
      <c r="B859" s="92">
        <v>179</v>
      </c>
    </row>
    <row r="860" spans="1:2">
      <c r="A860" s="7">
        <v>10625</v>
      </c>
      <c r="B860" s="92">
        <v>179</v>
      </c>
    </row>
    <row r="861" spans="1:2">
      <c r="A861" s="7">
        <v>10653</v>
      </c>
      <c r="B861" s="92">
        <v>180</v>
      </c>
    </row>
    <row r="862" spans="1:2">
      <c r="A862" s="7">
        <v>10684</v>
      </c>
      <c r="B862" s="92">
        <v>179</v>
      </c>
    </row>
    <row r="863" spans="1:2">
      <c r="A863" s="7">
        <v>10714</v>
      </c>
      <c r="B863" s="92">
        <v>179</v>
      </c>
    </row>
    <row r="864" spans="1:2">
      <c r="A864" s="7">
        <v>10745</v>
      </c>
      <c r="B864" s="92">
        <v>179</v>
      </c>
    </row>
    <row r="865" spans="1:2">
      <c r="A865" s="7">
        <v>10775</v>
      </c>
      <c r="B865" s="92">
        <v>181</v>
      </c>
    </row>
    <row r="866" spans="1:2">
      <c r="A866" s="7">
        <v>10806</v>
      </c>
      <c r="B866" s="92">
        <v>182</v>
      </c>
    </row>
    <row r="867" spans="1:2">
      <c r="A867" s="7">
        <v>10837</v>
      </c>
      <c r="B867" s="92">
        <v>183</v>
      </c>
    </row>
    <row r="868" spans="1:2">
      <c r="A868" s="7">
        <v>10867</v>
      </c>
      <c r="B868" s="92">
        <v>181</v>
      </c>
    </row>
    <row r="869" spans="1:2">
      <c r="A869" s="7">
        <v>10898</v>
      </c>
      <c r="B869" s="92">
        <v>174</v>
      </c>
    </row>
    <row r="870" spans="1:2">
      <c r="A870" s="7">
        <v>10928</v>
      </c>
      <c r="B870" s="92">
        <v>174</v>
      </c>
    </row>
    <row r="871" spans="1:2">
      <c r="A871" s="7">
        <v>10959</v>
      </c>
      <c r="B871" s="92">
        <v>174</v>
      </c>
    </row>
    <row r="872" spans="1:2">
      <c r="A872" s="7">
        <v>10990</v>
      </c>
      <c r="B872" s="92">
        <v>173</v>
      </c>
    </row>
    <row r="873" spans="1:2">
      <c r="A873" s="7">
        <v>11018</v>
      </c>
      <c r="B873" s="92">
        <v>173</v>
      </c>
    </row>
    <row r="874" spans="1:2">
      <c r="A874" s="7">
        <v>11049</v>
      </c>
      <c r="B874" s="92">
        <v>174</v>
      </c>
    </row>
    <row r="875" spans="1:2">
      <c r="A875" s="7">
        <v>11079</v>
      </c>
      <c r="B875" s="92">
        <v>172</v>
      </c>
    </row>
    <row r="876" spans="1:2">
      <c r="A876" s="7">
        <v>11110</v>
      </c>
      <c r="B876" s="92">
        <v>169</v>
      </c>
    </row>
    <row r="877" spans="1:2">
      <c r="A877" s="7">
        <v>11140</v>
      </c>
      <c r="B877" s="92">
        <v>167</v>
      </c>
    </row>
    <row r="878" spans="1:2">
      <c r="A878" s="7">
        <v>11171</v>
      </c>
      <c r="B878" s="92">
        <v>166</v>
      </c>
    </row>
    <row r="879" spans="1:2">
      <c r="A879" s="7">
        <v>11202</v>
      </c>
      <c r="B879" s="92">
        <v>167</v>
      </c>
    </row>
    <row r="880" spans="1:2">
      <c r="A880" s="7">
        <v>11232</v>
      </c>
      <c r="B880" s="92">
        <v>163</v>
      </c>
    </row>
    <row r="881" spans="1:2">
      <c r="A881" s="7">
        <v>11263</v>
      </c>
      <c r="B881" s="92">
        <v>161</v>
      </c>
    </row>
    <row r="882" spans="1:2">
      <c r="A882" s="7">
        <v>11293</v>
      </c>
      <c r="B882" s="92">
        <v>158</v>
      </c>
    </row>
    <row r="883" spans="1:2">
      <c r="A883" s="7">
        <v>11324</v>
      </c>
      <c r="B883" s="92">
        <v>157</v>
      </c>
    </row>
    <row r="884" spans="1:2">
      <c r="A884" s="7">
        <v>11355</v>
      </c>
      <c r="B884" s="92">
        <v>157</v>
      </c>
    </row>
    <row r="885" spans="1:2">
      <c r="A885" s="7">
        <v>11383</v>
      </c>
      <c r="B885" s="92">
        <v>157</v>
      </c>
    </row>
    <row r="886" spans="1:2">
      <c r="A886" s="7">
        <v>11414</v>
      </c>
      <c r="B886" s="92">
        <v>155</v>
      </c>
    </row>
    <row r="887" spans="1:2">
      <c r="A887" s="7">
        <v>11444</v>
      </c>
      <c r="B887" s="92">
        <v>153</v>
      </c>
    </row>
    <row r="888" spans="1:2">
      <c r="A888" s="7">
        <v>11475</v>
      </c>
      <c r="B888" s="92">
        <v>150</v>
      </c>
    </row>
    <row r="889" spans="1:2">
      <c r="A889" s="7">
        <v>11505</v>
      </c>
      <c r="B889" s="92">
        <v>149</v>
      </c>
    </row>
    <row r="890" spans="1:2">
      <c r="A890" s="7">
        <v>11536</v>
      </c>
      <c r="B890" s="92">
        <v>149</v>
      </c>
    </row>
    <row r="891" spans="1:2">
      <c r="A891" s="7">
        <v>11567</v>
      </c>
      <c r="B891" s="92">
        <v>147</v>
      </c>
    </row>
    <row r="892" spans="1:2">
      <c r="A892" s="7">
        <v>11597</v>
      </c>
      <c r="B892" s="92">
        <v>144</v>
      </c>
    </row>
    <row r="893" spans="1:2">
      <c r="A893" s="7">
        <v>11628</v>
      </c>
      <c r="B893" s="92">
        <v>144</v>
      </c>
    </row>
    <row r="894" spans="1:2">
      <c r="A894" s="7">
        <v>11658</v>
      </c>
      <c r="B894" s="92">
        <v>140</v>
      </c>
    </row>
    <row r="895" spans="1:2">
      <c r="A895" s="7">
        <v>11689</v>
      </c>
      <c r="B895" s="92">
        <v>138</v>
      </c>
    </row>
    <row r="896" spans="1:2">
      <c r="A896" s="7">
        <v>11720</v>
      </c>
      <c r="B896" s="92">
        <v>136</v>
      </c>
    </row>
    <row r="897" spans="1:2">
      <c r="A897" s="7">
        <v>11749</v>
      </c>
      <c r="B897" s="92">
        <v>137</v>
      </c>
    </row>
    <row r="898" spans="1:2">
      <c r="A898" s="7">
        <v>11780</v>
      </c>
      <c r="B898" s="92">
        <v>134</v>
      </c>
    </row>
    <row r="899" spans="1:2">
      <c r="A899" s="7">
        <v>11810</v>
      </c>
      <c r="B899" s="92">
        <v>132</v>
      </c>
    </row>
    <row r="900" spans="1:2">
      <c r="A900" s="7">
        <v>11841</v>
      </c>
      <c r="B900" s="92">
        <v>129</v>
      </c>
    </row>
    <row r="901" spans="1:2">
      <c r="A901" s="7">
        <v>11871</v>
      </c>
      <c r="B901" s="92">
        <v>129</v>
      </c>
    </row>
    <row r="902" spans="1:2">
      <c r="A902" s="7">
        <v>11902</v>
      </c>
      <c r="B902" s="92">
        <v>132</v>
      </c>
    </row>
    <row r="903" spans="1:2">
      <c r="A903" s="7">
        <v>11933</v>
      </c>
      <c r="B903" s="92">
        <v>132</v>
      </c>
    </row>
    <row r="904" spans="1:2">
      <c r="A904" s="7">
        <v>11963</v>
      </c>
      <c r="B904" s="92">
        <v>131</v>
      </c>
    </row>
    <row r="905" spans="1:2">
      <c r="A905" s="7">
        <v>11994</v>
      </c>
      <c r="B905" s="92">
        <v>130</v>
      </c>
    </row>
    <row r="906" spans="1:2">
      <c r="A906" s="7">
        <v>12024</v>
      </c>
      <c r="B906" s="92">
        <v>128</v>
      </c>
    </row>
    <row r="907" spans="1:2">
      <c r="A907" s="7">
        <v>12055</v>
      </c>
      <c r="B907" s="92">
        <v>127</v>
      </c>
    </row>
    <row r="908" spans="1:2">
      <c r="A908" s="7">
        <v>12086</v>
      </c>
      <c r="B908" s="92">
        <v>124</v>
      </c>
    </row>
    <row r="909" spans="1:2">
      <c r="A909" s="7">
        <v>12114</v>
      </c>
      <c r="B909" s="92">
        <v>123</v>
      </c>
    </row>
    <row r="910" spans="1:2">
      <c r="A910" s="7">
        <v>12145</v>
      </c>
      <c r="B910" s="92">
        <v>124</v>
      </c>
    </row>
    <row r="911" spans="1:2">
      <c r="A911" s="7">
        <v>12175</v>
      </c>
      <c r="B911" s="92">
        <v>127</v>
      </c>
    </row>
    <row r="912" spans="1:2">
      <c r="A912" s="7">
        <v>12206</v>
      </c>
      <c r="B912" s="92">
        <v>128</v>
      </c>
    </row>
    <row r="913" spans="1:2">
      <c r="A913" s="7">
        <v>12236</v>
      </c>
      <c r="B913" s="92">
        <v>132</v>
      </c>
    </row>
    <row r="914" spans="1:2">
      <c r="A914" s="7">
        <v>12267</v>
      </c>
      <c r="B914" s="92">
        <v>132</v>
      </c>
    </row>
    <row r="915" spans="1:2">
      <c r="A915" s="7">
        <v>12298</v>
      </c>
      <c r="B915" s="92">
        <v>133</v>
      </c>
    </row>
    <row r="916" spans="1:2">
      <c r="A916" s="7">
        <v>12328</v>
      </c>
      <c r="B916" s="92">
        <v>133</v>
      </c>
    </row>
    <row r="917" spans="1:2">
      <c r="A917" s="7">
        <v>12359</v>
      </c>
      <c r="B917" s="92">
        <v>133</v>
      </c>
    </row>
    <row r="918" spans="1:2">
      <c r="A918" s="7">
        <v>12389</v>
      </c>
      <c r="B918" s="92">
        <v>132</v>
      </c>
    </row>
    <row r="919" spans="1:2">
      <c r="A919" s="7">
        <v>12420</v>
      </c>
      <c r="B919" s="92">
        <v>133</v>
      </c>
    </row>
    <row r="920" spans="1:2">
      <c r="A920" s="7">
        <v>12451</v>
      </c>
      <c r="B920" s="92">
        <v>136</v>
      </c>
    </row>
    <row r="921" spans="1:2">
      <c r="A921" s="7">
        <v>12479</v>
      </c>
      <c r="B921" s="92">
        <v>136</v>
      </c>
    </row>
    <row r="922" spans="1:2">
      <c r="A922" s="7">
        <v>12510</v>
      </c>
      <c r="B922" s="92">
        <v>137</v>
      </c>
    </row>
    <row r="923" spans="1:2">
      <c r="A923" s="7">
        <v>12540</v>
      </c>
      <c r="B923" s="92">
        <v>136</v>
      </c>
    </row>
    <row r="924" spans="1:2">
      <c r="A924" s="7">
        <v>12571</v>
      </c>
      <c r="B924" s="92">
        <v>137</v>
      </c>
    </row>
    <row r="925" spans="1:2">
      <c r="A925" s="7">
        <v>12601</v>
      </c>
      <c r="B925" s="92">
        <v>138</v>
      </c>
    </row>
    <row r="926" spans="1:2">
      <c r="A926" s="7">
        <v>12632</v>
      </c>
      <c r="B926" s="92">
        <v>138</v>
      </c>
    </row>
    <row r="927" spans="1:2">
      <c r="A927" s="7">
        <v>12663</v>
      </c>
      <c r="B927" s="92">
        <v>139</v>
      </c>
    </row>
    <row r="928" spans="1:2">
      <c r="A928" s="7">
        <v>12693</v>
      </c>
      <c r="B928" s="92">
        <v>139</v>
      </c>
    </row>
    <row r="929" spans="1:2">
      <c r="A929" s="7">
        <v>12724</v>
      </c>
      <c r="B929" s="92">
        <v>140</v>
      </c>
    </row>
    <row r="930" spans="1:2">
      <c r="A930" s="7">
        <v>12754</v>
      </c>
      <c r="B930" s="92">
        <v>140</v>
      </c>
    </row>
    <row r="931" spans="1:2">
      <c r="A931" s="7">
        <v>12785</v>
      </c>
      <c r="B931" s="92">
        <v>141</v>
      </c>
    </row>
    <row r="932" spans="1:2">
      <c r="A932" s="7">
        <v>12816</v>
      </c>
      <c r="B932" s="92">
        <v>142</v>
      </c>
    </row>
    <row r="933" spans="1:2">
      <c r="A933" s="7">
        <v>12844</v>
      </c>
      <c r="B933" s="92">
        <v>141</v>
      </c>
    </row>
    <row r="934" spans="1:2">
      <c r="A934" s="7">
        <v>12875</v>
      </c>
      <c r="B934" s="92">
        <v>142</v>
      </c>
    </row>
    <row r="935" spans="1:2">
      <c r="A935" s="7">
        <v>12905</v>
      </c>
      <c r="B935" s="92">
        <v>143</v>
      </c>
    </row>
    <row r="936" spans="1:2">
      <c r="A936" s="7">
        <v>12936</v>
      </c>
      <c r="B936" s="92">
        <v>144</v>
      </c>
    </row>
    <row r="937" spans="1:2">
      <c r="A937" s="7">
        <v>12966</v>
      </c>
      <c r="B937" s="92">
        <v>145</v>
      </c>
    </row>
    <row r="938" spans="1:2">
      <c r="A938" s="7">
        <v>12997</v>
      </c>
      <c r="B938" s="92">
        <v>146</v>
      </c>
    </row>
    <row r="939" spans="1:2">
      <c r="A939" s="7">
        <v>13028</v>
      </c>
      <c r="B939" s="92">
        <v>147</v>
      </c>
    </row>
    <row r="940" spans="1:2">
      <c r="A940" s="7">
        <v>13058</v>
      </c>
      <c r="B940" s="92">
        <v>148</v>
      </c>
    </row>
    <row r="941" spans="1:2">
      <c r="A941" s="7">
        <v>13089</v>
      </c>
      <c r="B941" s="92">
        <v>149</v>
      </c>
    </row>
    <row r="942" spans="1:2">
      <c r="A942" s="7">
        <v>13119</v>
      </c>
      <c r="B942" s="92">
        <v>149</v>
      </c>
    </row>
    <row r="943" spans="1:2">
      <c r="A943" s="7">
        <v>13150</v>
      </c>
      <c r="B943" s="92">
        <v>150</v>
      </c>
    </row>
    <row r="944" spans="1:2">
      <c r="A944" s="7">
        <v>13181</v>
      </c>
      <c r="B944" s="92">
        <v>151</v>
      </c>
    </row>
    <row r="945" spans="1:2">
      <c r="A945" s="7">
        <v>13210</v>
      </c>
      <c r="B945" s="92">
        <v>151</v>
      </c>
    </row>
    <row r="946" spans="1:2">
      <c r="A946" s="7">
        <v>13241</v>
      </c>
      <c r="B946" s="92">
        <v>150</v>
      </c>
    </row>
    <row r="947" spans="1:2">
      <c r="A947" s="7">
        <v>13271</v>
      </c>
      <c r="B947" s="92">
        <v>150</v>
      </c>
    </row>
    <row r="948" spans="1:2">
      <c r="A948" s="7">
        <v>13302</v>
      </c>
      <c r="B948" s="92">
        <v>152</v>
      </c>
    </row>
    <row r="949" spans="1:2">
      <c r="A949" s="7">
        <v>13332</v>
      </c>
      <c r="B949" s="92">
        <v>154</v>
      </c>
    </row>
    <row r="950" spans="1:2">
      <c r="A950" s="7">
        <v>13363</v>
      </c>
      <c r="B950" s="92">
        <v>156</v>
      </c>
    </row>
    <row r="951" spans="1:2">
      <c r="A951" s="7">
        <v>13394</v>
      </c>
      <c r="B951" s="92">
        <v>156</v>
      </c>
    </row>
    <row r="952" spans="1:2">
      <c r="A952" s="7">
        <v>13424</v>
      </c>
      <c r="B952" s="92">
        <v>156</v>
      </c>
    </row>
    <row r="953" spans="1:2">
      <c r="A953" s="7">
        <v>13455</v>
      </c>
      <c r="B953" s="92">
        <v>158</v>
      </c>
    </row>
    <row r="954" spans="1:2">
      <c r="A954" s="7">
        <v>13485</v>
      </c>
      <c r="B954" s="92">
        <v>159</v>
      </c>
    </row>
    <row r="955" spans="1:2">
      <c r="A955" s="7">
        <v>13516</v>
      </c>
      <c r="B955" s="92">
        <v>161</v>
      </c>
    </row>
    <row r="956" spans="1:2">
      <c r="A956" s="7">
        <v>13547</v>
      </c>
      <c r="B956" s="92">
        <v>162</v>
      </c>
    </row>
    <row r="957" spans="1:2">
      <c r="A957" s="7">
        <v>13575</v>
      </c>
      <c r="B957" s="92">
        <v>163</v>
      </c>
    </row>
    <row r="958" spans="1:2">
      <c r="A958" s="7">
        <v>13606</v>
      </c>
      <c r="B958" s="92">
        <v>162</v>
      </c>
    </row>
    <row r="959" spans="1:2">
      <c r="A959" s="7">
        <v>13636</v>
      </c>
      <c r="B959" s="92">
        <v>162</v>
      </c>
    </row>
    <row r="960" spans="1:2">
      <c r="A960" s="7">
        <v>13667</v>
      </c>
      <c r="B960" s="92">
        <v>162</v>
      </c>
    </row>
    <row r="961" spans="1:2">
      <c r="A961" s="7">
        <v>13697</v>
      </c>
      <c r="B961" s="92">
        <v>163</v>
      </c>
    </row>
    <row r="962" spans="1:2">
      <c r="A962" s="7">
        <v>13728</v>
      </c>
      <c r="B962" s="92">
        <v>163</v>
      </c>
    </row>
    <row r="963" spans="1:2">
      <c r="A963" s="7">
        <v>13759</v>
      </c>
      <c r="B963" s="92">
        <v>161</v>
      </c>
    </row>
    <row r="964" spans="1:2">
      <c r="A964" s="7">
        <v>13789</v>
      </c>
      <c r="B964" s="92">
        <v>158</v>
      </c>
    </row>
    <row r="965" spans="1:2">
      <c r="A965" s="7">
        <v>13820</v>
      </c>
      <c r="B965" s="92">
        <v>156</v>
      </c>
    </row>
    <row r="966" spans="1:2">
      <c r="A966" s="7">
        <v>13850</v>
      </c>
      <c r="B966" s="92">
        <v>155</v>
      </c>
    </row>
    <row r="967" spans="1:2">
      <c r="A967" s="7">
        <v>13881</v>
      </c>
      <c r="B967" s="92">
        <v>155</v>
      </c>
    </row>
    <row r="968" spans="1:2">
      <c r="A968" s="7">
        <v>13912</v>
      </c>
      <c r="B968" s="92">
        <v>154</v>
      </c>
    </row>
    <row r="969" spans="1:2">
      <c r="A969" s="7">
        <v>13940</v>
      </c>
      <c r="B969" s="92">
        <v>152</v>
      </c>
    </row>
    <row r="970" spans="1:2">
      <c r="A970" s="7">
        <v>13971</v>
      </c>
      <c r="B970" s="92">
        <v>152</v>
      </c>
    </row>
    <row r="971" spans="1:2">
      <c r="A971" s="7">
        <v>14001</v>
      </c>
      <c r="B971" s="92">
        <v>152</v>
      </c>
    </row>
    <row r="972" spans="1:2">
      <c r="A972" s="7">
        <v>14032</v>
      </c>
      <c r="B972" s="92">
        <v>152</v>
      </c>
    </row>
    <row r="973" spans="1:2">
      <c r="A973" s="7">
        <v>14062</v>
      </c>
      <c r="B973" s="92">
        <v>155</v>
      </c>
    </row>
    <row r="974" spans="1:2">
      <c r="A974" s="7">
        <v>14093</v>
      </c>
      <c r="B974" s="92">
        <v>154</v>
      </c>
    </row>
    <row r="975" spans="1:2">
      <c r="A975" s="7">
        <v>14124</v>
      </c>
      <c r="B975" s="92">
        <v>154</v>
      </c>
    </row>
    <row r="976" spans="1:2">
      <c r="A976" s="7">
        <v>14154</v>
      </c>
      <c r="B976" s="92">
        <v>155</v>
      </c>
    </row>
    <row r="977" spans="1:2">
      <c r="A977" s="7">
        <v>14185</v>
      </c>
      <c r="B977" s="92">
        <v>154</v>
      </c>
    </row>
    <row r="978" spans="1:2">
      <c r="A978" s="7">
        <v>14215</v>
      </c>
      <c r="B978" s="92">
        <v>155</v>
      </c>
    </row>
    <row r="979" spans="1:2">
      <c r="A979" s="7">
        <v>14246</v>
      </c>
      <c r="B979" s="92">
        <v>155</v>
      </c>
    </row>
    <row r="980" spans="1:2">
      <c r="A980" s="7">
        <v>14277</v>
      </c>
      <c r="B980" s="92">
        <v>154</v>
      </c>
    </row>
    <row r="981" spans="1:2">
      <c r="A981" s="7">
        <v>14305</v>
      </c>
      <c r="B981" s="92">
        <v>153</v>
      </c>
    </row>
    <row r="982" spans="1:2">
      <c r="A982" s="7">
        <v>14336</v>
      </c>
      <c r="B982" s="92">
        <v>152</v>
      </c>
    </row>
    <row r="983" spans="1:2">
      <c r="A983" s="7">
        <v>14366</v>
      </c>
      <c r="B983" s="92">
        <v>152</v>
      </c>
    </row>
    <row r="984" spans="1:2">
      <c r="A984" s="7">
        <v>14397</v>
      </c>
      <c r="B984" s="92">
        <v>152</v>
      </c>
    </row>
    <row r="985" spans="1:2">
      <c r="A985" s="7">
        <v>14427</v>
      </c>
      <c r="B985" s="92">
        <v>153</v>
      </c>
    </row>
    <row r="986" spans="1:2">
      <c r="A986" s="7">
        <v>14458</v>
      </c>
      <c r="B986" s="92">
        <v>152</v>
      </c>
    </row>
    <row r="987" spans="1:2">
      <c r="A987" s="7">
        <v>14489</v>
      </c>
      <c r="B987" s="92">
        <v>155</v>
      </c>
    </row>
    <row r="988" spans="1:2">
      <c r="A988" s="7">
        <v>14519</v>
      </c>
      <c r="B988" s="92">
        <v>155</v>
      </c>
    </row>
    <row r="989" spans="1:2">
      <c r="A989" s="7">
        <v>14550</v>
      </c>
      <c r="B989" s="92">
        <v>155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71"/>
  <sheetViews>
    <sheetView workbookViewId="0">
      <selection activeCell="K33" sqref="K33"/>
    </sheetView>
  </sheetViews>
  <sheetFormatPr baseColWidth="10" defaultColWidth="11" defaultRowHeight="15" x14ac:dyDescent="0"/>
  <cols>
    <col min="1" max="1" width="20.6640625" customWidth="1"/>
  </cols>
  <sheetData>
    <row r="1" spans="1:3" ht="21">
      <c r="A1" s="93" t="s">
        <v>748</v>
      </c>
    </row>
    <row r="2" spans="1:3">
      <c r="A2" s="94" t="s">
        <v>749</v>
      </c>
    </row>
    <row r="3" spans="1:3">
      <c r="A3" s="95" t="s">
        <v>750</v>
      </c>
      <c r="B3" s="96">
        <v>41377.903564814813</v>
      </c>
      <c r="C3" s="96"/>
    </row>
    <row r="4" spans="1:3">
      <c r="A4" s="95" t="s">
        <v>751</v>
      </c>
      <c r="B4" s="97" t="str">
        <f>HYPERLINK("http://datamarket.com/data/set/22ul/#!display=line&amp;ds=22ul","http://datamarket.com/data/set/22ul/#!display=line&amp;ds=22ul")</f>
        <v>http://datamarket.com/data/set/22ul/#!display=line&amp;ds=22ul</v>
      </c>
    </row>
    <row r="5" spans="1:3">
      <c r="A5" s="95" t="s">
        <v>752</v>
      </c>
      <c r="B5" s="98" t="s">
        <v>753</v>
      </c>
    </row>
    <row r="6" spans="1:3">
      <c r="A6" s="95" t="s">
        <v>754</v>
      </c>
      <c r="B6" s="98" t="s">
        <v>755</v>
      </c>
    </row>
    <row r="7" spans="1:3">
      <c r="A7" s="95" t="s">
        <v>756</v>
      </c>
      <c r="B7" s="97" t="str">
        <f>HYPERLINK("http://datamarket.com/data/list/?q=provider:tsdl","http://datamarket.com/data/list/?q=provider:tsdl")</f>
        <v>http://datamarket.com/data/list/?q=provider:tsdl</v>
      </c>
    </row>
    <row r="8" spans="1:3">
      <c r="A8" s="95" t="s">
        <v>757</v>
      </c>
      <c r="B8" s="98"/>
    </row>
    <row r="12" spans="1:3">
      <c r="A12" s="99" t="s">
        <v>0</v>
      </c>
      <c r="B12" s="99" t="s">
        <v>748</v>
      </c>
    </row>
    <row r="13" spans="1:3">
      <c r="A13" s="100">
        <v>1860</v>
      </c>
      <c r="B13" s="98">
        <v>27</v>
      </c>
    </row>
    <row r="14" spans="1:3">
      <c r="A14" s="100">
        <v>1860</v>
      </c>
      <c r="B14" s="98">
        <v>27</v>
      </c>
    </row>
    <row r="15" spans="1:3">
      <c r="A15" s="100">
        <v>1860</v>
      </c>
      <c r="B15" s="98">
        <v>30</v>
      </c>
    </row>
    <row r="16" spans="1:3">
      <c r="A16" s="100">
        <v>1860</v>
      </c>
      <c r="B16" s="98">
        <v>37</v>
      </c>
    </row>
    <row r="17" spans="1:2">
      <c r="A17" s="100">
        <v>1860</v>
      </c>
      <c r="B17" s="98">
        <v>48</v>
      </c>
    </row>
    <row r="18" spans="1:2">
      <c r="A18" s="100">
        <v>1860</v>
      </c>
      <c r="B18" s="98">
        <v>47</v>
      </c>
    </row>
    <row r="19" spans="1:2">
      <c r="A19" s="100">
        <v>1860</v>
      </c>
      <c r="B19" s="98">
        <v>44</v>
      </c>
    </row>
    <row r="20" spans="1:2">
      <c r="A20" s="100">
        <v>1860</v>
      </c>
      <c r="B20" s="98">
        <v>43</v>
      </c>
    </row>
    <row r="21" spans="1:2">
      <c r="A21" s="100">
        <v>1860</v>
      </c>
      <c r="B21" s="98">
        <v>41</v>
      </c>
    </row>
    <row r="22" spans="1:2">
      <c r="A22" s="100">
        <v>1860</v>
      </c>
      <c r="B22" s="98">
        <v>40</v>
      </c>
    </row>
    <row r="23" spans="1:2">
      <c r="A23" s="100">
        <v>1860</v>
      </c>
      <c r="B23" s="98">
        <v>38</v>
      </c>
    </row>
    <row r="24" spans="1:2">
      <c r="A24" s="100">
        <v>1860</v>
      </c>
      <c r="B24" s="98">
        <v>37</v>
      </c>
    </row>
    <row r="25" spans="1:2">
      <c r="A25" s="100">
        <v>1860</v>
      </c>
      <c r="B25" s="98">
        <v>37</v>
      </c>
    </row>
    <row r="26" spans="1:2">
      <c r="A26" s="100">
        <v>1860</v>
      </c>
      <c r="B26" s="98">
        <v>37</v>
      </c>
    </row>
    <row r="27" spans="1:2">
      <c r="A27" s="100">
        <v>1860</v>
      </c>
      <c r="B27" s="98">
        <v>35</v>
      </c>
    </row>
    <row r="28" spans="1:2">
      <c r="A28" s="100">
        <v>1860</v>
      </c>
      <c r="B28" s="98">
        <v>33</v>
      </c>
    </row>
    <row r="29" spans="1:2">
      <c r="A29" s="100">
        <v>1860</v>
      </c>
      <c r="B29" s="98">
        <v>32</v>
      </c>
    </row>
    <row r="30" spans="1:2">
      <c r="A30" s="100">
        <v>1860</v>
      </c>
      <c r="B30" s="98">
        <v>32</v>
      </c>
    </row>
    <row r="31" spans="1:2">
      <c r="A31" s="100">
        <v>1860</v>
      </c>
      <c r="B31" s="98">
        <v>30</v>
      </c>
    </row>
    <row r="32" spans="1:2">
      <c r="A32" s="100">
        <v>1860</v>
      </c>
      <c r="B32" s="98">
        <v>29</v>
      </c>
    </row>
    <row r="33" spans="1:2">
      <c r="A33" s="100">
        <v>1860</v>
      </c>
      <c r="B33" s="98">
        <v>30</v>
      </c>
    </row>
    <row r="34" spans="1:2">
      <c r="A34" s="100">
        <v>1860</v>
      </c>
      <c r="B34" s="98">
        <v>30</v>
      </c>
    </row>
    <row r="35" spans="1:2">
      <c r="A35" s="100">
        <v>1860</v>
      </c>
      <c r="B35" s="98">
        <v>30</v>
      </c>
    </row>
    <row r="36" spans="1:2">
      <c r="A36" s="100">
        <v>1860</v>
      </c>
      <c r="B36" s="98">
        <v>29</v>
      </c>
    </row>
    <row r="37" spans="1:2">
      <c r="A37" s="100">
        <v>1860</v>
      </c>
      <c r="B37" s="98">
        <v>28</v>
      </c>
    </row>
    <row r="38" spans="1:2">
      <c r="A38" s="100">
        <v>1860</v>
      </c>
      <c r="B38" s="98">
        <v>28</v>
      </c>
    </row>
    <row r="39" spans="1:2">
      <c r="A39" s="100">
        <v>1860</v>
      </c>
      <c r="B39" s="98">
        <v>28</v>
      </c>
    </row>
    <row r="40" spans="1:2">
      <c r="A40" s="100">
        <v>1860</v>
      </c>
      <c r="B40" s="98">
        <v>28</v>
      </c>
    </row>
    <row r="41" spans="1:2">
      <c r="A41" s="100">
        <v>1860</v>
      </c>
      <c r="B41" s="98">
        <v>28</v>
      </c>
    </row>
    <row r="42" spans="1:2">
      <c r="A42" s="100">
        <v>1860</v>
      </c>
      <c r="B42" s="98">
        <v>28</v>
      </c>
    </row>
    <row r="43" spans="1:2">
      <c r="A43" s="100">
        <v>1860</v>
      </c>
      <c r="B43" s="98">
        <v>28</v>
      </c>
    </row>
    <row r="44" spans="1:2">
      <c r="A44" s="100">
        <v>1860</v>
      </c>
      <c r="B44" s="98">
        <v>28</v>
      </c>
    </row>
    <row r="45" spans="1:2">
      <c r="A45" s="100">
        <v>1860</v>
      </c>
      <c r="B45" s="98">
        <v>28</v>
      </c>
    </row>
    <row r="46" spans="1:2">
      <c r="A46" s="100">
        <v>1860</v>
      </c>
      <c r="B46" s="98">
        <v>28</v>
      </c>
    </row>
    <row r="47" spans="1:2">
      <c r="A47" s="100">
        <v>1860</v>
      </c>
      <c r="B47" s="98">
        <v>26</v>
      </c>
    </row>
    <row r="48" spans="1:2">
      <c r="A48" s="100">
        <v>1860</v>
      </c>
      <c r="B48" s="98">
        <v>25</v>
      </c>
    </row>
    <row r="49" spans="1:2">
      <c r="A49" s="100">
        <v>1860</v>
      </c>
      <c r="B49" s="98">
        <v>25</v>
      </c>
    </row>
    <row r="50" spans="1:2">
      <c r="A50" s="100">
        <v>1860</v>
      </c>
      <c r="B50" s="98">
        <v>25</v>
      </c>
    </row>
    <row r="51" spans="1:2">
      <c r="A51" s="100">
        <v>1860</v>
      </c>
      <c r="B51" s="98">
        <v>25</v>
      </c>
    </row>
    <row r="52" spans="1:2">
      <c r="A52" s="100">
        <v>1860</v>
      </c>
      <c r="B52" s="98">
        <v>25</v>
      </c>
    </row>
    <row r="53" spans="1:2">
      <c r="A53" s="100">
        <v>1860</v>
      </c>
      <c r="B53" s="98">
        <v>25</v>
      </c>
    </row>
    <row r="54" spans="1:2">
      <c r="A54" s="100">
        <v>1860</v>
      </c>
      <c r="B54" s="98">
        <v>25</v>
      </c>
    </row>
    <row r="55" spans="1:2">
      <c r="A55" s="100">
        <v>1860</v>
      </c>
      <c r="B55" s="98">
        <v>26</v>
      </c>
    </row>
    <row r="56" spans="1:2">
      <c r="A56" s="100">
        <v>1860</v>
      </c>
      <c r="B56" s="98">
        <v>27</v>
      </c>
    </row>
    <row r="57" spans="1:2">
      <c r="A57" s="100">
        <v>1860</v>
      </c>
      <c r="B57" s="98">
        <v>27</v>
      </c>
    </row>
    <row r="58" spans="1:2">
      <c r="A58" s="100">
        <v>1860</v>
      </c>
      <c r="B58" s="98">
        <v>27</v>
      </c>
    </row>
    <row r="59" spans="1:2">
      <c r="A59" s="100">
        <v>1860</v>
      </c>
      <c r="B59" s="98">
        <v>28</v>
      </c>
    </row>
    <row r="60" spans="1:2">
      <c r="A60" s="100">
        <v>1860</v>
      </c>
      <c r="B60" s="98">
        <v>29</v>
      </c>
    </row>
    <row r="61" spans="1:2">
      <c r="A61" s="100">
        <v>1860</v>
      </c>
      <c r="B61" s="98">
        <v>28</v>
      </c>
    </row>
    <row r="62" spans="1:2">
      <c r="A62" s="100">
        <v>1860</v>
      </c>
      <c r="B62" s="98">
        <v>28</v>
      </c>
    </row>
    <row r="63" spans="1:2">
      <c r="A63" s="100">
        <v>1860</v>
      </c>
      <c r="B63" s="98">
        <v>29</v>
      </c>
    </row>
    <row r="64" spans="1:2">
      <c r="A64" s="100">
        <v>1860</v>
      </c>
      <c r="B64" s="98">
        <v>29</v>
      </c>
    </row>
    <row r="65" spans="1:2">
      <c r="A65" s="100">
        <v>1860</v>
      </c>
      <c r="B65" s="98">
        <v>30</v>
      </c>
    </row>
    <row r="66" spans="1:2">
      <c r="A66" s="100">
        <v>1860</v>
      </c>
      <c r="B66" s="98">
        <v>29.7</v>
      </c>
    </row>
    <row r="67" spans="1:2">
      <c r="A67" s="100">
        <v>1860</v>
      </c>
      <c r="B67" s="98">
        <v>30.1</v>
      </c>
    </row>
    <row r="68" spans="1:2">
      <c r="A68" s="100">
        <v>1860</v>
      </c>
      <c r="B68" s="98">
        <v>30.4</v>
      </c>
    </row>
    <row r="69" spans="1:2">
      <c r="A69" s="100">
        <v>1860</v>
      </c>
      <c r="B69" s="98">
        <v>32.700000000000003</v>
      </c>
    </row>
    <row r="70" spans="1:2">
      <c r="A70" s="100">
        <v>1860</v>
      </c>
      <c r="B70" s="98">
        <v>38.4</v>
      </c>
    </row>
    <row r="71" spans="1:2">
      <c r="A71" s="100">
        <v>1860</v>
      </c>
      <c r="B71" s="98">
        <v>45.1</v>
      </c>
    </row>
    <row r="72" spans="1:2">
      <c r="A72" s="100">
        <v>1860</v>
      </c>
      <c r="B72" s="98">
        <v>51.8</v>
      </c>
    </row>
    <row r="73" spans="1:2">
      <c r="A73" s="100">
        <v>1860</v>
      </c>
      <c r="B73" s="98">
        <v>60</v>
      </c>
    </row>
    <row r="74" spans="1:2">
      <c r="A74" s="100">
        <v>1860</v>
      </c>
      <c r="B74" s="98">
        <v>53.6</v>
      </c>
    </row>
    <row r="75" spans="1:2">
      <c r="A75" s="100">
        <v>1860</v>
      </c>
      <c r="B75" s="98">
        <v>50.2</v>
      </c>
    </row>
    <row r="76" spans="1:2">
      <c r="A76" s="100">
        <v>1860</v>
      </c>
      <c r="B76" s="98">
        <v>51.1</v>
      </c>
    </row>
    <row r="77" spans="1:2">
      <c r="A77" s="100">
        <v>1860</v>
      </c>
      <c r="B77" s="98">
        <v>51.2</v>
      </c>
    </row>
    <row r="78" spans="1:2">
      <c r="A78" s="100">
        <v>1860</v>
      </c>
      <c r="B78" s="98">
        <v>52.5</v>
      </c>
    </row>
    <row r="79" spans="1:2">
      <c r="A79" s="100">
        <v>1860</v>
      </c>
      <c r="B79" s="98">
        <v>53</v>
      </c>
    </row>
    <row r="80" spans="1:2">
      <c r="A80" s="100">
        <v>1860</v>
      </c>
      <c r="B80" s="98">
        <v>52</v>
      </c>
    </row>
    <row r="81" spans="1:2">
      <c r="A81" s="100">
        <v>1860</v>
      </c>
      <c r="B81" s="98">
        <v>51.3</v>
      </c>
    </row>
    <row r="82" spans="1:2">
      <c r="A82" s="100">
        <v>1860</v>
      </c>
      <c r="B82" s="98">
        <v>51.3</v>
      </c>
    </row>
    <row r="83" spans="1:2">
      <c r="A83" s="100">
        <v>1860</v>
      </c>
      <c r="B83" s="98">
        <v>50</v>
      </c>
    </row>
    <row r="84" spans="1:2">
      <c r="A84" s="100">
        <v>1860</v>
      </c>
      <c r="B84" s="98">
        <v>45.6</v>
      </c>
    </row>
    <row r="85" spans="1:2">
      <c r="A85" s="100">
        <v>1860</v>
      </c>
      <c r="B85" s="98">
        <v>40.9</v>
      </c>
    </row>
    <row r="86" spans="1:2">
      <c r="A86" s="100">
        <v>1860</v>
      </c>
      <c r="B86" s="98">
        <v>38.799999999999997</v>
      </c>
    </row>
    <row r="87" spans="1:2">
      <c r="A87" s="100">
        <v>1860</v>
      </c>
      <c r="B87" s="98">
        <v>40.1</v>
      </c>
    </row>
    <row r="88" spans="1:2">
      <c r="A88" s="100">
        <v>1860</v>
      </c>
      <c r="B88" s="98">
        <v>41.1</v>
      </c>
    </row>
    <row r="89" spans="1:2">
      <c r="A89" s="100">
        <v>1860</v>
      </c>
      <c r="B89" s="98">
        <v>41.5</v>
      </c>
    </row>
    <row r="90" spans="1:2">
      <c r="A90" s="100">
        <v>1860</v>
      </c>
      <c r="B90" s="98">
        <v>43</v>
      </c>
    </row>
    <row r="91" spans="1:2">
      <c r="A91" s="100">
        <v>1860</v>
      </c>
      <c r="B91" s="98">
        <v>42.2</v>
      </c>
    </row>
    <row r="92" spans="1:2">
      <c r="A92" s="100">
        <v>1860</v>
      </c>
      <c r="B92" s="98">
        <v>41.6</v>
      </c>
    </row>
    <row r="93" spans="1:2">
      <c r="A93" s="100">
        <v>1860</v>
      </c>
      <c r="B93" s="98">
        <v>42</v>
      </c>
    </row>
    <row r="94" spans="1:2">
      <c r="A94" s="100">
        <v>1860</v>
      </c>
      <c r="B94" s="98">
        <v>44.1</v>
      </c>
    </row>
    <row r="95" spans="1:2">
      <c r="A95" s="100">
        <v>1860</v>
      </c>
      <c r="B95" s="98">
        <v>48.8</v>
      </c>
    </row>
    <row r="96" spans="1:2">
      <c r="A96" s="100">
        <v>1860</v>
      </c>
      <c r="B96" s="98">
        <v>51.8</v>
      </c>
    </row>
    <row r="97" spans="1:2">
      <c r="A97" s="100">
        <v>1860</v>
      </c>
      <c r="B97" s="98">
        <v>52.7</v>
      </c>
    </row>
    <row r="98" spans="1:2">
      <c r="A98" s="100">
        <v>1860</v>
      </c>
      <c r="B98" s="98">
        <v>53.9</v>
      </c>
    </row>
    <row r="99" spans="1:2">
      <c r="A99" s="100">
        <v>1860</v>
      </c>
      <c r="B99" s="98">
        <v>58.5</v>
      </c>
    </row>
    <row r="100" spans="1:2">
      <c r="A100" s="100">
        <v>1860</v>
      </c>
      <c r="B100" s="98">
        <v>66.900000000000006</v>
      </c>
    </row>
    <row r="101" spans="1:2">
      <c r="A101" s="100">
        <v>1860</v>
      </c>
      <c r="B101" s="98">
        <v>72.099999999999994</v>
      </c>
    </row>
    <row r="102" spans="1:2">
      <c r="A102" s="100">
        <v>1860</v>
      </c>
      <c r="B102" s="98">
        <v>71.400000000000006</v>
      </c>
    </row>
    <row r="103" spans="1:2">
      <c r="A103" s="100">
        <v>1860</v>
      </c>
      <c r="B103" s="98">
        <v>72.099999999999994</v>
      </c>
    </row>
    <row r="104" spans="1:2">
      <c r="A104" s="100">
        <v>1860</v>
      </c>
      <c r="B104" s="98">
        <v>77.8</v>
      </c>
    </row>
    <row r="105" spans="1:2">
      <c r="A105" s="100">
        <v>1860</v>
      </c>
      <c r="B105" s="98">
        <v>79.5</v>
      </c>
    </row>
    <row r="106" spans="1:2">
      <c r="A106" s="100">
        <v>1860</v>
      </c>
      <c r="B106" s="98">
        <v>80.099999999999994</v>
      </c>
    </row>
    <row r="107" spans="1:2">
      <c r="A107" s="100">
        <v>1860</v>
      </c>
      <c r="B107" s="98">
        <v>80.5</v>
      </c>
    </row>
    <row r="108" spans="1:2">
      <c r="A108" s="100">
        <v>1860</v>
      </c>
      <c r="B108" s="98">
        <v>80.2</v>
      </c>
    </row>
    <row r="109" spans="1:2">
      <c r="A109" s="100">
        <v>1860</v>
      </c>
      <c r="B109" s="98">
        <v>81.400000000000006</v>
      </c>
    </row>
    <row r="110" spans="1:2">
      <c r="A110" s="100">
        <v>1860</v>
      </c>
      <c r="B110" s="98">
        <v>84.3</v>
      </c>
    </row>
    <row r="111" spans="1:2">
      <c r="A111" s="100">
        <v>1860</v>
      </c>
      <c r="B111" s="98">
        <v>86.6</v>
      </c>
    </row>
    <row r="112" spans="1:2">
      <c r="A112" s="100">
        <v>1860</v>
      </c>
      <c r="B112" s="98">
        <v>87.3</v>
      </c>
    </row>
    <row r="113" spans="1:2">
      <c r="A113" s="100">
        <v>1860</v>
      </c>
      <c r="B113" s="98">
        <v>88.7</v>
      </c>
    </row>
    <row r="114" spans="1:2">
      <c r="A114" s="100">
        <v>1860</v>
      </c>
      <c r="B114" s="98">
        <v>89.6</v>
      </c>
    </row>
    <row r="115" spans="1:2">
      <c r="A115" s="100">
        <v>1860</v>
      </c>
      <c r="B115" s="98">
        <v>90.6</v>
      </c>
    </row>
    <row r="116" spans="1:2">
      <c r="A116" s="100">
        <v>1860</v>
      </c>
      <c r="B116" s="98">
        <v>91.7</v>
      </c>
    </row>
    <row r="117" spans="1:2">
      <c r="A117" s="100">
        <v>1860</v>
      </c>
      <c r="B117" s="98">
        <v>92.9</v>
      </c>
    </row>
    <row r="118" spans="1:2">
      <c r="A118" s="100">
        <v>1860</v>
      </c>
      <c r="B118" s="98">
        <v>94.5</v>
      </c>
    </row>
    <row r="119" spans="1:2">
      <c r="A119" s="100">
        <v>1860</v>
      </c>
      <c r="B119" s="98">
        <v>97.2</v>
      </c>
    </row>
    <row r="120" spans="1:2">
      <c r="A120" s="100">
        <v>1860</v>
      </c>
      <c r="B120" s="98">
        <v>100</v>
      </c>
    </row>
    <row r="121" spans="1:2">
      <c r="A121" s="100">
        <v>1860</v>
      </c>
      <c r="B121" s="98">
        <v>104.2</v>
      </c>
    </row>
    <row r="122" spans="1:2">
      <c r="A122" s="100">
        <v>1860</v>
      </c>
      <c r="B122" s="98">
        <v>109.8</v>
      </c>
    </row>
    <row r="123" spans="1:2">
      <c r="A123" s="100">
        <v>1860</v>
      </c>
      <c r="B123" s="98">
        <v>116.3</v>
      </c>
    </row>
    <row r="124" spans="1:2">
      <c r="A124" s="52"/>
    </row>
    <row r="125" spans="1:2">
      <c r="A125" s="52"/>
    </row>
    <row r="126" spans="1:2">
      <c r="A126" s="52"/>
    </row>
    <row r="127" spans="1:2">
      <c r="A127" s="52"/>
    </row>
    <row r="128" spans="1:2">
      <c r="A128" s="52"/>
    </row>
    <row r="129" spans="1:1">
      <c r="A129" s="52"/>
    </row>
    <row r="130" spans="1:1">
      <c r="A130" s="52"/>
    </row>
    <row r="131" spans="1:1">
      <c r="A131" s="52"/>
    </row>
    <row r="132" spans="1:1">
      <c r="A132" s="52"/>
    </row>
    <row r="133" spans="1:1">
      <c r="A133" s="52"/>
    </row>
    <row r="134" spans="1:1">
      <c r="A134" s="52"/>
    </row>
    <row r="135" spans="1:1">
      <c r="A135" s="52"/>
    </row>
    <row r="136" spans="1:1">
      <c r="A136" s="52"/>
    </row>
    <row r="137" spans="1:1">
      <c r="A137" s="52"/>
    </row>
    <row r="138" spans="1:1">
      <c r="A138" s="52"/>
    </row>
    <row r="139" spans="1:1">
      <c r="A139" s="52"/>
    </row>
    <row r="140" spans="1:1">
      <c r="A140" s="52"/>
    </row>
    <row r="141" spans="1:1">
      <c r="A141" s="52"/>
    </row>
    <row r="142" spans="1:1">
      <c r="A142" s="52"/>
    </row>
    <row r="143" spans="1:1">
      <c r="A143" s="52"/>
    </row>
    <row r="144" spans="1:1">
      <c r="A144" s="52"/>
    </row>
    <row r="145" spans="1:1">
      <c r="A145" s="52"/>
    </row>
    <row r="146" spans="1:1">
      <c r="A146" s="52"/>
    </row>
    <row r="147" spans="1:1">
      <c r="A147" s="52"/>
    </row>
    <row r="148" spans="1:1">
      <c r="A148" s="52"/>
    </row>
    <row r="149" spans="1:1">
      <c r="A149" s="52"/>
    </row>
    <row r="150" spans="1:1">
      <c r="A150" s="52"/>
    </row>
    <row r="151" spans="1:1">
      <c r="A151" s="52"/>
    </row>
    <row r="152" spans="1:1">
      <c r="A152" s="52"/>
    </row>
    <row r="153" spans="1:1">
      <c r="A153" s="52"/>
    </row>
    <row r="154" spans="1:1">
      <c r="A154" s="52"/>
    </row>
    <row r="155" spans="1:1">
      <c r="A155" s="52"/>
    </row>
    <row r="156" spans="1:1">
      <c r="A156" s="52"/>
    </row>
    <row r="157" spans="1:1">
      <c r="A157" s="52"/>
    </row>
    <row r="158" spans="1:1">
      <c r="A158" s="52"/>
    </row>
    <row r="159" spans="1:1">
      <c r="A159" s="52"/>
    </row>
    <row r="160" spans="1:1">
      <c r="A160" s="52"/>
    </row>
    <row r="161" spans="1:1">
      <c r="A161" s="52"/>
    </row>
    <row r="162" spans="1:1">
      <c r="A162" s="52"/>
    </row>
    <row r="163" spans="1:1">
      <c r="A163" s="52"/>
    </row>
    <row r="164" spans="1:1">
      <c r="A164" s="52"/>
    </row>
    <row r="165" spans="1:1">
      <c r="A165" s="52"/>
    </row>
    <row r="166" spans="1:1">
      <c r="A166" s="52"/>
    </row>
    <row r="167" spans="1:1">
      <c r="A167" s="52"/>
    </row>
    <row r="168" spans="1:1">
      <c r="A168" s="52"/>
    </row>
    <row r="169" spans="1:1">
      <c r="A169" s="52"/>
    </row>
    <row r="170" spans="1:1">
      <c r="A170" s="52"/>
    </row>
    <row r="171" spans="1:1">
      <c r="A171" s="52"/>
    </row>
    <row r="172" spans="1:1">
      <c r="A172" s="52"/>
    </row>
    <row r="173" spans="1:1">
      <c r="A173" s="52"/>
    </row>
    <row r="174" spans="1:1">
      <c r="A174" s="52"/>
    </row>
    <row r="175" spans="1:1">
      <c r="A175" s="52"/>
    </row>
    <row r="176" spans="1:1">
      <c r="A176" s="52"/>
    </row>
    <row r="177" spans="1:1">
      <c r="A177" s="52"/>
    </row>
    <row r="178" spans="1:1">
      <c r="A178" s="52"/>
    </row>
    <row r="179" spans="1:1">
      <c r="A179" s="52"/>
    </row>
    <row r="180" spans="1:1">
      <c r="A180" s="52"/>
    </row>
    <row r="181" spans="1:1">
      <c r="A181" s="52"/>
    </row>
    <row r="182" spans="1:1">
      <c r="A182" s="52"/>
    </row>
    <row r="183" spans="1:1">
      <c r="A183" s="52"/>
    </row>
    <row r="184" spans="1:1">
      <c r="A184" s="52"/>
    </row>
    <row r="185" spans="1:1">
      <c r="A185" s="52"/>
    </row>
    <row r="186" spans="1:1">
      <c r="A186" s="52"/>
    </row>
    <row r="187" spans="1:1">
      <c r="A187" s="52"/>
    </row>
    <row r="188" spans="1:1">
      <c r="A188" s="52"/>
    </row>
    <row r="189" spans="1:1">
      <c r="A189" s="52"/>
    </row>
    <row r="190" spans="1:1">
      <c r="A190" s="52"/>
    </row>
    <row r="191" spans="1:1">
      <c r="A191" s="52"/>
    </row>
    <row r="192" spans="1:1">
      <c r="A192" s="52"/>
    </row>
    <row r="193" spans="1:1">
      <c r="A193" s="52"/>
    </row>
    <row r="194" spans="1:1">
      <c r="A194" s="52"/>
    </row>
    <row r="195" spans="1:1">
      <c r="A195" s="52"/>
    </row>
    <row r="196" spans="1:1">
      <c r="A196" s="52"/>
    </row>
    <row r="197" spans="1:1">
      <c r="A197" s="52"/>
    </row>
    <row r="198" spans="1:1">
      <c r="A198" s="52"/>
    </row>
    <row r="199" spans="1:1">
      <c r="A199" s="52"/>
    </row>
    <row r="200" spans="1:1">
      <c r="A200" s="52"/>
    </row>
    <row r="201" spans="1:1">
      <c r="A201" s="52"/>
    </row>
    <row r="202" spans="1:1">
      <c r="A202" s="52"/>
    </row>
    <row r="203" spans="1:1">
      <c r="A203" s="52"/>
    </row>
    <row r="204" spans="1:1">
      <c r="A204" s="52"/>
    </row>
    <row r="205" spans="1:1">
      <c r="A205" s="52"/>
    </row>
    <row r="206" spans="1:1">
      <c r="A206" s="52"/>
    </row>
    <row r="207" spans="1:1">
      <c r="A207" s="52"/>
    </row>
    <row r="208" spans="1:1">
      <c r="A208" s="52"/>
    </row>
    <row r="209" spans="1:1">
      <c r="A209" s="52"/>
    </row>
    <row r="210" spans="1:1">
      <c r="A210" s="52"/>
    </row>
    <row r="211" spans="1:1">
      <c r="A211" s="52"/>
    </row>
    <row r="212" spans="1:1">
      <c r="A212" s="52"/>
    </row>
    <row r="213" spans="1:1">
      <c r="A213" s="52"/>
    </row>
    <row r="214" spans="1:1">
      <c r="A214" s="52"/>
    </row>
    <row r="215" spans="1:1">
      <c r="A215" s="52"/>
    </row>
    <row r="216" spans="1:1">
      <c r="A216" s="52"/>
    </row>
    <row r="217" spans="1:1">
      <c r="A217" s="52"/>
    </row>
    <row r="218" spans="1:1">
      <c r="A218" s="52"/>
    </row>
    <row r="219" spans="1:1">
      <c r="A219" s="52"/>
    </row>
    <row r="220" spans="1:1">
      <c r="A220" s="52"/>
    </row>
    <row r="221" spans="1:1">
      <c r="A221" s="52"/>
    </row>
    <row r="222" spans="1:1">
      <c r="A222" s="52"/>
    </row>
    <row r="223" spans="1:1">
      <c r="A223" s="52"/>
    </row>
    <row r="224" spans="1:1">
      <c r="A224" s="52"/>
    </row>
    <row r="225" spans="1:1">
      <c r="A225" s="52"/>
    </row>
    <row r="226" spans="1:1">
      <c r="A226" s="52"/>
    </row>
    <row r="227" spans="1:1">
      <c r="A227" s="52"/>
    </row>
    <row r="228" spans="1:1">
      <c r="A228" s="52"/>
    </row>
    <row r="229" spans="1:1">
      <c r="A229" s="52"/>
    </row>
    <row r="230" spans="1:1">
      <c r="A230" s="52"/>
    </row>
    <row r="231" spans="1:1">
      <c r="A231" s="52"/>
    </row>
    <row r="232" spans="1:1">
      <c r="A232" s="52"/>
    </row>
    <row r="233" spans="1:1">
      <c r="A233" s="52"/>
    </row>
    <row r="234" spans="1:1">
      <c r="A234" s="52"/>
    </row>
    <row r="235" spans="1:1">
      <c r="A235" s="52"/>
    </row>
    <row r="236" spans="1:1">
      <c r="A236" s="52"/>
    </row>
    <row r="237" spans="1:1">
      <c r="A237" s="52"/>
    </row>
    <row r="238" spans="1:1">
      <c r="A238" s="52"/>
    </row>
    <row r="239" spans="1:1">
      <c r="A239" s="52"/>
    </row>
    <row r="240" spans="1:1">
      <c r="A240" s="52"/>
    </row>
    <row r="241" spans="1:1">
      <c r="A241" s="52"/>
    </row>
    <row r="242" spans="1:1">
      <c r="A242" s="52"/>
    </row>
    <row r="243" spans="1:1">
      <c r="A243" s="52"/>
    </row>
    <row r="244" spans="1:1">
      <c r="A244" s="52"/>
    </row>
    <row r="245" spans="1:1">
      <c r="A245" s="52"/>
    </row>
    <row r="246" spans="1:1">
      <c r="A246" s="52"/>
    </row>
    <row r="247" spans="1:1">
      <c r="A247" s="52"/>
    </row>
    <row r="248" spans="1:1">
      <c r="A248" s="52"/>
    </row>
    <row r="249" spans="1:1">
      <c r="A249" s="52"/>
    </row>
    <row r="250" spans="1:1">
      <c r="A250" s="52"/>
    </row>
    <row r="251" spans="1:1">
      <c r="A251" s="52"/>
    </row>
    <row r="252" spans="1:1">
      <c r="A252" s="52"/>
    </row>
    <row r="253" spans="1:1">
      <c r="A253" s="52"/>
    </row>
    <row r="254" spans="1:1">
      <c r="A254" s="52"/>
    </row>
    <row r="255" spans="1:1">
      <c r="A255" s="52"/>
    </row>
    <row r="256" spans="1:1">
      <c r="A256" s="52"/>
    </row>
    <row r="257" spans="1:1">
      <c r="A257" s="52"/>
    </row>
    <row r="258" spans="1:1">
      <c r="A258" s="52"/>
    </row>
    <row r="259" spans="1:1">
      <c r="A259" s="52"/>
    </row>
    <row r="260" spans="1:1">
      <c r="A260" s="52"/>
    </row>
    <row r="261" spans="1:1">
      <c r="A261" s="52"/>
    </row>
    <row r="262" spans="1:1">
      <c r="A262" s="52"/>
    </row>
    <row r="263" spans="1:1">
      <c r="A263" s="52"/>
    </row>
    <row r="264" spans="1:1">
      <c r="A264" s="52"/>
    </row>
    <row r="265" spans="1:1">
      <c r="A265" s="52"/>
    </row>
    <row r="266" spans="1:1">
      <c r="A266" s="52"/>
    </row>
    <row r="267" spans="1:1">
      <c r="A267" s="52"/>
    </row>
    <row r="268" spans="1:1">
      <c r="A268" s="52"/>
    </row>
    <row r="269" spans="1:1">
      <c r="A269" s="52"/>
    </row>
    <row r="270" spans="1:1">
      <c r="A270" s="52"/>
    </row>
    <row r="271" spans="1:1">
      <c r="A271" s="52"/>
    </row>
    <row r="272" spans="1:1">
      <c r="A272" s="52"/>
    </row>
    <row r="273" spans="1:1">
      <c r="A273" s="52"/>
    </row>
    <row r="274" spans="1:1">
      <c r="A274" s="52"/>
    </row>
    <row r="275" spans="1:1">
      <c r="A275" s="52"/>
    </row>
    <row r="276" spans="1:1">
      <c r="A276" s="52"/>
    </row>
    <row r="277" spans="1:1">
      <c r="A277" s="52"/>
    </row>
    <row r="278" spans="1:1">
      <c r="A278" s="52"/>
    </row>
    <row r="279" spans="1:1">
      <c r="A279" s="52"/>
    </row>
    <row r="280" spans="1:1">
      <c r="A280" s="52"/>
    </row>
    <row r="281" spans="1:1">
      <c r="A281" s="52"/>
    </row>
    <row r="282" spans="1:1">
      <c r="A282" s="52"/>
    </row>
    <row r="283" spans="1:1">
      <c r="A283" s="52"/>
    </row>
    <row r="284" spans="1:1">
      <c r="A284" s="52"/>
    </row>
    <row r="285" spans="1:1">
      <c r="A285" s="52"/>
    </row>
    <row r="286" spans="1:1">
      <c r="A286" s="52"/>
    </row>
    <row r="287" spans="1:1">
      <c r="A287" s="52"/>
    </row>
    <row r="288" spans="1:1">
      <c r="A288" s="52"/>
    </row>
    <row r="289" spans="1:1">
      <c r="A289" s="52"/>
    </row>
    <row r="290" spans="1:1">
      <c r="A290" s="52"/>
    </row>
    <row r="291" spans="1:1">
      <c r="A291" s="52"/>
    </row>
    <row r="292" spans="1:1">
      <c r="A292" s="52"/>
    </row>
    <row r="293" spans="1:1">
      <c r="A293" s="52"/>
    </row>
    <row r="294" spans="1:1">
      <c r="A294" s="52"/>
    </row>
    <row r="295" spans="1:1">
      <c r="A295" s="52"/>
    </row>
    <row r="296" spans="1:1">
      <c r="A296" s="52"/>
    </row>
    <row r="297" spans="1:1">
      <c r="A297" s="52"/>
    </row>
    <row r="298" spans="1:1">
      <c r="A298" s="52"/>
    </row>
    <row r="299" spans="1:1">
      <c r="A299" s="52"/>
    </row>
    <row r="300" spans="1:1">
      <c r="A300" s="52"/>
    </row>
    <row r="301" spans="1:1">
      <c r="A301" s="52"/>
    </row>
    <row r="302" spans="1:1">
      <c r="A302" s="52"/>
    </row>
    <row r="303" spans="1:1">
      <c r="A303" s="52"/>
    </row>
    <row r="304" spans="1:1">
      <c r="A304" s="52"/>
    </row>
    <row r="305" spans="1:1">
      <c r="A305" s="52"/>
    </row>
    <row r="306" spans="1:1">
      <c r="A306" s="52"/>
    </row>
    <row r="307" spans="1:1">
      <c r="A307" s="52"/>
    </row>
    <row r="308" spans="1:1">
      <c r="A308" s="52"/>
    </row>
    <row r="309" spans="1:1">
      <c r="A309" s="52"/>
    </row>
    <row r="310" spans="1:1">
      <c r="A310" s="52"/>
    </row>
    <row r="311" spans="1:1">
      <c r="A311" s="52"/>
    </row>
    <row r="312" spans="1:1">
      <c r="A312" s="52"/>
    </row>
    <row r="313" spans="1:1">
      <c r="A313" s="52"/>
    </row>
    <row r="314" spans="1:1">
      <c r="A314" s="52"/>
    </row>
    <row r="315" spans="1:1">
      <c r="A315" s="52"/>
    </row>
    <row r="316" spans="1:1">
      <c r="A316" s="52"/>
    </row>
    <row r="317" spans="1:1">
      <c r="A317" s="52"/>
    </row>
    <row r="318" spans="1:1">
      <c r="A318" s="52"/>
    </row>
    <row r="319" spans="1:1">
      <c r="A319" s="52"/>
    </row>
    <row r="320" spans="1:1">
      <c r="A320" s="52"/>
    </row>
    <row r="321" spans="1:1">
      <c r="A321" s="52"/>
    </row>
    <row r="322" spans="1:1">
      <c r="A322" s="52"/>
    </row>
    <row r="323" spans="1:1">
      <c r="A323" s="52"/>
    </row>
    <row r="324" spans="1:1">
      <c r="A324" s="52"/>
    </row>
    <row r="325" spans="1:1">
      <c r="A325" s="52"/>
    </row>
    <row r="326" spans="1:1">
      <c r="A326" s="52"/>
    </row>
    <row r="327" spans="1:1">
      <c r="A327" s="52"/>
    </row>
    <row r="328" spans="1:1">
      <c r="A328" s="52"/>
    </row>
    <row r="329" spans="1:1">
      <c r="A329" s="52"/>
    </row>
    <row r="330" spans="1:1">
      <c r="A330" s="52"/>
    </row>
    <row r="331" spans="1:1">
      <c r="A331" s="52"/>
    </row>
    <row r="332" spans="1:1">
      <c r="A332" s="52"/>
    </row>
    <row r="333" spans="1:1">
      <c r="A333" s="52"/>
    </row>
    <row r="334" spans="1:1">
      <c r="A334" s="52"/>
    </row>
    <row r="335" spans="1:1">
      <c r="A335" s="52"/>
    </row>
    <row r="336" spans="1:1">
      <c r="A336" s="52"/>
    </row>
    <row r="337" spans="1:1">
      <c r="A337" s="52"/>
    </row>
    <row r="338" spans="1:1">
      <c r="A338" s="52"/>
    </row>
    <row r="339" spans="1:1">
      <c r="A339" s="52"/>
    </row>
    <row r="340" spans="1:1">
      <c r="A340" s="52"/>
    </row>
    <row r="341" spans="1:1">
      <c r="A341" s="52"/>
    </row>
    <row r="342" spans="1:1">
      <c r="A342" s="52"/>
    </row>
    <row r="343" spans="1:1">
      <c r="A343" s="52"/>
    </row>
    <row r="344" spans="1:1">
      <c r="A344" s="52"/>
    </row>
    <row r="345" spans="1:1">
      <c r="A345" s="52"/>
    </row>
    <row r="346" spans="1:1">
      <c r="A346" s="52"/>
    </row>
    <row r="347" spans="1:1">
      <c r="A347" s="52"/>
    </row>
    <row r="348" spans="1:1">
      <c r="A348" s="52"/>
    </row>
    <row r="349" spans="1:1">
      <c r="A349" s="52"/>
    </row>
    <row r="350" spans="1:1">
      <c r="A350" s="52"/>
    </row>
    <row r="351" spans="1:1">
      <c r="A351" s="52"/>
    </row>
    <row r="352" spans="1:1">
      <c r="A352" s="52"/>
    </row>
    <row r="353" spans="1:1">
      <c r="A353" s="52"/>
    </row>
    <row r="354" spans="1:1">
      <c r="A354" s="52"/>
    </row>
    <row r="355" spans="1:1">
      <c r="A355" s="52"/>
    </row>
    <row r="356" spans="1:1">
      <c r="A356" s="52"/>
    </row>
    <row r="357" spans="1:1">
      <c r="A357" s="52"/>
    </row>
    <row r="358" spans="1:1">
      <c r="A358" s="52"/>
    </row>
    <row r="359" spans="1:1">
      <c r="A359" s="52"/>
    </row>
    <row r="360" spans="1:1">
      <c r="A360" s="52"/>
    </row>
    <row r="361" spans="1:1">
      <c r="A361" s="52"/>
    </row>
    <row r="362" spans="1:1">
      <c r="A362" s="52"/>
    </row>
    <row r="363" spans="1:1">
      <c r="A363" s="52"/>
    </row>
    <row r="364" spans="1:1">
      <c r="A364" s="52"/>
    </row>
    <row r="365" spans="1:1">
      <c r="A365" s="52"/>
    </row>
    <row r="366" spans="1:1">
      <c r="A366" s="52"/>
    </row>
    <row r="367" spans="1:1">
      <c r="A367" s="52"/>
    </row>
    <row r="368" spans="1:1">
      <c r="A368" s="52"/>
    </row>
    <row r="369" spans="1:1">
      <c r="A369" s="52"/>
    </row>
    <row r="370" spans="1:1">
      <c r="A370" s="52"/>
    </row>
    <row r="371" spans="1:1">
      <c r="A371" s="52"/>
    </row>
    <row r="372" spans="1:1">
      <c r="A372" s="52"/>
    </row>
    <row r="373" spans="1:1">
      <c r="A373" s="52"/>
    </row>
    <row r="374" spans="1:1">
      <c r="A374" s="52"/>
    </row>
    <row r="375" spans="1:1">
      <c r="A375" s="52"/>
    </row>
    <row r="376" spans="1:1">
      <c r="A376" s="52"/>
    </row>
    <row r="377" spans="1:1">
      <c r="A377" s="52"/>
    </row>
    <row r="378" spans="1:1">
      <c r="A378" s="52"/>
    </row>
    <row r="379" spans="1:1">
      <c r="A379" s="52"/>
    </row>
    <row r="380" spans="1:1">
      <c r="A380" s="52"/>
    </row>
    <row r="381" spans="1:1">
      <c r="A381" s="52"/>
    </row>
    <row r="382" spans="1:1">
      <c r="A382" s="52"/>
    </row>
    <row r="383" spans="1:1">
      <c r="A383" s="52"/>
    </row>
    <row r="384" spans="1:1">
      <c r="A384" s="52"/>
    </row>
    <row r="385" spans="1:1">
      <c r="A385" s="52"/>
    </row>
    <row r="386" spans="1:1">
      <c r="A386" s="52"/>
    </row>
    <row r="387" spans="1:1">
      <c r="A387" s="52"/>
    </row>
    <row r="388" spans="1:1">
      <c r="A388" s="52"/>
    </row>
    <row r="389" spans="1:1">
      <c r="A389" s="52"/>
    </row>
    <row r="390" spans="1:1">
      <c r="A390" s="52"/>
    </row>
    <row r="391" spans="1:1">
      <c r="A391" s="52"/>
    </row>
    <row r="392" spans="1:1">
      <c r="A392" s="52"/>
    </row>
    <row r="393" spans="1:1">
      <c r="A393" s="52"/>
    </row>
    <row r="394" spans="1:1">
      <c r="A394" s="52"/>
    </row>
    <row r="395" spans="1:1">
      <c r="A395" s="52"/>
    </row>
    <row r="396" spans="1:1">
      <c r="A396" s="52"/>
    </row>
    <row r="397" spans="1:1">
      <c r="A397" s="52"/>
    </row>
    <row r="398" spans="1:1">
      <c r="A398" s="52"/>
    </row>
    <row r="399" spans="1:1">
      <c r="A399" s="52"/>
    </row>
    <row r="400" spans="1:1">
      <c r="A400" s="52"/>
    </row>
    <row r="401" spans="1:1">
      <c r="A401" s="52"/>
    </row>
    <row r="402" spans="1:1">
      <c r="A402" s="52"/>
    </row>
    <row r="403" spans="1:1">
      <c r="A403" s="52"/>
    </row>
    <row r="404" spans="1:1">
      <c r="A404" s="52"/>
    </row>
    <row r="405" spans="1:1">
      <c r="A405" s="52"/>
    </row>
    <row r="406" spans="1:1">
      <c r="A406" s="52"/>
    </row>
    <row r="407" spans="1:1">
      <c r="A407" s="52"/>
    </row>
    <row r="408" spans="1:1">
      <c r="A408" s="52"/>
    </row>
    <row r="409" spans="1:1">
      <c r="A409" s="52"/>
    </row>
    <row r="410" spans="1:1">
      <c r="A410" s="52"/>
    </row>
    <row r="411" spans="1:1">
      <c r="A411" s="52"/>
    </row>
    <row r="412" spans="1:1">
      <c r="A412" s="52"/>
    </row>
    <row r="413" spans="1:1">
      <c r="A413" s="52"/>
    </row>
    <row r="414" spans="1:1">
      <c r="A414" s="52"/>
    </row>
    <row r="415" spans="1:1">
      <c r="A415" s="52"/>
    </row>
    <row r="416" spans="1:1">
      <c r="A416" s="52"/>
    </row>
    <row r="417" spans="1:1">
      <c r="A417" s="52"/>
    </row>
    <row r="418" spans="1:1">
      <c r="A418" s="52"/>
    </row>
    <row r="419" spans="1:1">
      <c r="A419" s="52"/>
    </row>
    <row r="420" spans="1:1">
      <c r="A420" s="52"/>
    </row>
    <row r="421" spans="1:1">
      <c r="A421" s="52"/>
    </row>
    <row r="422" spans="1:1">
      <c r="A422" s="52"/>
    </row>
    <row r="423" spans="1:1">
      <c r="A423" s="52"/>
    </row>
    <row r="424" spans="1:1">
      <c r="A424" s="52"/>
    </row>
    <row r="425" spans="1:1">
      <c r="A425" s="52"/>
    </row>
    <row r="426" spans="1:1">
      <c r="A426" s="52"/>
    </row>
    <row r="427" spans="1:1">
      <c r="A427" s="52"/>
    </row>
    <row r="428" spans="1:1">
      <c r="A428" s="52"/>
    </row>
    <row r="429" spans="1:1">
      <c r="A429" s="52"/>
    </row>
    <row r="430" spans="1:1">
      <c r="A430" s="52"/>
    </row>
    <row r="431" spans="1:1">
      <c r="A431" s="52"/>
    </row>
    <row r="432" spans="1:1">
      <c r="A432" s="52"/>
    </row>
    <row r="433" spans="1:1">
      <c r="A433" s="52"/>
    </row>
    <row r="434" spans="1:1">
      <c r="A434" s="52"/>
    </row>
    <row r="435" spans="1:1">
      <c r="A435" s="52"/>
    </row>
    <row r="436" spans="1:1">
      <c r="A436" s="52"/>
    </row>
    <row r="437" spans="1:1">
      <c r="A437" s="52"/>
    </row>
    <row r="438" spans="1:1">
      <c r="A438" s="52"/>
    </row>
    <row r="439" spans="1:1">
      <c r="A439" s="52"/>
    </row>
    <row r="440" spans="1:1">
      <c r="A440" s="52"/>
    </row>
    <row r="441" spans="1:1">
      <c r="A441" s="52"/>
    </row>
    <row r="442" spans="1:1">
      <c r="A442" s="52"/>
    </row>
    <row r="443" spans="1:1">
      <c r="A443" s="52"/>
    </row>
    <row r="444" spans="1:1">
      <c r="A444" s="52"/>
    </row>
    <row r="445" spans="1:1">
      <c r="A445" s="52"/>
    </row>
    <row r="446" spans="1:1">
      <c r="A446" s="52"/>
    </row>
    <row r="447" spans="1:1">
      <c r="A447" s="52"/>
    </row>
    <row r="448" spans="1:1">
      <c r="A448" s="52"/>
    </row>
    <row r="449" spans="1:1">
      <c r="A449" s="52"/>
    </row>
    <row r="450" spans="1:1">
      <c r="A450" s="52"/>
    </row>
    <row r="451" spans="1:1">
      <c r="A451" s="52"/>
    </row>
    <row r="452" spans="1:1">
      <c r="A452" s="52"/>
    </row>
    <row r="453" spans="1:1">
      <c r="A453" s="52"/>
    </row>
    <row r="454" spans="1:1">
      <c r="A454" s="52"/>
    </row>
    <row r="455" spans="1:1">
      <c r="A455" s="52"/>
    </row>
    <row r="456" spans="1:1">
      <c r="A456" s="52"/>
    </row>
    <row r="457" spans="1:1">
      <c r="A457" s="52"/>
    </row>
    <row r="458" spans="1:1">
      <c r="A458" s="52"/>
    </row>
    <row r="459" spans="1:1">
      <c r="A459" s="52"/>
    </row>
    <row r="460" spans="1:1">
      <c r="A460" s="52"/>
    </row>
    <row r="461" spans="1:1">
      <c r="A461" s="52"/>
    </row>
    <row r="462" spans="1:1">
      <c r="A462" s="52"/>
    </row>
    <row r="463" spans="1:1">
      <c r="A463" s="52"/>
    </row>
    <row r="464" spans="1:1">
      <c r="A464" s="52"/>
    </row>
    <row r="465" spans="1:1">
      <c r="A465" s="52"/>
    </row>
    <row r="466" spans="1:1">
      <c r="A466" s="52"/>
    </row>
    <row r="467" spans="1:1">
      <c r="A467" s="52"/>
    </row>
    <row r="468" spans="1:1">
      <c r="A468" s="52"/>
    </row>
    <row r="469" spans="1:1">
      <c r="A469" s="52"/>
    </row>
    <row r="470" spans="1:1">
      <c r="A470" s="52"/>
    </row>
    <row r="471" spans="1:1">
      <c r="A471" s="52"/>
    </row>
    <row r="472" spans="1:1">
      <c r="A472" s="52"/>
    </row>
    <row r="473" spans="1:1">
      <c r="A473" s="52"/>
    </row>
    <row r="474" spans="1:1">
      <c r="A474" s="52"/>
    </row>
    <row r="475" spans="1:1">
      <c r="A475" s="52"/>
    </row>
    <row r="476" spans="1:1">
      <c r="A476" s="52"/>
    </row>
    <row r="477" spans="1:1">
      <c r="A477" s="52"/>
    </row>
    <row r="478" spans="1:1">
      <c r="A478" s="52"/>
    </row>
    <row r="479" spans="1:1">
      <c r="A479" s="52"/>
    </row>
    <row r="480" spans="1:1">
      <c r="A480" s="52"/>
    </row>
    <row r="481" spans="1:1">
      <c r="A481" s="52"/>
    </row>
    <row r="482" spans="1:1">
      <c r="A482" s="52"/>
    </row>
    <row r="483" spans="1:1">
      <c r="A483" s="52"/>
    </row>
    <row r="484" spans="1:1">
      <c r="A484" s="52"/>
    </row>
    <row r="485" spans="1:1">
      <c r="A485" s="52"/>
    </row>
    <row r="486" spans="1:1">
      <c r="A486" s="52"/>
    </row>
    <row r="487" spans="1:1">
      <c r="A487" s="52"/>
    </row>
    <row r="488" spans="1:1">
      <c r="A488" s="52"/>
    </row>
    <row r="489" spans="1:1">
      <c r="A489" s="52"/>
    </row>
    <row r="490" spans="1:1">
      <c r="A490" s="52"/>
    </row>
    <row r="491" spans="1:1">
      <c r="A491" s="52"/>
    </row>
    <row r="492" spans="1:1">
      <c r="A492" s="52"/>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sheetData>
  <pageMargins left="0.75" right="0.75" top="1" bottom="1" header="0.5" footer="0.5"/>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17"/>
  <sheetViews>
    <sheetView workbookViewId="0">
      <pane xSplit="1" ySplit="14" topLeftCell="B15" activePane="bottomRight" state="frozen"/>
      <selection pane="topRight" activeCell="B1" sqref="B1"/>
      <selection pane="bottomLeft" activeCell="A15" sqref="A15"/>
      <selection pane="bottomRight" activeCell="N35" sqref="N35"/>
    </sheetView>
  </sheetViews>
  <sheetFormatPr baseColWidth="10" defaultColWidth="8.83203125" defaultRowHeight="15" x14ac:dyDescent="0"/>
  <cols>
    <col min="1" max="2" width="20.6640625" customWidth="1"/>
  </cols>
  <sheetData>
    <row r="1" spans="1:2">
      <c r="A1" s="6" t="s">
        <v>21</v>
      </c>
      <c r="B1" s="6" t="s">
        <v>758</v>
      </c>
    </row>
    <row r="2" spans="1:2">
      <c r="A2" s="6" t="s">
        <v>23</v>
      </c>
      <c r="B2" s="6" t="s">
        <v>767</v>
      </c>
    </row>
    <row r="3" spans="1:2">
      <c r="A3" s="6" t="s">
        <v>25</v>
      </c>
      <c r="B3" s="6" t="s">
        <v>26</v>
      </c>
    </row>
    <row r="4" spans="1:2">
      <c r="A4" s="6" t="s">
        <v>27</v>
      </c>
      <c r="B4" s="6" t="s">
        <v>760</v>
      </c>
    </row>
    <row r="5" spans="1:2">
      <c r="A5" s="6" t="s">
        <v>29</v>
      </c>
      <c r="B5" s="6" t="s">
        <v>30</v>
      </c>
    </row>
    <row r="6" spans="1:2">
      <c r="A6" s="6" t="s">
        <v>31</v>
      </c>
      <c r="B6" s="6" t="s">
        <v>32</v>
      </c>
    </row>
    <row r="7" spans="1:2">
      <c r="A7" s="6" t="s">
        <v>33</v>
      </c>
      <c r="B7" s="6" t="s">
        <v>761</v>
      </c>
    </row>
    <row r="8" spans="1:2">
      <c r="A8" s="6" t="s">
        <v>35</v>
      </c>
      <c r="B8" s="6" t="s">
        <v>36</v>
      </c>
    </row>
    <row r="9" spans="1:2">
      <c r="A9" s="6" t="s">
        <v>37</v>
      </c>
      <c r="B9" s="6" t="s">
        <v>768</v>
      </c>
    </row>
    <row r="10" spans="1:2">
      <c r="A10" s="6" t="s">
        <v>39</v>
      </c>
      <c r="B10" s="6" t="s">
        <v>764</v>
      </c>
    </row>
    <row r="11" spans="1:2">
      <c r="B11" s="6" t="s">
        <v>765</v>
      </c>
    </row>
    <row r="12" spans="1:2">
      <c r="B12" s="6" t="s">
        <v>766</v>
      </c>
    </row>
    <row r="14" spans="1:2">
      <c r="A14" s="6" t="s">
        <v>41</v>
      </c>
      <c r="B14" s="6" t="s">
        <v>42</v>
      </c>
    </row>
    <row r="15" spans="1:2">
      <c r="A15" s="7">
        <v>4750</v>
      </c>
      <c r="B15" s="53">
        <v>9.8000000000000007</v>
      </c>
    </row>
    <row r="16" spans="1:2">
      <c r="A16" s="7">
        <v>4781</v>
      </c>
      <c r="B16" s="53">
        <v>9.8000000000000007</v>
      </c>
    </row>
    <row r="17" spans="1:2">
      <c r="A17" s="7">
        <v>4809</v>
      </c>
      <c r="B17" s="53">
        <v>9.8000000000000007</v>
      </c>
    </row>
    <row r="18" spans="1:2">
      <c r="A18" s="7">
        <v>4840</v>
      </c>
      <c r="B18" s="53">
        <v>9.8000000000000007</v>
      </c>
    </row>
    <row r="19" spans="1:2">
      <c r="A19" s="7">
        <v>4870</v>
      </c>
      <c r="B19" s="53">
        <v>9.6999999999999993</v>
      </c>
    </row>
    <row r="20" spans="1:2">
      <c r="A20" s="7">
        <v>4901</v>
      </c>
      <c r="B20" s="53">
        <v>9.8000000000000007</v>
      </c>
    </row>
    <row r="21" spans="1:2">
      <c r="A21" s="7">
        <v>4931</v>
      </c>
      <c r="B21" s="53">
        <v>9.9</v>
      </c>
    </row>
    <row r="22" spans="1:2">
      <c r="A22" s="7">
        <v>4962</v>
      </c>
      <c r="B22" s="53">
        <v>9.9</v>
      </c>
    </row>
    <row r="23" spans="1:2">
      <c r="A23" s="7">
        <v>4993</v>
      </c>
      <c r="B23" s="53">
        <v>10</v>
      </c>
    </row>
    <row r="24" spans="1:2">
      <c r="A24" s="7">
        <v>5023</v>
      </c>
      <c r="B24" s="53">
        <v>10</v>
      </c>
    </row>
    <row r="25" spans="1:2">
      <c r="A25" s="7">
        <v>5054</v>
      </c>
      <c r="B25" s="53">
        <v>10.1</v>
      </c>
    </row>
    <row r="26" spans="1:2">
      <c r="A26" s="7">
        <v>5084</v>
      </c>
      <c r="B26" s="53">
        <v>10</v>
      </c>
    </row>
    <row r="27" spans="1:2">
      <c r="A27" s="7">
        <v>5115</v>
      </c>
      <c r="B27" s="53">
        <v>10</v>
      </c>
    </row>
    <row r="28" spans="1:2">
      <c r="A28" s="7">
        <v>5146</v>
      </c>
      <c r="B28" s="53">
        <v>9.9</v>
      </c>
    </row>
    <row r="29" spans="1:2">
      <c r="A29" s="7">
        <v>5174</v>
      </c>
      <c r="B29" s="53">
        <v>9.9</v>
      </c>
    </row>
    <row r="30" spans="1:2">
      <c r="A30" s="7">
        <v>5205</v>
      </c>
      <c r="B30" s="53">
        <v>9.8000000000000007</v>
      </c>
    </row>
    <row r="31" spans="1:2">
      <c r="A31" s="7">
        <v>5235</v>
      </c>
      <c r="B31" s="53">
        <v>9.9</v>
      </c>
    </row>
    <row r="32" spans="1:2">
      <c r="A32" s="7">
        <v>5266</v>
      </c>
      <c r="B32" s="53">
        <v>9.9</v>
      </c>
    </row>
    <row r="33" spans="1:2">
      <c r="A33" s="7">
        <v>5296</v>
      </c>
      <c r="B33" s="53">
        <v>10</v>
      </c>
    </row>
    <row r="34" spans="1:2">
      <c r="A34" s="7">
        <v>5327</v>
      </c>
      <c r="B34" s="53">
        <v>10.199999999999999</v>
      </c>
    </row>
    <row r="35" spans="1:2">
      <c r="A35" s="7">
        <v>5358</v>
      </c>
      <c r="B35" s="53">
        <v>10.199999999999999</v>
      </c>
    </row>
    <row r="36" spans="1:2">
      <c r="A36" s="7">
        <v>5388</v>
      </c>
      <c r="B36" s="53">
        <v>10.1</v>
      </c>
    </row>
    <row r="37" spans="1:2">
      <c r="A37" s="7">
        <v>5419</v>
      </c>
      <c r="B37" s="53">
        <v>10.199999999999999</v>
      </c>
    </row>
    <row r="38" spans="1:2">
      <c r="A38" s="7">
        <v>5449</v>
      </c>
      <c r="B38" s="53">
        <v>10.1</v>
      </c>
    </row>
    <row r="39" spans="1:2">
      <c r="A39" s="7">
        <v>5480</v>
      </c>
      <c r="B39" s="53">
        <v>10.1</v>
      </c>
    </row>
    <row r="40" spans="1:2">
      <c r="A40" s="7">
        <v>5511</v>
      </c>
      <c r="B40" s="53">
        <v>10</v>
      </c>
    </row>
    <row r="41" spans="1:2">
      <c r="A41" s="7">
        <v>5539</v>
      </c>
      <c r="B41" s="53">
        <v>9.9</v>
      </c>
    </row>
    <row r="42" spans="1:2">
      <c r="A42" s="7">
        <v>5570</v>
      </c>
      <c r="B42" s="53">
        <v>10</v>
      </c>
    </row>
    <row r="43" spans="1:2">
      <c r="A43" s="7">
        <v>5600</v>
      </c>
      <c r="B43" s="53">
        <v>10.1</v>
      </c>
    </row>
    <row r="44" spans="1:2">
      <c r="A44" s="7">
        <v>5631</v>
      </c>
      <c r="B44" s="53">
        <v>10.1</v>
      </c>
    </row>
    <row r="45" spans="1:2">
      <c r="A45" s="7">
        <v>5661</v>
      </c>
      <c r="B45" s="53">
        <v>10.1</v>
      </c>
    </row>
    <row r="46" spans="1:2">
      <c r="A46" s="7">
        <v>5692</v>
      </c>
      <c r="B46" s="53">
        <v>10.1</v>
      </c>
    </row>
    <row r="47" spans="1:2">
      <c r="A47" s="7">
        <v>5723</v>
      </c>
      <c r="B47" s="53">
        <v>10.1</v>
      </c>
    </row>
    <row r="48" spans="1:2">
      <c r="A48" s="7">
        <v>5753</v>
      </c>
      <c r="B48" s="53">
        <v>10.199999999999999</v>
      </c>
    </row>
    <row r="49" spans="1:2">
      <c r="A49" s="7">
        <v>5784</v>
      </c>
      <c r="B49" s="53">
        <v>10.3</v>
      </c>
    </row>
    <row r="50" spans="1:2">
      <c r="A50" s="7">
        <v>5814</v>
      </c>
      <c r="B50" s="53">
        <v>10.3</v>
      </c>
    </row>
    <row r="51" spans="1:2">
      <c r="A51" s="7">
        <v>5845</v>
      </c>
      <c r="B51" s="53">
        <v>10.4</v>
      </c>
    </row>
    <row r="52" spans="1:2">
      <c r="A52" s="7">
        <v>5876</v>
      </c>
      <c r="B52" s="53">
        <v>10.4</v>
      </c>
    </row>
    <row r="53" spans="1:2">
      <c r="A53" s="7">
        <v>5905</v>
      </c>
      <c r="B53" s="53">
        <v>10.5</v>
      </c>
    </row>
    <row r="54" spans="1:2">
      <c r="A54" s="7">
        <v>5936</v>
      </c>
      <c r="B54" s="53">
        <v>10.6</v>
      </c>
    </row>
    <row r="55" spans="1:2">
      <c r="A55" s="7">
        <v>5966</v>
      </c>
      <c r="B55" s="53">
        <v>10.7</v>
      </c>
    </row>
    <row r="56" spans="1:2">
      <c r="A56" s="7">
        <v>5997</v>
      </c>
      <c r="B56" s="53">
        <v>10.8</v>
      </c>
    </row>
    <row r="57" spans="1:2">
      <c r="A57" s="7">
        <v>6027</v>
      </c>
      <c r="B57" s="53">
        <v>10.8</v>
      </c>
    </row>
    <row r="58" spans="1:2">
      <c r="A58" s="7">
        <v>6058</v>
      </c>
      <c r="B58" s="53">
        <v>10.9</v>
      </c>
    </row>
    <row r="59" spans="1:2">
      <c r="A59" s="7">
        <v>6089</v>
      </c>
      <c r="B59" s="53">
        <v>11.1</v>
      </c>
    </row>
    <row r="60" spans="1:2">
      <c r="A60" s="7">
        <v>6119</v>
      </c>
      <c r="B60" s="53">
        <v>11.3</v>
      </c>
    </row>
    <row r="61" spans="1:2">
      <c r="A61" s="7">
        <v>6150</v>
      </c>
      <c r="B61" s="53">
        <v>11.5</v>
      </c>
    </row>
    <row r="62" spans="1:2">
      <c r="A62" s="7">
        <v>6180</v>
      </c>
      <c r="B62" s="53">
        <v>11.6</v>
      </c>
    </row>
    <row r="63" spans="1:2">
      <c r="A63" s="7">
        <v>6211</v>
      </c>
      <c r="B63" s="53">
        <v>11.7</v>
      </c>
    </row>
    <row r="64" spans="1:2">
      <c r="A64" s="7">
        <v>6242</v>
      </c>
      <c r="B64" s="53">
        <v>12</v>
      </c>
    </row>
    <row r="65" spans="1:2">
      <c r="A65" s="7">
        <v>6270</v>
      </c>
      <c r="B65" s="53">
        <v>12</v>
      </c>
    </row>
    <row r="66" spans="1:2">
      <c r="A66" s="7">
        <v>6301</v>
      </c>
      <c r="B66" s="53">
        <v>12.6</v>
      </c>
    </row>
    <row r="67" spans="1:2">
      <c r="A67" s="7">
        <v>6331</v>
      </c>
      <c r="B67" s="53">
        <v>12.8</v>
      </c>
    </row>
    <row r="68" spans="1:2">
      <c r="A68" s="7">
        <v>6362</v>
      </c>
      <c r="B68" s="53">
        <v>13</v>
      </c>
    </row>
    <row r="69" spans="1:2">
      <c r="A69" s="7">
        <v>6392</v>
      </c>
      <c r="B69" s="53">
        <v>12.8</v>
      </c>
    </row>
    <row r="70" spans="1:2">
      <c r="A70" s="7">
        <v>6423</v>
      </c>
      <c r="B70" s="53">
        <v>13</v>
      </c>
    </row>
    <row r="71" spans="1:2">
      <c r="A71" s="7">
        <v>6454</v>
      </c>
      <c r="B71" s="53">
        <v>13.3</v>
      </c>
    </row>
    <row r="72" spans="1:2">
      <c r="A72" s="7">
        <v>6484</v>
      </c>
      <c r="B72" s="53">
        <v>13.5</v>
      </c>
    </row>
    <row r="73" spans="1:2">
      <c r="A73" s="7">
        <v>6515</v>
      </c>
      <c r="B73" s="53">
        <v>13.5</v>
      </c>
    </row>
    <row r="74" spans="1:2">
      <c r="A74" s="7">
        <v>6545</v>
      </c>
      <c r="B74" s="53">
        <v>13.7</v>
      </c>
    </row>
    <row r="75" spans="1:2">
      <c r="A75" s="7">
        <v>6576</v>
      </c>
      <c r="B75" s="53">
        <v>14</v>
      </c>
    </row>
    <row r="76" spans="1:2">
      <c r="A76" s="7">
        <v>6607</v>
      </c>
      <c r="B76" s="53">
        <v>14.1</v>
      </c>
    </row>
    <row r="77" spans="1:2">
      <c r="A77" s="7">
        <v>6635</v>
      </c>
      <c r="B77" s="53">
        <v>14</v>
      </c>
    </row>
    <row r="78" spans="1:2">
      <c r="A78" s="7">
        <v>6666</v>
      </c>
      <c r="B78" s="53">
        <v>14.2</v>
      </c>
    </row>
    <row r="79" spans="1:2">
      <c r="A79" s="7">
        <v>6696</v>
      </c>
      <c r="B79" s="53">
        <v>14.5</v>
      </c>
    </row>
    <row r="80" spans="1:2">
      <c r="A80" s="7">
        <v>6727</v>
      </c>
      <c r="B80" s="53">
        <v>14.7</v>
      </c>
    </row>
    <row r="81" spans="1:2">
      <c r="A81" s="7">
        <v>6757</v>
      </c>
      <c r="B81" s="53">
        <v>15.1</v>
      </c>
    </row>
    <row r="82" spans="1:2">
      <c r="A82" s="7">
        <v>6788</v>
      </c>
      <c r="B82" s="53">
        <v>15.4</v>
      </c>
    </row>
    <row r="83" spans="1:2">
      <c r="A83" s="7">
        <v>6819</v>
      </c>
      <c r="B83" s="53">
        <v>15.7</v>
      </c>
    </row>
    <row r="84" spans="1:2">
      <c r="A84" s="7">
        <v>6849</v>
      </c>
      <c r="B84" s="53">
        <v>16</v>
      </c>
    </row>
    <row r="85" spans="1:2">
      <c r="A85" s="7">
        <v>6880</v>
      </c>
      <c r="B85" s="53">
        <v>16.3</v>
      </c>
    </row>
    <row r="86" spans="1:2">
      <c r="A86" s="7">
        <v>6910</v>
      </c>
      <c r="B86" s="53">
        <v>16.5</v>
      </c>
    </row>
    <row r="87" spans="1:2">
      <c r="A87" s="7">
        <v>6941</v>
      </c>
      <c r="B87" s="53">
        <v>16.5</v>
      </c>
    </row>
    <row r="88" spans="1:2">
      <c r="A88" s="7">
        <v>6972</v>
      </c>
      <c r="B88" s="53">
        <v>16.2</v>
      </c>
    </row>
    <row r="89" spans="1:2">
      <c r="A89" s="7">
        <v>7000</v>
      </c>
      <c r="B89" s="53">
        <v>16.399999999999999</v>
      </c>
    </row>
    <row r="90" spans="1:2">
      <c r="A90" s="7">
        <v>7031</v>
      </c>
      <c r="B90" s="53">
        <v>16.7</v>
      </c>
    </row>
    <row r="91" spans="1:2">
      <c r="A91" s="7">
        <v>7061</v>
      </c>
      <c r="B91" s="53">
        <v>16.899999999999999</v>
      </c>
    </row>
    <row r="92" spans="1:2">
      <c r="A92" s="7">
        <v>7092</v>
      </c>
      <c r="B92" s="53">
        <v>16.899999999999999</v>
      </c>
    </row>
    <row r="93" spans="1:2">
      <c r="A93" s="7">
        <v>7122</v>
      </c>
      <c r="B93" s="53">
        <v>17.399999999999999</v>
      </c>
    </row>
    <row r="94" spans="1:2">
      <c r="A94" s="7">
        <v>7153</v>
      </c>
      <c r="B94" s="53">
        <v>17.7</v>
      </c>
    </row>
    <row r="95" spans="1:2">
      <c r="A95" s="7">
        <v>7184</v>
      </c>
      <c r="B95" s="53">
        <v>17.8</v>
      </c>
    </row>
    <row r="96" spans="1:2">
      <c r="A96" s="7">
        <v>7214</v>
      </c>
      <c r="B96" s="53">
        <v>18.100000000000001</v>
      </c>
    </row>
    <row r="97" spans="1:2">
      <c r="A97" s="7">
        <v>7245</v>
      </c>
      <c r="B97" s="53">
        <v>18.5</v>
      </c>
    </row>
    <row r="98" spans="1:2">
      <c r="A98" s="7">
        <v>7275</v>
      </c>
      <c r="B98" s="53">
        <v>18.899999999999999</v>
      </c>
    </row>
    <row r="99" spans="1:2">
      <c r="A99" s="7">
        <v>7306</v>
      </c>
      <c r="B99" s="53">
        <v>19.3</v>
      </c>
    </row>
    <row r="100" spans="1:2">
      <c r="A100" s="7">
        <v>7337</v>
      </c>
      <c r="B100" s="53">
        <v>19.5</v>
      </c>
    </row>
    <row r="101" spans="1:2">
      <c r="A101" s="7">
        <v>7366</v>
      </c>
      <c r="B101" s="53">
        <v>19.7</v>
      </c>
    </row>
    <row r="102" spans="1:2">
      <c r="A102" s="7">
        <v>7397</v>
      </c>
      <c r="B102" s="53">
        <v>20.3</v>
      </c>
    </row>
    <row r="103" spans="1:2">
      <c r="A103" s="7">
        <v>7427</v>
      </c>
      <c r="B103" s="53">
        <v>20.6</v>
      </c>
    </row>
    <row r="104" spans="1:2">
      <c r="A104" s="7">
        <v>7458</v>
      </c>
      <c r="B104" s="53">
        <v>20.9</v>
      </c>
    </row>
    <row r="105" spans="1:2">
      <c r="A105" s="7">
        <v>7488</v>
      </c>
      <c r="B105" s="53">
        <v>20.8</v>
      </c>
    </row>
    <row r="106" spans="1:2">
      <c r="A106" s="7">
        <v>7519</v>
      </c>
      <c r="B106" s="53">
        <v>20.3</v>
      </c>
    </row>
    <row r="107" spans="1:2">
      <c r="A107" s="7">
        <v>7550</v>
      </c>
      <c r="B107" s="53">
        <v>20</v>
      </c>
    </row>
    <row r="108" spans="1:2">
      <c r="A108" s="7">
        <v>7580</v>
      </c>
      <c r="B108" s="53">
        <v>19.899999999999999</v>
      </c>
    </row>
    <row r="109" spans="1:2">
      <c r="A109" s="7">
        <v>7611</v>
      </c>
      <c r="B109" s="53">
        <v>19.8</v>
      </c>
    </row>
    <row r="110" spans="1:2">
      <c r="A110" s="7">
        <v>7641</v>
      </c>
      <c r="B110" s="53">
        <v>19.399999999999999</v>
      </c>
    </row>
    <row r="111" spans="1:2">
      <c r="A111" s="7">
        <v>7672</v>
      </c>
      <c r="B111" s="53">
        <v>19</v>
      </c>
    </row>
    <row r="112" spans="1:2">
      <c r="A112" s="7">
        <v>7703</v>
      </c>
      <c r="B112" s="53">
        <v>18.399999999999999</v>
      </c>
    </row>
    <row r="113" spans="1:2">
      <c r="A113" s="7">
        <v>7731</v>
      </c>
      <c r="B113" s="53">
        <v>18.3</v>
      </c>
    </row>
    <row r="114" spans="1:2">
      <c r="A114" s="7">
        <v>7762</v>
      </c>
      <c r="B114" s="53">
        <v>18.100000000000001</v>
      </c>
    </row>
    <row r="115" spans="1:2">
      <c r="A115" s="7">
        <v>7792</v>
      </c>
      <c r="B115" s="53">
        <v>17.7</v>
      </c>
    </row>
    <row r="116" spans="1:2">
      <c r="A116" s="7">
        <v>7823</v>
      </c>
      <c r="B116" s="53">
        <v>17.600000000000001</v>
      </c>
    </row>
    <row r="117" spans="1:2">
      <c r="A117" s="7">
        <v>7853</v>
      </c>
      <c r="B117" s="53">
        <v>17.7</v>
      </c>
    </row>
    <row r="118" spans="1:2">
      <c r="A118" s="7">
        <v>7884</v>
      </c>
      <c r="B118" s="53">
        <v>17.7</v>
      </c>
    </row>
    <row r="119" spans="1:2">
      <c r="A119" s="7">
        <v>7915</v>
      </c>
      <c r="B119" s="53">
        <v>17.5</v>
      </c>
    </row>
    <row r="120" spans="1:2">
      <c r="A120" s="7">
        <v>7945</v>
      </c>
      <c r="B120" s="53">
        <v>17.5</v>
      </c>
    </row>
    <row r="121" spans="1:2">
      <c r="A121" s="7">
        <v>7976</v>
      </c>
      <c r="B121" s="53">
        <v>17.399999999999999</v>
      </c>
    </row>
    <row r="122" spans="1:2">
      <c r="A122" s="7">
        <v>8006</v>
      </c>
      <c r="B122" s="53">
        <v>17.3</v>
      </c>
    </row>
    <row r="123" spans="1:2">
      <c r="A123" s="7">
        <v>8037</v>
      </c>
      <c r="B123" s="53">
        <v>16.899999999999999</v>
      </c>
    </row>
    <row r="124" spans="1:2">
      <c r="A124" s="7">
        <v>8068</v>
      </c>
      <c r="B124" s="53">
        <v>16.899999999999999</v>
      </c>
    </row>
    <row r="125" spans="1:2">
      <c r="A125" s="7">
        <v>8096</v>
      </c>
      <c r="B125" s="53">
        <v>16.7</v>
      </c>
    </row>
    <row r="126" spans="1:2">
      <c r="A126" s="7">
        <v>8127</v>
      </c>
      <c r="B126" s="53">
        <v>16.7</v>
      </c>
    </row>
    <row r="127" spans="1:2">
      <c r="A127" s="7">
        <v>8157</v>
      </c>
      <c r="B127" s="53">
        <v>16.7</v>
      </c>
    </row>
    <row r="128" spans="1:2">
      <c r="A128" s="7">
        <v>8188</v>
      </c>
      <c r="B128" s="53">
        <v>16.7</v>
      </c>
    </row>
    <row r="129" spans="1:2">
      <c r="A129" s="7">
        <v>8218</v>
      </c>
      <c r="B129" s="53">
        <v>16.8</v>
      </c>
    </row>
    <row r="130" spans="1:2">
      <c r="A130" s="7">
        <v>8249</v>
      </c>
      <c r="B130" s="53">
        <v>16.600000000000001</v>
      </c>
    </row>
    <row r="131" spans="1:2">
      <c r="A131" s="7">
        <v>8280</v>
      </c>
      <c r="B131" s="53">
        <v>16.600000000000001</v>
      </c>
    </row>
    <row r="132" spans="1:2">
      <c r="A132" s="7">
        <v>8310</v>
      </c>
      <c r="B132" s="53">
        <v>16.7</v>
      </c>
    </row>
    <row r="133" spans="1:2">
      <c r="A133" s="7">
        <v>8341</v>
      </c>
      <c r="B133" s="53">
        <v>16.8</v>
      </c>
    </row>
    <row r="134" spans="1:2">
      <c r="A134" s="7">
        <v>8371</v>
      </c>
      <c r="B134" s="53">
        <v>16.899999999999999</v>
      </c>
    </row>
    <row r="135" spans="1:2">
      <c r="A135" s="7">
        <v>8402</v>
      </c>
      <c r="B135" s="53">
        <v>16.8</v>
      </c>
    </row>
    <row r="136" spans="1:2">
      <c r="A136" s="7">
        <v>8433</v>
      </c>
      <c r="B136" s="53">
        <v>16.8</v>
      </c>
    </row>
    <row r="137" spans="1:2">
      <c r="A137" s="7">
        <v>8461</v>
      </c>
      <c r="B137" s="53">
        <v>16.8</v>
      </c>
    </row>
    <row r="138" spans="1:2">
      <c r="A138" s="7">
        <v>8492</v>
      </c>
      <c r="B138" s="53">
        <v>16.899999999999999</v>
      </c>
    </row>
    <row r="139" spans="1:2">
      <c r="A139" s="7">
        <v>8522</v>
      </c>
      <c r="B139" s="53">
        <v>16.899999999999999</v>
      </c>
    </row>
    <row r="140" spans="1:2">
      <c r="A140" s="7">
        <v>8553</v>
      </c>
      <c r="B140" s="53">
        <v>17</v>
      </c>
    </row>
    <row r="141" spans="1:2">
      <c r="A141" s="7">
        <v>8583</v>
      </c>
      <c r="B141" s="53">
        <v>17.2</v>
      </c>
    </row>
    <row r="142" spans="1:2">
      <c r="A142" s="7">
        <v>8614</v>
      </c>
      <c r="B142" s="53">
        <v>17.100000000000001</v>
      </c>
    </row>
    <row r="143" spans="1:2">
      <c r="A143" s="7">
        <v>8645</v>
      </c>
      <c r="B143" s="53">
        <v>17.2</v>
      </c>
    </row>
    <row r="144" spans="1:2">
      <c r="A144" s="7">
        <v>8675</v>
      </c>
      <c r="B144" s="53">
        <v>17.3</v>
      </c>
    </row>
    <row r="145" spans="1:2">
      <c r="A145" s="7">
        <v>8706</v>
      </c>
      <c r="B145" s="53">
        <v>17.3</v>
      </c>
    </row>
    <row r="146" spans="1:2">
      <c r="A146" s="7">
        <v>8736</v>
      </c>
      <c r="B146" s="53">
        <v>17.3</v>
      </c>
    </row>
    <row r="147" spans="1:2">
      <c r="A147" s="7">
        <v>8767</v>
      </c>
      <c r="B147" s="53">
        <v>17.3</v>
      </c>
    </row>
    <row r="148" spans="1:2">
      <c r="A148" s="7">
        <v>8798</v>
      </c>
      <c r="B148" s="53">
        <v>17.2</v>
      </c>
    </row>
    <row r="149" spans="1:2">
      <c r="A149" s="7">
        <v>8827</v>
      </c>
      <c r="B149" s="53">
        <v>17.100000000000001</v>
      </c>
    </row>
    <row r="150" spans="1:2">
      <c r="A150" s="7">
        <v>8858</v>
      </c>
      <c r="B150" s="53">
        <v>17</v>
      </c>
    </row>
    <row r="151" spans="1:2">
      <c r="A151" s="7">
        <v>8888</v>
      </c>
      <c r="B151" s="53">
        <v>17</v>
      </c>
    </row>
    <row r="152" spans="1:2">
      <c r="A152" s="7">
        <v>8919</v>
      </c>
      <c r="B152" s="53">
        <v>17</v>
      </c>
    </row>
    <row r="153" spans="1:2">
      <c r="A153" s="7">
        <v>8949</v>
      </c>
      <c r="B153" s="53">
        <v>17.100000000000001</v>
      </c>
    </row>
    <row r="154" spans="1:2">
      <c r="A154" s="7">
        <v>8980</v>
      </c>
      <c r="B154" s="53">
        <v>17</v>
      </c>
    </row>
    <row r="155" spans="1:2">
      <c r="A155" s="7">
        <v>9011</v>
      </c>
      <c r="B155" s="53">
        <v>17.100000000000001</v>
      </c>
    </row>
    <row r="156" spans="1:2">
      <c r="A156" s="7">
        <v>9041</v>
      </c>
      <c r="B156" s="53">
        <v>17.2</v>
      </c>
    </row>
    <row r="157" spans="1:2">
      <c r="A157" s="7">
        <v>9072</v>
      </c>
      <c r="B157" s="53">
        <v>17.2</v>
      </c>
    </row>
    <row r="158" spans="1:2">
      <c r="A158" s="7">
        <v>9102</v>
      </c>
      <c r="B158" s="53">
        <v>17.3</v>
      </c>
    </row>
    <row r="159" spans="1:2">
      <c r="A159" s="7">
        <v>9133</v>
      </c>
      <c r="B159" s="53">
        <v>17.3</v>
      </c>
    </row>
    <row r="160" spans="1:2">
      <c r="A160" s="7">
        <v>9164</v>
      </c>
      <c r="B160" s="53">
        <v>17.2</v>
      </c>
    </row>
    <row r="161" spans="1:2">
      <c r="A161" s="7">
        <v>9192</v>
      </c>
      <c r="B161" s="53">
        <v>17.3</v>
      </c>
    </row>
    <row r="162" spans="1:2">
      <c r="A162" s="7">
        <v>9223</v>
      </c>
      <c r="B162" s="53">
        <v>17.2</v>
      </c>
    </row>
    <row r="163" spans="1:2">
      <c r="A163" s="7">
        <v>9253</v>
      </c>
      <c r="B163" s="53">
        <v>17.3</v>
      </c>
    </row>
    <row r="164" spans="1:2">
      <c r="A164" s="7">
        <v>9284</v>
      </c>
      <c r="B164" s="53">
        <v>17.5</v>
      </c>
    </row>
    <row r="165" spans="1:2">
      <c r="A165" s="7">
        <v>9314</v>
      </c>
      <c r="B165" s="53">
        <v>17.7</v>
      </c>
    </row>
    <row r="166" spans="1:2">
      <c r="A166" s="7">
        <v>9345</v>
      </c>
      <c r="B166" s="53">
        <v>17.7</v>
      </c>
    </row>
    <row r="167" spans="1:2">
      <c r="A167" s="7">
        <v>9376</v>
      </c>
      <c r="B167" s="53">
        <v>17.7</v>
      </c>
    </row>
    <row r="168" spans="1:2">
      <c r="A168" s="7">
        <v>9406</v>
      </c>
      <c r="B168" s="53">
        <v>17.7</v>
      </c>
    </row>
    <row r="169" spans="1:2">
      <c r="A169" s="7">
        <v>9437</v>
      </c>
      <c r="B169" s="53">
        <v>18</v>
      </c>
    </row>
    <row r="170" spans="1:2">
      <c r="A170" s="7">
        <v>9467</v>
      </c>
      <c r="B170" s="53">
        <v>17.899999999999999</v>
      </c>
    </row>
    <row r="171" spans="1:2">
      <c r="A171" s="7">
        <v>9498</v>
      </c>
      <c r="B171" s="53">
        <v>17.899999999999999</v>
      </c>
    </row>
    <row r="172" spans="1:2">
      <c r="A172" s="7">
        <v>9529</v>
      </c>
      <c r="B172" s="53">
        <v>17.899999999999999</v>
      </c>
    </row>
    <row r="173" spans="1:2">
      <c r="A173" s="7">
        <v>9557</v>
      </c>
      <c r="B173" s="53">
        <v>17.8</v>
      </c>
    </row>
    <row r="174" spans="1:2">
      <c r="A174" s="7">
        <v>9588</v>
      </c>
      <c r="B174" s="53">
        <v>17.899999999999999</v>
      </c>
    </row>
    <row r="175" spans="1:2">
      <c r="A175" s="7">
        <v>9618</v>
      </c>
      <c r="B175" s="53">
        <v>17.8</v>
      </c>
    </row>
    <row r="176" spans="1:2">
      <c r="A176" s="7">
        <v>9649</v>
      </c>
      <c r="B176" s="53">
        <v>17.7</v>
      </c>
    </row>
    <row r="177" spans="1:2">
      <c r="A177" s="7">
        <v>9679</v>
      </c>
      <c r="B177" s="53">
        <v>17.5</v>
      </c>
    </row>
    <row r="178" spans="1:2">
      <c r="A178" s="7">
        <v>9710</v>
      </c>
      <c r="B178" s="53">
        <v>17.399999999999999</v>
      </c>
    </row>
    <row r="179" spans="1:2">
      <c r="A179" s="7">
        <v>9741</v>
      </c>
      <c r="B179" s="53">
        <v>17.5</v>
      </c>
    </row>
    <row r="180" spans="1:2">
      <c r="A180" s="7">
        <v>9771</v>
      </c>
      <c r="B180" s="53">
        <v>17.600000000000001</v>
      </c>
    </row>
    <row r="181" spans="1:2">
      <c r="A181" s="7">
        <v>9802</v>
      </c>
      <c r="B181" s="53">
        <v>17.7</v>
      </c>
    </row>
    <row r="182" spans="1:2">
      <c r="A182" s="7">
        <v>9832</v>
      </c>
      <c r="B182" s="53">
        <v>17.7</v>
      </c>
    </row>
    <row r="183" spans="1:2">
      <c r="A183" s="7">
        <v>9863</v>
      </c>
      <c r="B183" s="53">
        <v>17.5</v>
      </c>
    </row>
    <row r="184" spans="1:2">
      <c r="A184" s="7">
        <v>9894</v>
      </c>
      <c r="B184" s="53">
        <v>17.399999999999999</v>
      </c>
    </row>
    <row r="185" spans="1:2">
      <c r="A185" s="7">
        <v>9922</v>
      </c>
      <c r="B185" s="53">
        <v>17.3</v>
      </c>
    </row>
    <row r="186" spans="1:2">
      <c r="A186" s="7">
        <v>9953</v>
      </c>
      <c r="B186" s="53">
        <v>17.3</v>
      </c>
    </row>
    <row r="187" spans="1:2">
      <c r="A187" s="7">
        <v>9983</v>
      </c>
      <c r="B187" s="53">
        <v>17.399999999999999</v>
      </c>
    </row>
    <row r="188" spans="1:2">
      <c r="A188" s="7">
        <v>10014</v>
      </c>
      <c r="B188" s="53">
        <v>17.600000000000001</v>
      </c>
    </row>
    <row r="189" spans="1:2">
      <c r="A189" s="7">
        <v>10044</v>
      </c>
      <c r="B189" s="53">
        <v>17.3</v>
      </c>
    </row>
    <row r="190" spans="1:2">
      <c r="A190" s="7">
        <v>10075</v>
      </c>
      <c r="B190" s="53">
        <v>17.2</v>
      </c>
    </row>
    <row r="191" spans="1:2">
      <c r="A191" s="7">
        <v>10106</v>
      </c>
      <c r="B191" s="53">
        <v>17.3</v>
      </c>
    </row>
    <row r="192" spans="1:2">
      <c r="A192" s="7">
        <v>10136</v>
      </c>
      <c r="B192" s="53">
        <v>17.399999999999999</v>
      </c>
    </row>
    <row r="193" spans="1:2">
      <c r="A193" s="7">
        <v>10167</v>
      </c>
      <c r="B193" s="53">
        <v>17.3</v>
      </c>
    </row>
    <row r="194" spans="1:2">
      <c r="A194" s="7">
        <v>10197</v>
      </c>
      <c r="B194" s="53">
        <v>17.3</v>
      </c>
    </row>
    <row r="195" spans="1:2">
      <c r="A195" s="7">
        <v>10228</v>
      </c>
      <c r="B195" s="53">
        <v>17.3</v>
      </c>
    </row>
    <row r="196" spans="1:2">
      <c r="A196" s="7">
        <v>10259</v>
      </c>
      <c r="B196" s="53">
        <v>17.100000000000001</v>
      </c>
    </row>
    <row r="197" spans="1:2">
      <c r="A197" s="7">
        <v>10288</v>
      </c>
      <c r="B197" s="53">
        <v>17.100000000000001</v>
      </c>
    </row>
    <row r="198" spans="1:2">
      <c r="A198" s="7">
        <v>10319</v>
      </c>
      <c r="B198" s="53">
        <v>17.100000000000001</v>
      </c>
    </row>
    <row r="199" spans="1:2">
      <c r="A199" s="7">
        <v>10349</v>
      </c>
      <c r="B199" s="53">
        <v>17.2</v>
      </c>
    </row>
    <row r="200" spans="1:2">
      <c r="A200" s="7">
        <v>10380</v>
      </c>
      <c r="B200" s="53">
        <v>17.100000000000001</v>
      </c>
    </row>
    <row r="201" spans="1:2">
      <c r="A201" s="7">
        <v>10410</v>
      </c>
      <c r="B201" s="53">
        <v>17.100000000000001</v>
      </c>
    </row>
    <row r="202" spans="1:2">
      <c r="A202" s="7">
        <v>10441</v>
      </c>
      <c r="B202" s="53">
        <v>17.100000000000001</v>
      </c>
    </row>
    <row r="203" spans="1:2">
      <c r="A203" s="7">
        <v>10472</v>
      </c>
      <c r="B203" s="53">
        <v>17.3</v>
      </c>
    </row>
    <row r="204" spans="1:2">
      <c r="A204" s="7">
        <v>10502</v>
      </c>
      <c r="B204" s="53">
        <v>17.2</v>
      </c>
    </row>
    <row r="205" spans="1:2">
      <c r="A205" s="7">
        <v>10533</v>
      </c>
      <c r="B205" s="53">
        <v>17.2</v>
      </c>
    </row>
    <row r="206" spans="1:2">
      <c r="A206" s="7">
        <v>10563</v>
      </c>
      <c r="B206" s="53">
        <v>17.100000000000001</v>
      </c>
    </row>
    <row r="207" spans="1:2">
      <c r="A207" s="7">
        <v>10594</v>
      </c>
      <c r="B207" s="53">
        <v>17.100000000000001</v>
      </c>
    </row>
    <row r="208" spans="1:2">
      <c r="A208" s="7">
        <v>10625</v>
      </c>
      <c r="B208" s="53">
        <v>17.100000000000001</v>
      </c>
    </row>
    <row r="209" spans="1:2">
      <c r="A209" s="7">
        <v>10653</v>
      </c>
      <c r="B209" s="53">
        <v>17</v>
      </c>
    </row>
    <row r="210" spans="1:2">
      <c r="A210" s="7">
        <v>10684</v>
      </c>
      <c r="B210" s="53">
        <v>16.899999999999999</v>
      </c>
    </row>
    <row r="211" spans="1:2">
      <c r="A211" s="7">
        <v>10714</v>
      </c>
      <c r="B211" s="53">
        <v>17</v>
      </c>
    </row>
    <row r="212" spans="1:2">
      <c r="A212" s="7">
        <v>10745</v>
      </c>
      <c r="B212" s="53">
        <v>17.100000000000001</v>
      </c>
    </row>
    <row r="213" spans="1:2">
      <c r="A213" s="7">
        <v>10775</v>
      </c>
      <c r="B213" s="53">
        <v>17.3</v>
      </c>
    </row>
    <row r="214" spans="1:2">
      <c r="A214" s="7">
        <v>10806</v>
      </c>
      <c r="B214" s="53">
        <v>17.3</v>
      </c>
    </row>
    <row r="215" spans="1:2">
      <c r="A215" s="7">
        <v>10837</v>
      </c>
      <c r="B215" s="53">
        <v>17.3</v>
      </c>
    </row>
    <row r="216" spans="1:2">
      <c r="A216" s="7">
        <v>10867</v>
      </c>
      <c r="B216" s="53">
        <v>17.3</v>
      </c>
    </row>
    <row r="217" spans="1:2">
      <c r="A217" s="7">
        <v>10898</v>
      </c>
      <c r="B217" s="53">
        <v>17.3</v>
      </c>
    </row>
    <row r="218" spans="1:2">
      <c r="A218" s="7">
        <v>10928</v>
      </c>
      <c r="B218" s="53">
        <v>17.2</v>
      </c>
    </row>
    <row r="219" spans="1:2">
      <c r="A219" s="7">
        <v>10959</v>
      </c>
      <c r="B219" s="53">
        <v>17.100000000000001</v>
      </c>
    </row>
    <row r="220" spans="1:2">
      <c r="A220" s="7">
        <v>10990</v>
      </c>
      <c r="B220" s="53">
        <v>17</v>
      </c>
    </row>
    <row r="221" spans="1:2">
      <c r="A221" s="7">
        <v>11018</v>
      </c>
      <c r="B221" s="53">
        <v>16.899999999999999</v>
      </c>
    </row>
    <row r="222" spans="1:2">
      <c r="A222" s="7">
        <v>11049</v>
      </c>
      <c r="B222" s="53">
        <v>17</v>
      </c>
    </row>
    <row r="223" spans="1:2">
      <c r="A223" s="7">
        <v>11079</v>
      </c>
      <c r="B223" s="53">
        <v>16.899999999999999</v>
      </c>
    </row>
    <row r="224" spans="1:2">
      <c r="A224" s="7">
        <v>11110</v>
      </c>
      <c r="B224" s="53">
        <v>16.8</v>
      </c>
    </row>
    <row r="225" spans="1:2">
      <c r="A225" s="7">
        <v>11140</v>
      </c>
      <c r="B225" s="53">
        <v>16.600000000000001</v>
      </c>
    </row>
    <row r="226" spans="1:2">
      <c r="A226" s="7">
        <v>11171</v>
      </c>
      <c r="B226" s="53">
        <v>16.5</v>
      </c>
    </row>
    <row r="227" spans="1:2">
      <c r="A227" s="7">
        <v>11202</v>
      </c>
      <c r="B227" s="53">
        <v>16.600000000000001</v>
      </c>
    </row>
    <row r="228" spans="1:2">
      <c r="A228" s="7">
        <v>11232</v>
      </c>
      <c r="B228" s="53">
        <v>16.5</v>
      </c>
    </row>
    <row r="229" spans="1:2">
      <c r="A229" s="7">
        <v>11263</v>
      </c>
      <c r="B229" s="53">
        <v>16.399999999999999</v>
      </c>
    </row>
    <row r="230" spans="1:2">
      <c r="A230" s="7">
        <v>11293</v>
      </c>
      <c r="B230" s="53">
        <v>16.100000000000001</v>
      </c>
    </row>
    <row r="231" spans="1:2">
      <c r="A231" s="7">
        <v>11324</v>
      </c>
      <c r="B231" s="53">
        <v>15.9</v>
      </c>
    </row>
    <row r="232" spans="1:2">
      <c r="A232" s="7">
        <v>11355</v>
      </c>
      <c r="B232" s="53">
        <v>15.7</v>
      </c>
    </row>
    <row r="233" spans="1:2">
      <c r="A233" s="7">
        <v>11383</v>
      </c>
      <c r="B233" s="53">
        <v>15.6</v>
      </c>
    </row>
    <row r="234" spans="1:2">
      <c r="A234" s="7">
        <v>11414</v>
      </c>
      <c r="B234" s="53">
        <v>15.5</v>
      </c>
    </row>
    <row r="235" spans="1:2">
      <c r="A235" s="7">
        <v>11444</v>
      </c>
      <c r="B235" s="53">
        <v>15.3</v>
      </c>
    </row>
    <row r="236" spans="1:2">
      <c r="A236" s="7">
        <v>11475</v>
      </c>
      <c r="B236" s="53">
        <v>15.1</v>
      </c>
    </row>
    <row r="237" spans="1:2">
      <c r="A237" s="7">
        <v>11505</v>
      </c>
      <c r="B237" s="53">
        <v>15.1</v>
      </c>
    </row>
    <row r="238" spans="1:2">
      <c r="A238" s="7">
        <v>11536</v>
      </c>
      <c r="B238" s="53">
        <v>15.1</v>
      </c>
    </row>
    <row r="239" spans="1:2">
      <c r="A239" s="7">
        <v>11567</v>
      </c>
      <c r="B239" s="53">
        <v>15</v>
      </c>
    </row>
    <row r="240" spans="1:2">
      <c r="A240" s="7">
        <v>11597</v>
      </c>
      <c r="B240" s="53">
        <v>14.9</v>
      </c>
    </row>
    <row r="241" spans="1:2">
      <c r="A241" s="7">
        <v>11628</v>
      </c>
      <c r="B241" s="53">
        <v>14.7</v>
      </c>
    </row>
    <row r="242" spans="1:2">
      <c r="A242" s="7">
        <v>11658</v>
      </c>
      <c r="B242" s="53">
        <v>14.6</v>
      </c>
    </row>
    <row r="243" spans="1:2">
      <c r="A243" s="7">
        <v>11689</v>
      </c>
      <c r="B243" s="53">
        <v>14.3</v>
      </c>
    </row>
    <row r="244" spans="1:2">
      <c r="A244" s="7">
        <v>11720</v>
      </c>
      <c r="B244" s="53">
        <v>14.1</v>
      </c>
    </row>
    <row r="245" spans="1:2">
      <c r="A245" s="7">
        <v>11749</v>
      </c>
      <c r="B245" s="53">
        <v>14</v>
      </c>
    </row>
    <row r="246" spans="1:2">
      <c r="A246" s="7">
        <v>11780</v>
      </c>
      <c r="B246" s="53">
        <v>13.9</v>
      </c>
    </row>
    <row r="247" spans="1:2">
      <c r="A247" s="7">
        <v>11810</v>
      </c>
      <c r="B247" s="53">
        <v>13.7</v>
      </c>
    </row>
    <row r="248" spans="1:2">
      <c r="A248" s="7">
        <v>11841</v>
      </c>
      <c r="B248" s="53">
        <v>13.6</v>
      </c>
    </row>
    <row r="249" spans="1:2">
      <c r="A249" s="7">
        <v>11871</v>
      </c>
      <c r="B249" s="53">
        <v>13.6</v>
      </c>
    </row>
    <row r="250" spans="1:2">
      <c r="A250" s="7">
        <v>11902</v>
      </c>
      <c r="B250" s="53">
        <v>13.5</v>
      </c>
    </row>
    <row r="251" spans="1:2">
      <c r="A251" s="7">
        <v>11933</v>
      </c>
      <c r="B251" s="53">
        <v>13.4</v>
      </c>
    </row>
    <row r="252" spans="1:2">
      <c r="A252" s="7">
        <v>11963</v>
      </c>
      <c r="B252" s="53">
        <v>13.3</v>
      </c>
    </row>
    <row r="253" spans="1:2">
      <c r="A253" s="7">
        <v>11994</v>
      </c>
      <c r="B253" s="53">
        <v>13.2</v>
      </c>
    </row>
    <row r="254" spans="1:2">
      <c r="A254" s="7">
        <v>12024</v>
      </c>
      <c r="B254" s="53">
        <v>13.1</v>
      </c>
    </row>
    <row r="255" spans="1:2">
      <c r="A255" s="7">
        <v>12055</v>
      </c>
      <c r="B255" s="53">
        <v>12.9</v>
      </c>
    </row>
    <row r="256" spans="1:2">
      <c r="A256" s="7">
        <v>12086</v>
      </c>
      <c r="B256" s="53">
        <v>12.7</v>
      </c>
    </row>
    <row r="257" spans="1:2">
      <c r="A257" s="7">
        <v>12114</v>
      </c>
      <c r="B257" s="53">
        <v>12.6</v>
      </c>
    </row>
    <row r="258" spans="1:2">
      <c r="A258" s="7">
        <v>12145</v>
      </c>
      <c r="B258" s="53">
        <v>12.6</v>
      </c>
    </row>
    <row r="259" spans="1:2">
      <c r="A259" s="7">
        <v>12175</v>
      </c>
      <c r="B259" s="53">
        <v>12.6</v>
      </c>
    </row>
    <row r="260" spans="1:2">
      <c r="A260" s="7">
        <v>12206</v>
      </c>
      <c r="B260" s="53">
        <v>12.7</v>
      </c>
    </row>
    <row r="261" spans="1:2">
      <c r="A261" s="7">
        <v>12236</v>
      </c>
      <c r="B261" s="53">
        <v>13.1</v>
      </c>
    </row>
    <row r="262" spans="1:2">
      <c r="A262" s="7">
        <v>12267</v>
      </c>
      <c r="B262" s="53">
        <v>13.2</v>
      </c>
    </row>
    <row r="263" spans="1:2">
      <c r="A263" s="7">
        <v>12298</v>
      </c>
      <c r="B263" s="53">
        <v>13.2</v>
      </c>
    </row>
    <row r="264" spans="1:2">
      <c r="A264" s="7">
        <v>12328</v>
      </c>
      <c r="B264" s="53">
        <v>13.2</v>
      </c>
    </row>
    <row r="265" spans="1:2">
      <c r="A265" s="7">
        <v>12359</v>
      </c>
      <c r="B265" s="53">
        <v>13.2</v>
      </c>
    </row>
    <row r="266" spans="1:2">
      <c r="A266" s="7">
        <v>12389</v>
      </c>
      <c r="B266" s="53">
        <v>13.2</v>
      </c>
    </row>
    <row r="267" spans="1:2">
      <c r="A267" s="7">
        <v>12420</v>
      </c>
      <c r="B267" s="53">
        <v>13.2</v>
      </c>
    </row>
    <row r="268" spans="1:2">
      <c r="A268" s="7">
        <v>12451</v>
      </c>
      <c r="B268" s="53">
        <v>13.3</v>
      </c>
    </row>
    <row r="269" spans="1:2">
      <c r="A269" s="7">
        <v>12479</v>
      </c>
      <c r="B269" s="53">
        <v>13.3</v>
      </c>
    </row>
    <row r="270" spans="1:2">
      <c r="A270" s="7">
        <v>12510</v>
      </c>
      <c r="B270" s="53">
        <v>13.3</v>
      </c>
    </row>
    <row r="271" spans="1:2">
      <c r="A271" s="7">
        <v>12540</v>
      </c>
      <c r="B271" s="53">
        <v>13.3</v>
      </c>
    </row>
    <row r="272" spans="1:2">
      <c r="A272" s="7">
        <v>12571</v>
      </c>
      <c r="B272" s="53">
        <v>13.4</v>
      </c>
    </row>
    <row r="273" spans="1:2">
      <c r="A273" s="7">
        <v>12601</v>
      </c>
      <c r="B273" s="53">
        <v>13.4</v>
      </c>
    </row>
    <row r="274" spans="1:2">
      <c r="A274" s="7">
        <v>12632</v>
      </c>
      <c r="B274" s="53">
        <v>13.4</v>
      </c>
    </row>
    <row r="275" spans="1:2">
      <c r="A275" s="7">
        <v>12663</v>
      </c>
      <c r="B275" s="53">
        <v>13.6</v>
      </c>
    </row>
    <row r="276" spans="1:2">
      <c r="A276" s="7">
        <v>12693</v>
      </c>
      <c r="B276" s="53">
        <v>13.5</v>
      </c>
    </row>
    <row r="277" spans="1:2">
      <c r="A277" s="7">
        <v>12724</v>
      </c>
      <c r="B277" s="53">
        <v>13.5</v>
      </c>
    </row>
    <row r="278" spans="1:2">
      <c r="A278" s="7">
        <v>12754</v>
      </c>
      <c r="B278" s="53">
        <v>13.4</v>
      </c>
    </row>
    <row r="279" spans="1:2">
      <c r="A279" s="7">
        <v>12785</v>
      </c>
      <c r="B279" s="53">
        <v>13.6</v>
      </c>
    </row>
    <row r="280" spans="1:2">
      <c r="A280" s="7">
        <v>12816</v>
      </c>
      <c r="B280" s="53">
        <v>13.7</v>
      </c>
    </row>
    <row r="281" spans="1:2">
      <c r="A281" s="7">
        <v>12844</v>
      </c>
      <c r="B281" s="53">
        <v>13.7</v>
      </c>
    </row>
    <row r="282" spans="1:2">
      <c r="A282" s="7">
        <v>12875</v>
      </c>
      <c r="B282" s="53">
        <v>13.8</v>
      </c>
    </row>
    <row r="283" spans="1:2">
      <c r="A283" s="7">
        <v>12905</v>
      </c>
      <c r="B283" s="53">
        <v>13.8</v>
      </c>
    </row>
    <row r="284" spans="1:2">
      <c r="A284" s="7">
        <v>12936</v>
      </c>
      <c r="B284" s="53">
        <v>13.7</v>
      </c>
    </row>
    <row r="285" spans="1:2">
      <c r="A285" s="7">
        <v>12966</v>
      </c>
      <c r="B285" s="53">
        <v>13.7</v>
      </c>
    </row>
    <row r="286" spans="1:2">
      <c r="A286" s="7">
        <v>12997</v>
      </c>
      <c r="B286" s="53">
        <v>13.7</v>
      </c>
    </row>
    <row r="287" spans="1:2">
      <c r="A287" s="7">
        <v>13028</v>
      </c>
      <c r="B287" s="53">
        <v>13.7</v>
      </c>
    </row>
    <row r="288" spans="1:2">
      <c r="A288" s="7">
        <v>13058</v>
      </c>
      <c r="B288" s="53">
        <v>13.7</v>
      </c>
    </row>
    <row r="289" spans="1:2">
      <c r="A289" s="7">
        <v>13089</v>
      </c>
      <c r="B289" s="53">
        <v>13.8</v>
      </c>
    </row>
    <row r="290" spans="1:2">
      <c r="A290" s="7">
        <v>13119</v>
      </c>
      <c r="B290" s="53">
        <v>13.8</v>
      </c>
    </row>
    <row r="291" spans="1:2">
      <c r="A291" s="7">
        <v>13150</v>
      </c>
      <c r="B291" s="53">
        <v>13.8</v>
      </c>
    </row>
    <row r="292" spans="1:2">
      <c r="A292" s="7">
        <v>13181</v>
      </c>
      <c r="B292" s="53">
        <v>13.8</v>
      </c>
    </row>
    <row r="293" spans="1:2">
      <c r="A293" s="7">
        <v>13210</v>
      </c>
      <c r="B293" s="53">
        <v>13.7</v>
      </c>
    </row>
    <row r="294" spans="1:2">
      <c r="A294" s="7">
        <v>13241</v>
      </c>
      <c r="B294" s="53">
        <v>13.7</v>
      </c>
    </row>
    <row r="295" spans="1:2">
      <c r="A295" s="7">
        <v>13271</v>
      </c>
      <c r="B295" s="53">
        <v>13.7</v>
      </c>
    </row>
    <row r="296" spans="1:2">
      <c r="A296" s="7">
        <v>13302</v>
      </c>
      <c r="B296" s="53">
        <v>13.8</v>
      </c>
    </row>
    <row r="297" spans="1:2">
      <c r="A297" s="7">
        <v>13332</v>
      </c>
      <c r="B297" s="53">
        <v>13.9</v>
      </c>
    </row>
    <row r="298" spans="1:2">
      <c r="A298" s="7">
        <v>13363</v>
      </c>
      <c r="B298" s="53">
        <v>14</v>
      </c>
    </row>
    <row r="299" spans="1:2">
      <c r="A299" s="7">
        <v>13394</v>
      </c>
      <c r="B299" s="53">
        <v>14</v>
      </c>
    </row>
    <row r="300" spans="1:2">
      <c r="A300" s="7">
        <v>13424</v>
      </c>
      <c r="B300" s="53">
        <v>14</v>
      </c>
    </row>
    <row r="301" spans="1:2">
      <c r="A301" s="7">
        <v>13455</v>
      </c>
      <c r="B301" s="53">
        <v>14</v>
      </c>
    </row>
    <row r="302" spans="1:2">
      <c r="A302" s="7">
        <v>13485</v>
      </c>
      <c r="B302" s="53">
        <v>14</v>
      </c>
    </row>
    <row r="303" spans="1:2">
      <c r="A303" s="7">
        <v>13516</v>
      </c>
      <c r="B303" s="53">
        <v>14.1</v>
      </c>
    </row>
    <row r="304" spans="1:2">
      <c r="A304" s="7">
        <v>13547</v>
      </c>
      <c r="B304" s="53">
        <v>14.1</v>
      </c>
    </row>
    <row r="305" spans="1:2">
      <c r="A305" s="7">
        <v>13575</v>
      </c>
      <c r="B305" s="53">
        <v>14.2</v>
      </c>
    </row>
    <row r="306" spans="1:2">
      <c r="A306" s="7">
        <v>13606</v>
      </c>
      <c r="B306" s="53">
        <v>14.3</v>
      </c>
    </row>
    <row r="307" spans="1:2">
      <c r="A307" s="7">
        <v>13636</v>
      </c>
      <c r="B307" s="53">
        <v>14.4</v>
      </c>
    </row>
    <row r="308" spans="1:2">
      <c r="A308" s="7">
        <v>13667</v>
      </c>
      <c r="B308" s="53">
        <v>14.4</v>
      </c>
    </row>
    <row r="309" spans="1:2">
      <c r="A309" s="7">
        <v>13697</v>
      </c>
      <c r="B309" s="53">
        <v>14.5</v>
      </c>
    </row>
    <row r="310" spans="1:2">
      <c r="A310" s="7">
        <v>13728</v>
      </c>
      <c r="B310" s="53">
        <v>14.5</v>
      </c>
    </row>
    <row r="311" spans="1:2">
      <c r="A311" s="7">
        <v>13759</v>
      </c>
      <c r="B311" s="53">
        <v>14.6</v>
      </c>
    </row>
    <row r="312" spans="1:2">
      <c r="A312" s="7">
        <v>13789</v>
      </c>
      <c r="B312" s="53">
        <v>14.6</v>
      </c>
    </row>
    <row r="313" spans="1:2">
      <c r="A313" s="7">
        <v>13820</v>
      </c>
      <c r="B313" s="53">
        <v>14.5</v>
      </c>
    </row>
    <row r="314" spans="1:2">
      <c r="A314" s="7">
        <v>13850</v>
      </c>
      <c r="B314" s="53">
        <v>14.4</v>
      </c>
    </row>
    <row r="315" spans="1:2">
      <c r="A315" s="7">
        <v>13881</v>
      </c>
      <c r="B315" s="53">
        <v>14.2</v>
      </c>
    </row>
    <row r="316" spans="1:2">
      <c r="A316" s="7">
        <v>13912</v>
      </c>
      <c r="B316" s="53">
        <v>14.1</v>
      </c>
    </row>
    <row r="317" spans="1:2">
      <c r="A317" s="7">
        <v>13940</v>
      </c>
      <c r="B317" s="53">
        <v>14.1</v>
      </c>
    </row>
    <row r="318" spans="1:2">
      <c r="A318" s="7">
        <v>13971</v>
      </c>
      <c r="B318" s="53">
        <v>14.2</v>
      </c>
    </row>
    <row r="319" spans="1:2">
      <c r="A319" s="7">
        <v>14001</v>
      </c>
      <c r="B319" s="53">
        <v>14.1</v>
      </c>
    </row>
    <row r="320" spans="1:2">
      <c r="A320" s="7">
        <v>14032</v>
      </c>
      <c r="B320" s="53">
        <v>14.1</v>
      </c>
    </row>
    <row r="321" spans="1:2">
      <c r="A321" s="7">
        <v>14062</v>
      </c>
      <c r="B321" s="53">
        <v>14.1</v>
      </c>
    </row>
    <row r="322" spans="1:2">
      <c r="A322" s="7">
        <v>14093</v>
      </c>
      <c r="B322" s="53">
        <v>14.1</v>
      </c>
    </row>
    <row r="323" spans="1:2">
      <c r="A323" s="7">
        <v>14124</v>
      </c>
      <c r="B323" s="53">
        <v>14.1</v>
      </c>
    </row>
    <row r="324" spans="1:2">
      <c r="A324" s="7">
        <v>14154</v>
      </c>
      <c r="B324" s="53">
        <v>14</v>
      </c>
    </row>
    <row r="325" spans="1:2">
      <c r="A325" s="7">
        <v>14185</v>
      </c>
      <c r="B325" s="53">
        <v>14</v>
      </c>
    </row>
    <row r="326" spans="1:2">
      <c r="A326" s="7">
        <v>14215</v>
      </c>
      <c r="B326" s="53">
        <v>14</v>
      </c>
    </row>
    <row r="327" spans="1:2">
      <c r="A327" s="7">
        <v>14246</v>
      </c>
      <c r="B327" s="53">
        <v>14</v>
      </c>
    </row>
    <row r="328" spans="1:2">
      <c r="A328" s="7">
        <v>14277</v>
      </c>
      <c r="B328" s="53">
        <v>13.9</v>
      </c>
    </row>
    <row r="329" spans="1:2">
      <c r="A329" s="7">
        <v>14305</v>
      </c>
      <c r="B329" s="53">
        <v>13.9</v>
      </c>
    </row>
    <row r="330" spans="1:2">
      <c r="A330" s="7">
        <v>14336</v>
      </c>
      <c r="B330" s="53">
        <v>13.8</v>
      </c>
    </row>
    <row r="331" spans="1:2">
      <c r="A331" s="7">
        <v>14366</v>
      </c>
      <c r="B331" s="53">
        <v>13.8</v>
      </c>
    </row>
    <row r="332" spans="1:2">
      <c r="A332" s="7">
        <v>14397</v>
      </c>
      <c r="B332" s="53">
        <v>13.8</v>
      </c>
    </row>
    <row r="333" spans="1:2">
      <c r="A333" s="7">
        <v>14427</v>
      </c>
      <c r="B333" s="53">
        <v>13.8</v>
      </c>
    </row>
    <row r="334" spans="1:2">
      <c r="A334" s="7">
        <v>14458</v>
      </c>
      <c r="B334" s="53">
        <v>13.8</v>
      </c>
    </row>
    <row r="335" spans="1:2">
      <c r="A335" s="7">
        <v>14489</v>
      </c>
      <c r="B335" s="53">
        <v>14.1</v>
      </c>
    </row>
    <row r="336" spans="1:2">
      <c r="A336" s="7">
        <v>14519</v>
      </c>
      <c r="B336" s="53">
        <v>14</v>
      </c>
    </row>
    <row r="337" spans="1:2">
      <c r="A337" s="7">
        <v>14550</v>
      </c>
      <c r="B337" s="53">
        <v>14</v>
      </c>
    </row>
    <row r="338" spans="1:2">
      <c r="A338" s="7">
        <v>14580</v>
      </c>
      <c r="B338" s="53">
        <v>14</v>
      </c>
    </row>
    <row r="339" spans="1:2">
      <c r="A339" s="7">
        <v>14611</v>
      </c>
      <c r="B339" s="53">
        <v>13.9</v>
      </c>
    </row>
    <row r="340" spans="1:2">
      <c r="A340" s="7">
        <v>14642</v>
      </c>
      <c r="B340" s="53">
        <v>14</v>
      </c>
    </row>
    <row r="341" spans="1:2">
      <c r="A341" s="7">
        <v>14671</v>
      </c>
      <c r="B341" s="53">
        <v>14</v>
      </c>
    </row>
    <row r="342" spans="1:2">
      <c r="A342" s="7">
        <v>14702</v>
      </c>
      <c r="B342" s="53">
        <v>14</v>
      </c>
    </row>
    <row r="343" spans="1:2">
      <c r="A343" s="7">
        <v>14732</v>
      </c>
      <c r="B343" s="53">
        <v>14</v>
      </c>
    </row>
    <row r="344" spans="1:2">
      <c r="A344" s="7">
        <v>14763</v>
      </c>
      <c r="B344" s="53">
        <v>14.1</v>
      </c>
    </row>
    <row r="345" spans="1:2">
      <c r="A345" s="7">
        <v>14793</v>
      </c>
      <c r="B345" s="53">
        <v>14</v>
      </c>
    </row>
    <row r="346" spans="1:2">
      <c r="A346" s="7">
        <v>14824</v>
      </c>
      <c r="B346" s="53">
        <v>14</v>
      </c>
    </row>
    <row r="347" spans="1:2">
      <c r="A347" s="7">
        <v>14855</v>
      </c>
      <c r="B347" s="53">
        <v>14</v>
      </c>
    </row>
    <row r="348" spans="1:2">
      <c r="A348" s="7">
        <v>14885</v>
      </c>
      <c r="B348" s="53">
        <v>14</v>
      </c>
    </row>
    <row r="349" spans="1:2">
      <c r="A349" s="7">
        <v>14916</v>
      </c>
      <c r="B349" s="53">
        <v>14</v>
      </c>
    </row>
    <row r="350" spans="1:2">
      <c r="A350" s="7">
        <v>14946</v>
      </c>
      <c r="B350" s="53">
        <v>14.1</v>
      </c>
    </row>
    <row r="351" spans="1:2">
      <c r="A351" s="7">
        <v>14977</v>
      </c>
      <c r="B351" s="53">
        <v>14.1</v>
      </c>
    </row>
    <row r="352" spans="1:2">
      <c r="A352" s="7">
        <v>15008</v>
      </c>
      <c r="B352" s="53">
        <v>14.1</v>
      </c>
    </row>
    <row r="353" spans="1:2">
      <c r="A353" s="7">
        <v>15036</v>
      </c>
      <c r="B353" s="53">
        <v>14.2</v>
      </c>
    </row>
    <row r="354" spans="1:2">
      <c r="A354" s="7">
        <v>15067</v>
      </c>
      <c r="B354" s="53">
        <v>14.3</v>
      </c>
    </row>
    <row r="355" spans="1:2">
      <c r="A355" s="7">
        <v>15097</v>
      </c>
      <c r="B355" s="53">
        <v>14.4</v>
      </c>
    </row>
    <row r="356" spans="1:2">
      <c r="A356" s="7">
        <v>15128</v>
      </c>
      <c r="B356" s="53">
        <v>14.7</v>
      </c>
    </row>
    <row r="357" spans="1:2">
      <c r="A357" s="7">
        <v>15158</v>
      </c>
      <c r="B357" s="53">
        <v>14.7</v>
      </c>
    </row>
    <row r="358" spans="1:2">
      <c r="A358" s="7">
        <v>15189</v>
      </c>
      <c r="B358" s="53">
        <v>14.9</v>
      </c>
    </row>
    <row r="359" spans="1:2">
      <c r="A359" s="7">
        <v>15220</v>
      </c>
      <c r="B359" s="53">
        <v>15.1</v>
      </c>
    </row>
    <row r="360" spans="1:2">
      <c r="A360" s="7">
        <v>15250</v>
      </c>
      <c r="B360" s="53">
        <v>15.3</v>
      </c>
    </row>
    <row r="361" spans="1:2">
      <c r="A361" s="7">
        <v>15281</v>
      </c>
      <c r="B361" s="53">
        <v>15.4</v>
      </c>
    </row>
    <row r="362" spans="1:2">
      <c r="A362" s="7">
        <v>15311</v>
      </c>
      <c r="B362" s="53">
        <v>15.5</v>
      </c>
    </row>
    <row r="363" spans="1:2">
      <c r="A363" s="7">
        <v>15342</v>
      </c>
      <c r="B363" s="53">
        <v>15.7</v>
      </c>
    </row>
    <row r="364" spans="1:2">
      <c r="A364" s="7">
        <v>15373</v>
      </c>
      <c r="B364" s="53">
        <v>15.8</v>
      </c>
    </row>
    <row r="365" spans="1:2">
      <c r="A365" s="7">
        <v>15401</v>
      </c>
      <c r="B365" s="53">
        <v>16</v>
      </c>
    </row>
    <row r="366" spans="1:2">
      <c r="A366" s="7">
        <v>15432</v>
      </c>
      <c r="B366" s="53">
        <v>16.100000000000001</v>
      </c>
    </row>
    <row r="367" spans="1:2">
      <c r="A367" s="7">
        <v>15462</v>
      </c>
      <c r="B367" s="53">
        <v>16.3</v>
      </c>
    </row>
    <row r="368" spans="1:2">
      <c r="A368" s="7">
        <v>15493</v>
      </c>
      <c r="B368" s="53">
        <v>16.3</v>
      </c>
    </row>
    <row r="369" spans="1:2">
      <c r="A369" s="7">
        <v>15523</v>
      </c>
      <c r="B369" s="53">
        <v>16.399999999999999</v>
      </c>
    </row>
    <row r="370" spans="1:2">
      <c r="A370" s="7">
        <v>15554</v>
      </c>
      <c r="B370" s="53">
        <v>16.5</v>
      </c>
    </row>
    <row r="371" spans="1:2">
      <c r="A371" s="7">
        <v>15585</v>
      </c>
      <c r="B371" s="53">
        <v>16.5</v>
      </c>
    </row>
    <row r="372" spans="1:2">
      <c r="A372" s="7">
        <v>15615</v>
      </c>
      <c r="B372" s="53">
        <v>16.7</v>
      </c>
    </row>
    <row r="373" spans="1:2">
      <c r="A373" s="7">
        <v>15646</v>
      </c>
      <c r="B373" s="53">
        <v>16.8</v>
      </c>
    </row>
    <row r="374" spans="1:2">
      <c r="A374" s="7">
        <v>15676</v>
      </c>
      <c r="B374" s="53">
        <v>16.899999999999999</v>
      </c>
    </row>
    <row r="375" spans="1:2">
      <c r="A375" s="7">
        <v>15707</v>
      </c>
      <c r="B375" s="53">
        <v>16.899999999999999</v>
      </c>
    </row>
    <row r="376" spans="1:2">
      <c r="A376" s="7">
        <v>15738</v>
      </c>
      <c r="B376" s="53">
        <v>16.899999999999999</v>
      </c>
    </row>
    <row r="377" spans="1:2">
      <c r="A377" s="7">
        <v>15766</v>
      </c>
      <c r="B377" s="53">
        <v>17.2</v>
      </c>
    </row>
    <row r="378" spans="1:2">
      <c r="A378" s="7">
        <v>15797</v>
      </c>
      <c r="B378" s="53">
        <v>17.399999999999999</v>
      </c>
    </row>
    <row r="379" spans="1:2">
      <c r="A379" s="7">
        <v>15827</v>
      </c>
      <c r="B379" s="53">
        <v>17.5</v>
      </c>
    </row>
    <row r="380" spans="1:2">
      <c r="A380" s="7">
        <v>15858</v>
      </c>
      <c r="B380" s="53">
        <v>17.5</v>
      </c>
    </row>
    <row r="381" spans="1:2">
      <c r="A381" s="7">
        <v>15888</v>
      </c>
      <c r="B381" s="53">
        <v>17.399999999999999</v>
      </c>
    </row>
    <row r="382" spans="1:2">
      <c r="A382" s="7">
        <v>15919</v>
      </c>
      <c r="B382" s="53">
        <v>17.3</v>
      </c>
    </row>
    <row r="383" spans="1:2">
      <c r="A383" s="7">
        <v>15950</v>
      </c>
      <c r="B383" s="53">
        <v>17.399999999999999</v>
      </c>
    </row>
    <row r="384" spans="1:2">
      <c r="A384" s="7">
        <v>15980</v>
      </c>
      <c r="B384" s="53">
        <v>17.399999999999999</v>
      </c>
    </row>
    <row r="385" spans="1:2">
      <c r="A385" s="7">
        <v>16011</v>
      </c>
      <c r="B385" s="53">
        <v>17.399999999999999</v>
      </c>
    </row>
    <row r="386" spans="1:2">
      <c r="A386" s="7">
        <v>16041</v>
      </c>
      <c r="B386" s="53">
        <v>17.399999999999999</v>
      </c>
    </row>
    <row r="387" spans="1:2">
      <c r="A387" s="7">
        <v>16072</v>
      </c>
      <c r="B387" s="53">
        <v>17.399999999999999</v>
      </c>
    </row>
    <row r="388" spans="1:2">
      <c r="A388" s="7">
        <v>16103</v>
      </c>
      <c r="B388" s="53">
        <v>17.399999999999999</v>
      </c>
    </row>
    <row r="389" spans="1:2">
      <c r="A389" s="7">
        <v>16132</v>
      </c>
      <c r="B389" s="53">
        <v>17.399999999999999</v>
      </c>
    </row>
    <row r="390" spans="1:2">
      <c r="A390" s="7">
        <v>16163</v>
      </c>
      <c r="B390" s="53">
        <v>17.5</v>
      </c>
    </row>
    <row r="391" spans="1:2">
      <c r="A391" s="7">
        <v>16193</v>
      </c>
      <c r="B391" s="53">
        <v>17.5</v>
      </c>
    </row>
    <row r="392" spans="1:2">
      <c r="A392" s="7">
        <v>16224</v>
      </c>
      <c r="B392" s="53">
        <v>17.600000000000001</v>
      </c>
    </row>
    <row r="393" spans="1:2">
      <c r="A393" s="7">
        <v>16254</v>
      </c>
      <c r="B393" s="53">
        <v>17.7</v>
      </c>
    </row>
    <row r="394" spans="1:2">
      <c r="A394" s="7">
        <v>16285</v>
      </c>
      <c r="B394" s="53">
        <v>17.7</v>
      </c>
    </row>
    <row r="395" spans="1:2">
      <c r="A395" s="7">
        <v>16316</v>
      </c>
      <c r="B395" s="53">
        <v>17.7</v>
      </c>
    </row>
    <row r="396" spans="1:2">
      <c r="A396" s="7">
        <v>16346</v>
      </c>
      <c r="B396" s="53">
        <v>17.7</v>
      </c>
    </row>
    <row r="397" spans="1:2">
      <c r="A397" s="7">
        <v>16377</v>
      </c>
      <c r="B397" s="53">
        <v>17.7</v>
      </c>
    </row>
    <row r="398" spans="1:2">
      <c r="A398" s="7">
        <v>16407</v>
      </c>
      <c r="B398" s="53">
        <v>17.8</v>
      </c>
    </row>
    <row r="399" spans="1:2">
      <c r="A399" s="7">
        <v>16438</v>
      </c>
      <c r="B399" s="53">
        <v>17.8</v>
      </c>
    </row>
    <row r="400" spans="1:2">
      <c r="A400" s="7">
        <v>16469</v>
      </c>
      <c r="B400" s="53">
        <v>17.8</v>
      </c>
    </row>
    <row r="401" spans="1:2">
      <c r="A401" s="7">
        <v>16497</v>
      </c>
      <c r="B401" s="53">
        <v>17.8</v>
      </c>
    </row>
    <row r="402" spans="1:2">
      <c r="A402" s="7">
        <v>16528</v>
      </c>
      <c r="B402" s="53">
        <v>17.8</v>
      </c>
    </row>
    <row r="403" spans="1:2">
      <c r="A403" s="7">
        <v>16558</v>
      </c>
      <c r="B403" s="53">
        <v>17.899999999999999</v>
      </c>
    </row>
    <row r="404" spans="1:2">
      <c r="A404" s="7">
        <v>16589</v>
      </c>
      <c r="B404" s="53">
        <v>18.100000000000001</v>
      </c>
    </row>
    <row r="405" spans="1:2">
      <c r="A405" s="7">
        <v>16619</v>
      </c>
      <c r="B405" s="53">
        <v>18.100000000000001</v>
      </c>
    </row>
    <row r="406" spans="1:2">
      <c r="A406" s="7">
        <v>16650</v>
      </c>
      <c r="B406" s="53">
        <v>18.100000000000001</v>
      </c>
    </row>
    <row r="407" spans="1:2">
      <c r="A407" s="7">
        <v>16681</v>
      </c>
      <c r="B407" s="53">
        <v>18.100000000000001</v>
      </c>
    </row>
    <row r="408" spans="1:2">
      <c r="A408" s="7">
        <v>16711</v>
      </c>
      <c r="B408" s="53">
        <v>18.100000000000001</v>
      </c>
    </row>
    <row r="409" spans="1:2">
      <c r="A409" s="7">
        <v>16742</v>
      </c>
      <c r="B409" s="53">
        <v>18.100000000000001</v>
      </c>
    </row>
    <row r="410" spans="1:2">
      <c r="A410" s="7">
        <v>16772</v>
      </c>
      <c r="B410" s="53">
        <v>18.2</v>
      </c>
    </row>
    <row r="411" spans="1:2">
      <c r="A411" s="7">
        <v>16803</v>
      </c>
      <c r="B411" s="53">
        <v>18.2</v>
      </c>
    </row>
    <row r="412" spans="1:2">
      <c r="A412" s="7">
        <v>16834</v>
      </c>
      <c r="B412" s="53">
        <v>18.100000000000001</v>
      </c>
    </row>
    <row r="413" spans="1:2">
      <c r="A413" s="7">
        <v>16862</v>
      </c>
      <c r="B413" s="53">
        <v>18.3</v>
      </c>
    </row>
    <row r="414" spans="1:2">
      <c r="A414" s="7">
        <v>16893</v>
      </c>
      <c r="B414" s="53">
        <v>18.399999999999999</v>
      </c>
    </row>
    <row r="415" spans="1:2">
      <c r="A415" s="7">
        <v>16923</v>
      </c>
      <c r="B415" s="53">
        <v>18.5</v>
      </c>
    </row>
    <row r="416" spans="1:2">
      <c r="A416" s="7">
        <v>16954</v>
      </c>
      <c r="B416" s="53">
        <v>18.7</v>
      </c>
    </row>
    <row r="417" spans="1:2">
      <c r="A417" s="7">
        <v>16984</v>
      </c>
      <c r="B417" s="53">
        <v>19.8</v>
      </c>
    </row>
    <row r="418" spans="1:2">
      <c r="A418" s="7">
        <v>17015</v>
      </c>
      <c r="B418" s="53">
        <v>20.2</v>
      </c>
    </row>
    <row r="419" spans="1:2">
      <c r="A419" s="7">
        <v>17046</v>
      </c>
      <c r="B419" s="53">
        <v>20.399999999999999</v>
      </c>
    </row>
    <row r="420" spans="1:2">
      <c r="A420" s="7">
        <v>17076</v>
      </c>
      <c r="B420" s="53">
        <v>20.8</v>
      </c>
    </row>
    <row r="421" spans="1:2">
      <c r="A421" s="7">
        <v>17107</v>
      </c>
      <c r="B421" s="53">
        <v>21.3</v>
      </c>
    </row>
    <row r="422" spans="1:2">
      <c r="A422" s="7">
        <v>17137</v>
      </c>
      <c r="B422" s="53">
        <v>21.5</v>
      </c>
    </row>
    <row r="423" spans="1:2">
      <c r="A423" s="7">
        <v>17168</v>
      </c>
      <c r="B423" s="53">
        <v>21.5</v>
      </c>
    </row>
    <row r="424" spans="1:2">
      <c r="A424" s="7">
        <v>17199</v>
      </c>
      <c r="B424" s="53">
        <v>21.5</v>
      </c>
    </row>
    <row r="425" spans="1:2">
      <c r="A425" s="7">
        <v>17227</v>
      </c>
      <c r="B425" s="53">
        <v>21.9</v>
      </c>
    </row>
    <row r="426" spans="1:2">
      <c r="A426" s="7">
        <v>17258</v>
      </c>
      <c r="B426" s="53">
        <v>21.9</v>
      </c>
    </row>
    <row r="427" spans="1:2">
      <c r="A427" s="7">
        <v>17288</v>
      </c>
      <c r="B427" s="53">
        <v>21.9</v>
      </c>
    </row>
    <row r="428" spans="1:2">
      <c r="A428" s="7">
        <v>17319</v>
      </c>
      <c r="B428" s="53">
        <v>22</v>
      </c>
    </row>
    <row r="429" spans="1:2">
      <c r="A429" s="7">
        <v>17349</v>
      </c>
      <c r="B429" s="53">
        <v>22.2</v>
      </c>
    </row>
    <row r="430" spans="1:2">
      <c r="A430" s="7">
        <v>17380</v>
      </c>
      <c r="B430" s="53">
        <v>22.5</v>
      </c>
    </row>
    <row r="431" spans="1:2">
      <c r="A431" s="7">
        <v>17411</v>
      </c>
      <c r="B431" s="53">
        <v>23</v>
      </c>
    </row>
    <row r="432" spans="1:2">
      <c r="A432" s="7">
        <v>17441</v>
      </c>
      <c r="B432" s="53">
        <v>23</v>
      </c>
    </row>
    <row r="433" spans="1:2">
      <c r="A433" s="7">
        <v>17472</v>
      </c>
      <c r="B433" s="53">
        <v>23.1</v>
      </c>
    </row>
    <row r="434" spans="1:2">
      <c r="A434" s="7">
        <v>17502</v>
      </c>
      <c r="B434" s="53">
        <v>23.4</v>
      </c>
    </row>
    <row r="435" spans="1:2">
      <c r="A435" s="7">
        <v>17533</v>
      </c>
      <c r="B435" s="53">
        <v>23.7</v>
      </c>
    </row>
    <row r="436" spans="1:2">
      <c r="A436" s="7">
        <v>17564</v>
      </c>
      <c r="B436" s="53">
        <v>23.5</v>
      </c>
    </row>
    <row r="437" spans="1:2">
      <c r="A437" s="7">
        <v>17593</v>
      </c>
      <c r="B437" s="53">
        <v>23.4</v>
      </c>
    </row>
    <row r="438" spans="1:2">
      <c r="A438" s="7">
        <v>17624</v>
      </c>
      <c r="B438" s="53">
        <v>23.8</v>
      </c>
    </row>
    <row r="439" spans="1:2">
      <c r="A439" s="7">
        <v>17654</v>
      </c>
      <c r="B439" s="53">
        <v>23.9</v>
      </c>
    </row>
    <row r="440" spans="1:2">
      <c r="A440" s="7">
        <v>17685</v>
      </c>
      <c r="B440" s="53">
        <v>24.1</v>
      </c>
    </row>
    <row r="441" spans="1:2">
      <c r="A441" s="7">
        <v>17715</v>
      </c>
      <c r="B441" s="53">
        <v>24.4</v>
      </c>
    </row>
    <row r="442" spans="1:2">
      <c r="A442" s="7">
        <v>17746</v>
      </c>
      <c r="B442" s="53">
        <v>24.5</v>
      </c>
    </row>
    <row r="443" spans="1:2">
      <c r="A443" s="7">
        <v>17777</v>
      </c>
      <c r="B443" s="53">
        <v>24.5</v>
      </c>
    </row>
    <row r="444" spans="1:2">
      <c r="A444" s="7">
        <v>17807</v>
      </c>
      <c r="B444" s="53">
        <v>24.4</v>
      </c>
    </row>
    <row r="445" spans="1:2">
      <c r="A445" s="7">
        <v>17838</v>
      </c>
      <c r="B445" s="53">
        <v>24.2</v>
      </c>
    </row>
    <row r="446" spans="1:2">
      <c r="A446" s="7">
        <v>17868</v>
      </c>
      <c r="B446" s="53">
        <v>24.1</v>
      </c>
    </row>
    <row r="447" spans="1:2">
      <c r="A447" s="7">
        <v>17899</v>
      </c>
      <c r="B447" s="53">
        <v>24</v>
      </c>
    </row>
    <row r="448" spans="1:2">
      <c r="A448" s="7">
        <v>17930</v>
      </c>
      <c r="B448" s="53">
        <v>23.8</v>
      </c>
    </row>
    <row r="449" spans="1:2">
      <c r="A449" s="7">
        <v>17958</v>
      </c>
      <c r="B449" s="53">
        <v>23.8</v>
      </c>
    </row>
    <row r="450" spans="1:2">
      <c r="A450" s="7">
        <v>17989</v>
      </c>
      <c r="B450" s="53">
        <v>23.9</v>
      </c>
    </row>
    <row r="451" spans="1:2">
      <c r="A451" s="7">
        <v>18019</v>
      </c>
      <c r="B451" s="53">
        <v>23.8</v>
      </c>
    </row>
    <row r="452" spans="1:2">
      <c r="A452" s="7">
        <v>18050</v>
      </c>
      <c r="B452" s="53">
        <v>23.9</v>
      </c>
    </row>
    <row r="453" spans="1:2">
      <c r="A453" s="7">
        <v>18080</v>
      </c>
      <c r="B453" s="53">
        <v>23.7</v>
      </c>
    </row>
    <row r="454" spans="1:2">
      <c r="A454" s="7">
        <v>18111</v>
      </c>
      <c r="B454" s="53">
        <v>23.8</v>
      </c>
    </row>
    <row r="455" spans="1:2">
      <c r="A455" s="7">
        <v>18142</v>
      </c>
      <c r="B455" s="53">
        <v>23.9</v>
      </c>
    </row>
    <row r="456" spans="1:2">
      <c r="A456" s="7">
        <v>18172</v>
      </c>
      <c r="B456" s="53">
        <v>23.7</v>
      </c>
    </row>
    <row r="457" spans="1:2">
      <c r="A457" s="7">
        <v>18203</v>
      </c>
      <c r="B457" s="53">
        <v>23.8</v>
      </c>
    </row>
    <row r="458" spans="1:2">
      <c r="A458" s="7">
        <v>18233</v>
      </c>
      <c r="B458" s="53">
        <v>23.6</v>
      </c>
    </row>
    <row r="459" spans="1:2">
      <c r="A459" s="7">
        <v>18264</v>
      </c>
      <c r="B459" s="53">
        <v>23.5</v>
      </c>
    </row>
    <row r="460" spans="1:2">
      <c r="A460" s="7">
        <v>18295</v>
      </c>
      <c r="B460" s="53">
        <v>23.5</v>
      </c>
    </row>
    <row r="461" spans="1:2">
      <c r="A461" s="7">
        <v>18323</v>
      </c>
      <c r="B461" s="53">
        <v>23.6</v>
      </c>
    </row>
    <row r="462" spans="1:2">
      <c r="A462" s="7">
        <v>18354</v>
      </c>
      <c r="B462" s="53">
        <v>23.6</v>
      </c>
    </row>
    <row r="463" spans="1:2">
      <c r="A463" s="7">
        <v>18384</v>
      </c>
      <c r="B463" s="53">
        <v>23.7</v>
      </c>
    </row>
    <row r="464" spans="1:2">
      <c r="A464" s="7">
        <v>18415</v>
      </c>
      <c r="B464" s="53">
        <v>23.8</v>
      </c>
    </row>
    <row r="465" spans="1:2">
      <c r="A465" s="7">
        <v>18445</v>
      </c>
      <c r="B465" s="53">
        <v>24.1</v>
      </c>
    </row>
    <row r="466" spans="1:2">
      <c r="A466" s="7">
        <v>18476</v>
      </c>
      <c r="B466" s="53">
        <v>24.3</v>
      </c>
    </row>
    <row r="467" spans="1:2">
      <c r="A467" s="7">
        <v>18507</v>
      </c>
      <c r="B467" s="53">
        <v>24.4</v>
      </c>
    </row>
    <row r="468" spans="1:2">
      <c r="A468" s="7">
        <v>18537</v>
      </c>
      <c r="B468" s="53">
        <v>24.6</v>
      </c>
    </row>
    <row r="469" spans="1:2">
      <c r="A469" s="7">
        <v>18568</v>
      </c>
      <c r="B469" s="53">
        <v>24.7</v>
      </c>
    </row>
    <row r="470" spans="1:2">
      <c r="A470" s="7">
        <v>18598</v>
      </c>
      <c r="B470" s="53">
        <v>25</v>
      </c>
    </row>
    <row r="471" spans="1:2">
      <c r="A471" s="7">
        <v>18629</v>
      </c>
      <c r="B471" s="53">
        <v>25.4</v>
      </c>
    </row>
    <row r="472" spans="1:2">
      <c r="A472" s="7">
        <v>18660</v>
      </c>
      <c r="B472" s="53">
        <v>25.7</v>
      </c>
    </row>
    <row r="473" spans="1:2">
      <c r="A473" s="7">
        <v>18688</v>
      </c>
      <c r="B473" s="53">
        <v>25.8</v>
      </c>
    </row>
    <row r="474" spans="1:2">
      <c r="A474" s="7">
        <v>18719</v>
      </c>
      <c r="B474" s="53">
        <v>25.8</v>
      </c>
    </row>
    <row r="475" spans="1:2">
      <c r="A475" s="7">
        <v>18749</v>
      </c>
      <c r="B475" s="53">
        <v>25.9</v>
      </c>
    </row>
    <row r="476" spans="1:2">
      <c r="A476" s="7">
        <v>18780</v>
      </c>
      <c r="B476" s="53">
        <v>25.9</v>
      </c>
    </row>
    <row r="477" spans="1:2">
      <c r="A477" s="7">
        <v>18810</v>
      </c>
      <c r="B477" s="53">
        <v>25.9</v>
      </c>
    </row>
    <row r="478" spans="1:2">
      <c r="A478" s="7">
        <v>18841</v>
      </c>
      <c r="B478" s="53">
        <v>25.9</v>
      </c>
    </row>
    <row r="479" spans="1:2">
      <c r="A479" s="7">
        <v>18872</v>
      </c>
      <c r="B479" s="53">
        <v>26.1</v>
      </c>
    </row>
    <row r="480" spans="1:2">
      <c r="A480" s="7">
        <v>18902</v>
      </c>
      <c r="B480" s="53">
        <v>26.2</v>
      </c>
    </row>
    <row r="481" spans="1:2">
      <c r="A481" s="7">
        <v>18933</v>
      </c>
      <c r="B481" s="53">
        <v>26.4</v>
      </c>
    </row>
    <row r="482" spans="1:2">
      <c r="A482" s="7">
        <v>18963</v>
      </c>
      <c r="B482" s="53">
        <v>26.5</v>
      </c>
    </row>
    <row r="483" spans="1:2">
      <c r="A483" s="7">
        <v>18994</v>
      </c>
      <c r="B483" s="53">
        <v>26.5</v>
      </c>
    </row>
    <row r="484" spans="1:2">
      <c r="A484" s="7">
        <v>19025</v>
      </c>
      <c r="B484" s="53">
        <v>26.3</v>
      </c>
    </row>
    <row r="485" spans="1:2">
      <c r="A485" s="7">
        <v>19054</v>
      </c>
      <c r="B485" s="53">
        <v>26.3</v>
      </c>
    </row>
    <row r="486" spans="1:2">
      <c r="A486" s="7">
        <v>19085</v>
      </c>
      <c r="B486" s="53">
        <v>26.4</v>
      </c>
    </row>
    <row r="487" spans="1:2">
      <c r="A487" s="7">
        <v>19115</v>
      </c>
      <c r="B487" s="53">
        <v>26.4</v>
      </c>
    </row>
    <row r="488" spans="1:2">
      <c r="A488" s="7">
        <v>19146</v>
      </c>
      <c r="B488" s="53">
        <v>26.5</v>
      </c>
    </row>
    <row r="489" spans="1:2">
      <c r="A489" s="7">
        <v>19176</v>
      </c>
      <c r="B489" s="53">
        <v>26.7</v>
      </c>
    </row>
    <row r="490" spans="1:2">
      <c r="A490" s="7">
        <v>19207</v>
      </c>
      <c r="B490" s="53">
        <v>26.7</v>
      </c>
    </row>
    <row r="491" spans="1:2">
      <c r="A491" s="7">
        <v>19238</v>
      </c>
      <c r="B491" s="53">
        <v>26.7</v>
      </c>
    </row>
    <row r="492" spans="1:2">
      <c r="A492" s="7">
        <v>19268</v>
      </c>
      <c r="B492" s="53">
        <v>26.7</v>
      </c>
    </row>
    <row r="493" spans="1:2">
      <c r="A493" s="7">
        <v>19299</v>
      </c>
      <c r="B493" s="53">
        <v>26.7</v>
      </c>
    </row>
    <row r="494" spans="1:2">
      <c r="A494" s="7">
        <v>19329</v>
      </c>
      <c r="B494" s="53">
        <v>26.7</v>
      </c>
    </row>
    <row r="495" spans="1:2">
      <c r="A495" s="7">
        <v>19360</v>
      </c>
      <c r="B495" s="53">
        <v>26.6</v>
      </c>
    </row>
    <row r="496" spans="1:2">
      <c r="A496" s="7">
        <v>19391</v>
      </c>
      <c r="B496" s="53">
        <v>26.5</v>
      </c>
    </row>
    <row r="497" spans="1:2">
      <c r="A497" s="7">
        <v>19419</v>
      </c>
      <c r="B497" s="53">
        <v>26.6</v>
      </c>
    </row>
    <row r="498" spans="1:2">
      <c r="A498" s="7">
        <v>19450</v>
      </c>
      <c r="B498" s="53">
        <v>26.6</v>
      </c>
    </row>
    <row r="499" spans="1:2">
      <c r="A499" s="7">
        <v>19480</v>
      </c>
      <c r="B499" s="53">
        <v>26.7</v>
      </c>
    </row>
    <row r="500" spans="1:2">
      <c r="A500" s="7">
        <v>19511</v>
      </c>
      <c r="B500" s="53">
        <v>26.8</v>
      </c>
    </row>
    <row r="501" spans="1:2">
      <c r="A501" s="7">
        <v>19541</v>
      </c>
      <c r="B501" s="53">
        <v>26.8</v>
      </c>
    </row>
    <row r="502" spans="1:2">
      <c r="A502" s="7">
        <v>19572</v>
      </c>
      <c r="B502" s="53">
        <v>26.9</v>
      </c>
    </row>
    <row r="503" spans="1:2">
      <c r="A503" s="7">
        <v>19603</v>
      </c>
      <c r="B503" s="53">
        <v>26.9</v>
      </c>
    </row>
    <row r="504" spans="1:2">
      <c r="A504" s="7">
        <v>19633</v>
      </c>
      <c r="B504" s="53">
        <v>27</v>
      </c>
    </row>
    <row r="505" spans="1:2">
      <c r="A505" s="7">
        <v>19664</v>
      </c>
      <c r="B505" s="53">
        <v>26.9</v>
      </c>
    </row>
    <row r="506" spans="1:2">
      <c r="A506" s="7">
        <v>19694</v>
      </c>
      <c r="B506" s="53">
        <v>26.9</v>
      </c>
    </row>
    <row r="507" spans="1:2">
      <c r="A507" s="7">
        <v>19725</v>
      </c>
      <c r="B507" s="53">
        <v>26.9</v>
      </c>
    </row>
    <row r="508" spans="1:2">
      <c r="A508" s="7">
        <v>19756</v>
      </c>
      <c r="B508" s="53">
        <v>26.9</v>
      </c>
    </row>
    <row r="509" spans="1:2">
      <c r="A509" s="7">
        <v>19784</v>
      </c>
      <c r="B509" s="53">
        <v>26.9</v>
      </c>
    </row>
    <row r="510" spans="1:2">
      <c r="A510" s="7">
        <v>19815</v>
      </c>
      <c r="B510" s="53">
        <v>26.8</v>
      </c>
    </row>
    <row r="511" spans="1:2">
      <c r="A511" s="7">
        <v>19845</v>
      </c>
      <c r="B511" s="53">
        <v>26.9</v>
      </c>
    </row>
    <row r="512" spans="1:2">
      <c r="A512" s="7">
        <v>19876</v>
      </c>
      <c r="B512" s="53">
        <v>26.9</v>
      </c>
    </row>
    <row r="513" spans="1:2">
      <c r="A513" s="7">
        <v>19906</v>
      </c>
      <c r="B513" s="53">
        <v>26.9</v>
      </c>
    </row>
    <row r="514" spans="1:2">
      <c r="A514" s="7">
        <v>19937</v>
      </c>
      <c r="B514" s="53">
        <v>26.9</v>
      </c>
    </row>
    <row r="515" spans="1:2">
      <c r="A515" s="7">
        <v>19968</v>
      </c>
      <c r="B515" s="53">
        <v>26.8</v>
      </c>
    </row>
    <row r="516" spans="1:2">
      <c r="A516" s="7">
        <v>19998</v>
      </c>
      <c r="B516" s="53">
        <v>26.8</v>
      </c>
    </row>
    <row r="517" spans="1:2">
      <c r="A517" s="7">
        <v>20029</v>
      </c>
      <c r="B517" s="53">
        <v>26.8</v>
      </c>
    </row>
    <row r="518" spans="1:2">
      <c r="A518" s="7">
        <v>20059</v>
      </c>
      <c r="B518" s="53">
        <v>26.7</v>
      </c>
    </row>
    <row r="519" spans="1:2">
      <c r="A519" s="7">
        <v>20090</v>
      </c>
      <c r="B519" s="53">
        <v>26.7</v>
      </c>
    </row>
    <row r="520" spans="1:2">
      <c r="A520" s="7">
        <v>20121</v>
      </c>
      <c r="B520" s="53">
        <v>26.7</v>
      </c>
    </row>
    <row r="521" spans="1:2">
      <c r="A521" s="7">
        <v>20149</v>
      </c>
      <c r="B521" s="53">
        <v>26.7</v>
      </c>
    </row>
    <row r="522" spans="1:2">
      <c r="A522" s="7">
        <v>20180</v>
      </c>
      <c r="B522" s="53">
        <v>26.7</v>
      </c>
    </row>
    <row r="523" spans="1:2">
      <c r="A523" s="7">
        <v>20210</v>
      </c>
      <c r="B523" s="53">
        <v>26.7</v>
      </c>
    </row>
    <row r="524" spans="1:2">
      <c r="A524" s="7">
        <v>20241</v>
      </c>
      <c r="B524" s="53">
        <v>26.7</v>
      </c>
    </row>
    <row r="525" spans="1:2">
      <c r="A525" s="7">
        <v>20271</v>
      </c>
      <c r="B525" s="53">
        <v>26.8</v>
      </c>
    </row>
    <row r="526" spans="1:2">
      <c r="A526" s="7">
        <v>20302</v>
      </c>
      <c r="B526" s="53">
        <v>26.8</v>
      </c>
    </row>
    <row r="527" spans="1:2">
      <c r="A527" s="7">
        <v>20333</v>
      </c>
      <c r="B527" s="53">
        <v>26.9</v>
      </c>
    </row>
    <row r="528" spans="1:2">
      <c r="A528" s="7">
        <v>20363</v>
      </c>
      <c r="B528" s="53">
        <v>26.9</v>
      </c>
    </row>
    <row r="529" spans="1:2">
      <c r="A529" s="7">
        <v>20394</v>
      </c>
      <c r="B529" s="53">
        <v>26.9</v>
      </c>
    </row>
    <row r="530" spans="1:2">
      <c r="A530" s="7">
        <v>20424</v>
      </c>
      <c r="B530" s="53">
        <v>26.8</v>
      </c>
    </row>
    <row r="531" spans="1:2">
      <c r="A531" s="7">
        <v>20455</v>
      </c>
      <c r="B531" s="53">
        <v>26.8</v>
      </c>
    </row>
    <row r="532" spans="1:2">
      <c r="A532" s="7">
        <v>20486</v>
      </c>
      <c r="B532" s="53">
        <v>26.8</v>
      </c>
    </row>
    <row r="533" spans="1:2">
      <c r="A533" s="7">
        <v>20515</v>
      </c>
      <c r="B533" s="53">
        <v>26.8</v>
      </c>
    </row>
    <row r="534" spans="1:2">
      <c r="A534" s="7">
        <v>20546</v>
      </c>
      <c r="B534" s="53">
        <v>26.9</v>
      </c>
    </row>
    <row r="535" spans="1:2">
      <c r="A535" s="7">
        <v>20576</v>
      </c>
      <c r="B535" s="53">
        <v>27</v>
      </c>
    </row>
    <row r="536" spans="1:2">
      <c r="A536" s="7">
        <v>20607</v>
      </c>
      <c r="B536" s="53">
        <v>27.2</v>
      </c>
    </row>
    <row r="537" spans="1:2">
      <c r="A537" s="7">
        <v>20637</v>
      </c>
      <c r="B537" s="53">
        <v>27.4</v>
      </c>
    </row>
    <row r="538" spans="1:2">
      <c r="A538" s="7">
        <v>20668</v>
      </c>
      <c r="B538" s="53">
        <v>27.3</v>
      </c>
    </row>
    <row r="539" spans="1:2">
      <c r="A539" s="7">
        <v>20699</v>
      </c>
      <c r="B539" s="53">
        <v>27.4</v>
      </c>
    </row>
    <row r="540" spans="1:2">
      <c r="A540" s="7">
        <v>20729</v>
      </c>
      <c r="B540" s="53">
        <v>27.5</v>
      </c>
    </row>
    <row r="541" spans="1:2">
      <c r="A541" s="7">
        <v>20760</v>
      </c>
      <c r="B541" s="53">
        <v>27.5</v>
      </c>
    </row>
    <row r="542" spans="1:2">
      <c r="A542" s="7">
        <v>20790</v>
      </c>
      <c r="B542" s="53">
        <v>27.6</v>
      </c>
    </row>
    <row r="543" spans="1:2">
      <c r="A543" s="7">
        <v>20821</v>
      </c>
      <c r="B543" s="53">
        <v>27.6</v>
      </c>
    </row>
    <row r="544" spans="1:2">
      <c r="A544" s="7">
        <v>20852</v>
      </c>
      <c r="B544" s="53">
        <v>27.7</v>
      </c>
    </row>
    <row r="545" spans="1:2">
      <c r="A545" s="7">
        <v>20880</v>
      </c>
      <c r="B545" s="53">
        <v>27.8</v>
      </c>
    </row>
    <row r="546" spans="1:2">
      <c r="A546" s="7">
        <v>20911</v>
      </c>
      <c r="B546" s="53">
        <v>27.9</v>
      </c>
    </row>
    <row r="547" spans="1:2">
      <c r="A547" s="7">
        <v>20941</v>
      </c>
      <c r="B547" s="53">
        <v>28</v>
      </c>
    </row>
    <row r="548" spans="1:2">
      <c r="A548" s="7">
        <v>20972</v>
      </c>
      <c r="B548" s="53">
        <v>28.1</v>
      </c>
    </row>
    <row r="549" spans="1:2">
      <c r="A549" s="7">
        <v>21002</v>
      </c>
      <c r="B549" s="53">
        <v>28.3</v>
      </c>
    </row>
    <row r="550" spans="1:2">
      <c r="A550" s="7">
        <v>21033</v>
      </c>
      <c r="B550" s="53">
        <v>28.3</v>
      </c>
    </row>
    <row r="551" spans="1:2">
      <c r="A551" s="7">
        <v>21064</v>
      </c>
      <c r="B551" s="53">
        <v>28.3</v>
      </c>
    </row>
    <row r="552" spans="1:2">
      <c r="A552" s="7">
        <v>21094</v>
      </c>
      <c r="B552" s="53">
        <v>28.3</v>
      </c>
    </row>
    <row r="553" spans="1:2">
      <c r="A553" s="7">
        <v>21125</v>
      </c>
      <c r="B553" s="53">
        <v>28.4</v>
      </c>
    </row>
    <row r="554" spans="1:2">
      <c r="A554" s="7">
        <v>21155</v>
      </c>
      <c r="B554" s="53">
        <v>28.4</v>
      </c>
    </row>
    <row r="555" spans="1:2">
      <c r="A555" s="7">
        <v>21186</v>
      </c>
      <c r="B555" s="53">
        <v>28.6</v>
      </c>
    </row>
    <row r="556" spans="1:2">
      <c r="A556" s="7">
        <v>21217</v>
      </c>
      <c r="B556" s="53">
        <v>28.6</v>
      </c>
    </row>
    <row r="557" spans="1:2">
      <c r="A557" s="7">
        <v>21245</v>
      </c>
      <c r="B557" s="53">
        <v>28.8</v>
      </c>
    </row>
    <row r="558" spans="1:2">
      <c r="A558" s="7">
        <v>21276</v>
      </c>
      <c r="B558" s="53">
        <v>28.9</v>
      </c>
    </row>
    <row r="559" spans="1:2">
      <c r="A559" s="7">
        <v>21306</v>
      </c>
      <c r="B559" s="53">
        <v>28.9</v>
      </c>
    </row>
    <row r="560" spans="1:2">
      <c r="A560" s="7">
        <v>21337</v>
      </c>
      <c r="B560" s="53">
        <v>28.9</v>
      </c>
    </row>
    <row r="561" spans="1:2">
      <c r="A561" s="7">
        <v>21367</v>
      </c>
      <c r="B561" s="53">
        <v>29</v>
      </c>
    </row>
    <row r="562" spans="1:2">
      <c r="A562" s="7">
        <v>21398</v>
      </c>
      <c r="B562" s="53">
        <v>28.9</v>
      </c>
    </row>
    <row r="563" spans="1:2">
      <c r="A563" s="7">
        <v>21429</v>
      </c>
      <c r="B563" s="53">
        <v>28.9</v>
      </c>
    </row>
    <row r="564" spans="1:2">
      <c r="A564" s="7">
        <v>21459</v>
      </c>
      <c r="B564" s="53">
        <v>28.9</v>
      </c>
    </row>
    <row r="565" spans="1:2">
      <c r="A565" s="7">
        <v>21490</v>
      </c>
      <c r="B565" s="53">
        <v>29</v>
      </c>
    </row>
    <row r="566" spans="1:2">
      <c r="A566" s="7">
        <v>21520</v>
      </c>
      <c r="B566" s="53">
        <v>28.9</v>
      </c>
    </row>
    <row r="567" spans="1:2">
      <c r="A567" s="7">
        <v>21551</v>
      </c>
      <c r="B567" s="53">
        <v>29</v>
      </c>
    </row>
    <row r="568" spans="1:2">
      <c r="A568" s="7">
        <v>21582</v>
      </c>
      <c r="B568" s="53">
        <v>28.9</v>
      </c>
    </row>
    <row r="569" spans="1:2">
      <c r="A569" s="7">
        <v>21610</v>
      </c>
      <c r="B569" s="53">
        <v>28.9</v>
      </c>
    </row>
    <row r="570" spans="1:2">
      <c r="A570" s="7">
        <v>21641</v>
      </c>
      <c r="B570" s="53">
        <v>29</v>
      </c>
    </row>
    <row r="571" spans="1:2">
      <c r="A571" s="7">
        <v>21671</v>
      </c>
      <c r="B571" s="53">
        <v>29</v>
      </c>
    </row>
    <row r="572" spans="1:2">
      <c r="A572" s="7">
        <v>21702</v>
      </c>
      <c r="B572" s="53">
        <v>29.1</v>
      </c>
    </row>
    <row r="573" spans="1:2">
      <c r="A573" s="7">
        <v>21732</v>
      </c>
      <c r="B573" s="53">
        <v>29.2</v>
      </c>
    </row>
    <row r="574" spans="1:2">
      <c r="A574" s="7">
        <v>21763</v>
      </c>
      <c r="B574" s="53">
        <v>29.2</v>
      </c>
    </row>
    <row r="575" spans="1:2">
      <c r="A575" s="7">
        <v>21794</v>
      </c>
      <c r="B575" s="53">
        <v>29.3</v>
      </c>
    </row>
    <row r="576" spans="1:2">
      <c r="A576" s="7">
        <v>21824</v>
      </c>
      <c r="B576" s="53">
        <v>29.4</v>
      </c>
    </row>
    <row r="577" spans="1:2">
      <c r="A577" s="7">
        <v>21855</v>
      </c>
      <c r="B577" s="53">
        <v>29.4</v>
      </c>
    </row>
    <row r="578" spans="1:2">
      <c r="A578" s="7">
        <v>21885</v>
      </c>
      <c r="B578" s="53">
        <v>29.4</v>
      </c>
    </row>
    <row r="579" spans="1:2">
      <c r="A579" s="7">
        <v>21916</v>
      </c>
      <c r="B579" s="53">
        <v>29.3</v>
      </c>
    </row>
    <row r="580" spans="1:2">
      <c r="A580" s="7">
        <v>21947</v>
      </c>
      <c r="B580" s="53">
        <v>29.4</v>
      </c>
    </row>
    <row r="581" spans="1:2">
      <c r="A581" s="7">
        <v>21976</v>
      </c>
      <c r="B581" s="53">
        <v>29.4</v>
      </c>
    </row>
    <row r="582" spans="1:2">
      <c r="A582" s="7">
        <v>22007</v>
      </c>
      <c r="B582" s="53">
        <v>29.5</v>
      </c>
    </row>
    <row r="583" spans="1:2">
      <c r="A583" s="7">
        <v>22037</v>
      </c>
      <c r="B583" s="53">
        <v>29.5</v>
      </c>
    </row>
    <row r="584" spans="1:2">
      <c r="A584" s="7">
        <v>22068</v>
      </c>
      <c r="B584" s="53">
        <v>29.6</v>
      </c>
    </row>
    <row r="585" spans="1:2">
      <c r="A585" s="7">
        <v>22098</v>
      </c>
      <c r="B585" s="53">
        <v>29.6</v>
      </c>
    </row>
    <row r="586" spans="1:2">
      <c r="A586" s="7">
        <v>22129</v>
      </c>
      <c r="B586" s="53">
        <v>29.6</v>
      </c>
    </row>
    <row r="587" spans="1:2">
      <c r="A587" s="7">
        <v>22160</v>
      </c>
      <c r="B587" s="53">
        <v>29.6</v>
      </c>
    </row>
    <row r="588" spans="1:2">
      <c r="A588" s="7">
        <v>22190</v>
      </c>
      <c r="B588" s="53">
        <v>29.8</v>
      </c>
    </row>
    <row r="589" spans="1:2">
      <c r="A589" s="7">
        <v>22221</v>
      </c>
      <c r="B589" s="53">
        <v>29.8</v>
      </c>
    </row>
    <row r="590" spans="1:2">
      <c r="A590" s="7">
        <v>22251</v>
      </c>
      <c r="B590" s="53">
        <v>29.8</v>
      </c>
    </row>
    <row r="591" spans="1:2">
      <c r="A591" s="7">
        <v>22282</v>
      </c>
      <c r="B591" s="53">
        <v>29.8</v>
      </c>
    </row>
    <row r="592" spans="1:2">
      <c r="A592" s="7">
        <v>22313</v>
      </c>
      <c r="B592" s="53">
        <v>29.8</v>
      </c>
    </row>
    <row r="593" spans="1:2">
      <c r="A593" s="7">
        <v>22341</v>
      </c>
      <c r="B593" s="53">
        <v>29.8</v>
      </c>
    </row>
    <row r="594" spans="1:2">
      <c r="A594" s="7">
        <v>22372</v>
      </c>
      <c r="B594" s="53">
        <v>29.8</v>
      </c>
    </row>
    <row r="595" spans="1:2">
      <c r="A595" s="7">
        <v>22402</v>
      </c>
      <c r="B595" s="53">
        <v>29.8</v>
      </c>
    </row>
    <row r="596" spans="1:2">
      <c r="A596" s="7">
        <v>22433</v>
      </c>
      <c r="B596" s="53">
        <v>29.8</v>
      </c>
    </row>
    <row r="597" spans="1:2">
      <c r="A597" s="7">
        <v>22463</v>
      </c>
      <c r="B597" s="53">
        <v>30</v>
      </c>
    </row>
    <row r="598" spans="1:2">
      <c r="A598" s="7">
        <v>22494</v>
      </c>
      <c r="B598" s="53">
        <v>29.9</v>
      </c>
    </row>
    <row r="599" spans="1:2">
      <c r="A599" s="7">
        <v>22525</v>
      </c>
      <c r="B599" s="53">
        <v>30</v>
      </c>
    </row>
    <row r="600" spans="1:2">
      <c r="A600" s="7">
        <v>22555</v>
      </c>
      <c r="B600" s="53">
        <v>30</v>
      </c>
    </row>
    <row r="601" spans="1:2">
      <c r="A601" s="7">
        <v>22586</v>
      </c>
      <c r="B601" s="53">
        <v>30</v>
      </c>
    </row>
    <row r="602" spans="1:2">
      <c r="A602" s="7">
        <v>22616</v>
      </c>
      <c r="B602" s="53">
        <v>30</v>
      </c>
    </row>
    <row r="603" spans="1:2">
      <c r="A603" s="7">
        <v>22647</v>
      </c>
      <c r="B603" s="53">
        <v>30</v>
      </c>
    </row>
    <row r="604" spans="1:2">
      <c r="A604" s="7">
        <v>22678</v>
      </c>
      <c r="B604" s="53">
        <v>30.1</v>
      </c>
    </row>
    <row r="605" spans="1:2">
      <c r="A605" s="7">
        <v>22706</v>
      </c>
      <c r="B605" s="53">
        <v>30.1</v>
      </c>
    </row>
    <row r="606" spans="1:2">
      <c r="A606" s="7">
        <v>22737</v>
      </c>
      <c r="B606" s="53">
        <v>30.2</v>
      </c>
    </row>
    <row r="607" spans="1:2">
      <c r="A607" s="7">
        <v>22767</v>
      </c>
      <c r="B607" s="53">
        <v>30.2</v>
      </c>
    </row>
    <row r="608" spans="1:2">
      <c r="A608" s="7">
        <v>22798</v>
      </c>
      <c r="B608" s="53">
        <v>30.2</v>
      </c>
    </row>
    <row r="609" spans="1:2">
      <c r="A609" s="7">
        <v>22828</v>
      </c>
      <c r="B609" s="53">
        <v>30.3</v>
      </c>
    </row>
    <row r="610" spans="1:2">
      <c r="A610" s="7">
        <v>22859</v>
      </c>
      <c r="B610" s="53">
        <v>30.3</v>
      </c>
    </row>
    <row r="611" spans="1:2">
      <c r="A611" s="7">
        <v>22890</v>
      </c>
      <c r="B611" s="53">
        <v>30.4</v>
      </c>
    </row>
    <row r="612" spans="1:2">
      <c r="A612" s="7">
        <v>22920</v>
      </c>
      <c r="B612" s="53">
        <v>30.4</v>
      </c>
    </row>
    <row r="613" spans="1:2">
      <c r="A613" s="7">
        <v>22951</v>
      </c>
      <c r="B613" s="53">
        <v>30.4</v>
      </c>
    </row>
    <row r="614" spans="1:2">
      <c r="A614" s="7">
        <v>22981</v>
      </c>
      <c r="B614" s="53">
        <v>30.4</v>
      </c>
    </row>
    <row r="615" spans="1:2">
      <c r="A615" s="7">
        <v>23012</v>
      </c>
      <c r="B615" s="53">
        <v>30.4</v>
      </c>
    </row>
    <row r="616" spans="1:2">
      <c r="A616" s="7">
        <v>23043</v>
      </c>
      <c r="B616" s="53">
        <v>30.4</v>
      </c>
    </row>
    <row r="617" spans="1:2">
      <c r="A617" s="7">
        <v>23071</v>
      </c>
      <c r="B617" s="53">
        <v>30.5</v>
      </c>
    </row>
    <row r="618" spans="1:2">
      <c r="A618" s="7">
        <v>23102</v>
      </c>
      <c r="B618" s="53">
        <v>30.5</v>
      </c>
    </row>
    <row r="619" spans="1:2">
      <c r="A619" s="7">
        <v>23132</v>
      </c>
      <c r="B619" s="53">
        <v>30.5</v>
      </c>
    </row>
    <row r="620" spans="1:2">
      <c r="A620" s="7">
        <v>23163</v>
      </c>
      <c r="B620" s="53">
        <v>30.6</v>
      </c>
    </row>
    <row r="621" spans="1:2">
      <c r="A621" s="7">
        <v>23193</v>
      </c>
      <c r="B621" s="53">
        <v>30.7</v>
      </c>
    </row>
    <row r="622" spans="1:2">
      <c r="A622" s="7">
        <v>23224</v>
      </c>
      <c r="B622" s="53">
        <v>30.7</v>
      </c>
    </row>
    <row r="623" spans="1:2">
      <c r="A623" s="7">
        <v>23255</v>
      </c>
      <c r="B623" s="53">
        <v>30.7</v>
      </c>
    </row>
    <row r="624" spans="1:2">
      <c r="A624" s="7">
        <v>23285</v>
      </c>
      <c r="B624" s="53">
        <v>30.8</v>
      </c>
    </row>
    <row r="625" spans="1:2">
      <c r="A625" s="7">
        <v>23316</v>
      </c>
      <c r="B625" s="53">
        <v>30.8</v>
      </c>
    </row>
    <row r="626" spans="1:2">
      <c r="A626" s="7">
        <v>23346</v>
      </c>
      <c r="B626" s="53">
        <v>30.9</v>
      </c>
    </row>
    <row r="627" spans="1:2">
      <c r="A627" s="7">
        <v>23377</v>
      </c>
      <c r="B627" s="53">
        <v>30.9</v>
      </c>
    </row>
    <row r="628" spans="1:2">
      <c r="A628" s="7">
        <v>23408</v>
      </c>
      <c r="B628" s="53">
        <v>30.9</v>
      </c>
    </row>
    <row r="629" spans="1:2">
      <c r="A629" s="7">
        <v>23437</v>
      </c>
      <c r="B629" s="53">
        <v>30.9</v>
      </c>
    </row>
    <row r="630" spans="1:2">
      <c r="A630" s="7">
        <v>23468</v>
      </c>
      <c r="B630" s="53">
        <v>30.9</v>
      </c>
    </row>
    <row r="631" spans="1:2">
      <c r="A631" s="7">
        <v>23498</v>
      </c>
      <c r="B631" s="53">
        <v>30.9</v>
      </c>
    </row>
    <row r="632" spans="1:2">
      <c r="A632" s="7">
        <v>23529</v>
      </c>
      <c r="B632" s="53">
        <v>31</v>
      </c>
    </row>
    <row r="633" spans="1:2">
      <c r="A633" s="7">
        <v>23559</v>
      </c>
      <c r="B633" s="53">
        <v>31.1</v>
      </c>
    </row>
    <row r="634" spans="1:2">
      <c r="A634" s="7">
        <v>23590</v>
      </c>
      <c r="B634" s="53">
        <v>31</v>
      </c>
    </row>
    <row r="635" spans="1:2">
      <c r="A635" s="7">
        <v>23621</v>
      </c>
      <c r="B635" s="53">
        <v>31.1</v>
      </c>
    </row>
    <row r="636" spans="1:2">
      <c r="A636" s="7">
        <v>23651</v>
      </c>
      <c r="B636" s="53">
        <v>31.1</v>
      </c>
    </row>
    <row r="637" spans="1:2">
      <c r="A637" s="7">
        <v>23682</v>
      </c>
      <c r="B637" s="53">
        <v>31.2</v>
      </c>
    </row>
    <row r="638" spans="1:2">
      <c r="A638" s="7">
        <v>23712</v>
      </c>
      <c r="B638" s="53">
        <v>31.2</v>
      </c>
    </row>
    <row r="639" spans="1:2">
      <c r="A639" s="7">
        <v>23743</v>
      </c>
      <c r="B639" s="53">
        <v>31.2</v>
      </c>
    </row>
    <row r="640" spans="1:2">
      <c r="A640" s="7">
        <v>23774</v>
      </c>
      <c r="B640" s="53">
        <v>31.2</v>
      </c>
    </row>
    <row r="641" spans="1:2">
      <c r="A641" s="7">
        <v>23802</v>
      </c>
      <c r="B641" s="53">
        <v>31.3</v>
      </c>
    </row>
    <row r="642" spans="1:2">
      <c r="A642" s="7">
        <v>23833</v>
      </c>
      <c r="B642" s="53">
        <v>31.4</v>
      </c>
    </row>
    <row r="643" spans="1:2">
      <c r="A643" s="7">
        <v>23863</v>
      </c>
      <c r="B643" s="53">
        <v>31.4</v>
      </c>
    </row>
    <row r="644" spans="1:2">
      <c r="A644" s="7">
        <v>23894</v>
      </c>
      <c r="B644" s="53">
        <v>31.6</v>
      </c>
    </row>
    <row r="645" spans="1:2">
      <c r="A645" s="7">
        <v>23924</v>
      </c>
      <c r="B645" s="53">
        <v>31.6</v>
      </c>
    </row>
    <row r="646" spans="1:2">
      <c r="A646" s="7">
        <v>23955</v>
      </c>
      <c r="B646" s="53">
        <v>31.6</v>
      </c>
    </row>
    <row r="647" spans="1:2">
      <c r="A647" s="7">
        <v>23986</v>
      </c>
      <c r="B647" s="53">
        <v>31.6</v>
      </c>
    </row>
    <row r="648" spans="1:2">
      <c r="A648" s="7">
        <v>24016</v>
      </c>
      <c r="B648" s="53">
        <v>31.7</v>
      </c>
    </row>
    <row r="649" spans="1:2">
      <c r="A649" s="7">
        <v>24047</v>
      </c>
      <c r="B649" s="53">
        <v>31.7</v>
      </c>
    </row>
    <row r="650" spans="1:2">
      <c r="A650" s="7">
        <v>24077</v>
      </c>
      <c r="B650" s="53">
        <v>31.8</v>
      </c>
    </row>
    <row r="651" spans="1:2">
      <c r="A651" s="7">
        <v>24108</v>
      </c>
      <c r="B651" s="53">
        <v>31.8</v>
      </c>
    </row>
    <row r="652" spans="1:2">
      <c r="A652" s="7">
        <v>24139</v>
      </c>
      <c r="B652" s="53">
        <v>32</v>
      </c>
    </row>
    <row r="653" spans="1:2">
      <c r="A653" s="7">
        <v>24167</v>
      </c>
      <c r="B653" s="53">
        <v>32.1</v>
      </c>
    </row>
    <row r="654" spans="1:2">
      <c r="A654" s="7">
        <v>24198</v>
      </c>
      <c r="B654" s="53">
        <v>32.299999999999997</v>
      </c>
    </row>
    <row r="655" spans="1:2">
      <c r="A655" s="7">
        <v>24228</v>
      </c>
      <c r="B655" s="53">
        <v>32.299999999999997</v>
      </c>
    </row>
    <row r="656" spans="1:2">
      <c r="A656" s="7">
        <v>24259</v>
      </c>
      <c r="B656" s="53">
        <v>32.4</v>
      </c>
    </row>
    <row r="657" spans="1:2">
      <c r="A657" s="7">
        <v>24289</v>
      </c>
      <c r="B657" s="53">
        <v>32.5</v>
      </c>
    </row>
    <row r="658" spans="1:2">
      <c r="A658" s="7">
        <v>24320</v>
      </c>
      <c r="B658" s="53">
        <v>32.700000000000003</v>
      </c>
    </row>
    <row r="659" spans="1:2">
      <c r="A659" s="7">
        <v>24351</v>
      </c>
      <c r="B659" s="53">
        <v>32.700000000000003</v>
      </c>
    </row>
    <row r="660" spans="1:2">
      <c r="A660" s="7">
        <v>24381</v>
      </c>
      <c r="B660" s="53">
        <v>32.9</v>
      </c>
    </row>
    <row r="661" spans="1:2">
      <c r="A661" s="7">
        <v>24412</v>
      </c>
      <c r="B661" s="53">
        <v>32.9</v>
      </c>
    </row>
    <row r="662" spans="1:2">
      <c r="A662" s="7">
        <v>24442</v>
      </c>
      <c r="B662" s="53">
        <v>32.9</v>
      </c>
    </row>
    <row r="663" spans="1:2">
      <c r="A663" s="7">
        <v>24473</v>
      </c>
      <c r="B663" s="53">
        <v>32.9</v>
      </c>
    </row>
    <row r="664" spans="1:2">
      <c r="A664" s="7">
        <v>24504</v>
      </c>
      <c r="B664" s="53">
        <v>32.9</v>
      </c>
    </row>
    <row r="665" spans="1:2">
      <c r="A665" s="7">
        <v>24532</v>
      </c>
      <c r="B665" s="53">
        <v>33</v>
      </c>
    </row>
    <row r="666" spans="1:2">
      <c r="A666" s="7">
        <v>24563</v>
      </c>
      <c r="B666" s="53">
        <v>33.1</v>
      </c>
    </row>
    <row r="667" spans="1:2">
      <c r="A667" s="7">
        <v>24593</v>
      </c>
      <c r="B667" s="53">
        <v>33.200000000000003</v>
      </c>
    </row>
    <row r="668" spans="1:2">
      <c r="A668" s="7">
        <v>24624</v>
      </c>
      <c r="B668" s="53">
        <v>33.299999999999997</v>
      </c>
    </row>
    <row r="669" spans="1:2">
      <c r="A669" s="7">
        <v>24654</v>
      </c>
      <c r="B669" s="53">
        <v>33.4</v>
      </c>
    </row>
    <row r="670" spans="1:2">
      <c r="A670" s="7">
        <v>24685</v>
      </c>
      <c r="B670" s="53">
        <v>33.5</v>
      </c>
    </row>
    <row r="671" spans="1:2">
      <c r="A671" s="7">
        <v>24716</v>
      </c>
      <c r="B671" s="53">
        <v>33.6</v>
      </c>
    </row>
    <row r="672" spans="1:2">
      <c r="A672" s="7">
        <v>24746</v>
      </c>
      <c r="B672" s="53">
        <v>33.700000000000003</v>
      </c>
    </row>
    <row r="673" spans="1:2">
      <c r="A673" s="7">
        <v>24777</v>
      </c>
      <c r="B673" s="53">
        <v>33.799999999999997</v>
      </c>
    </row>
    <row r="674" spans="1:2">
      <c r="A674" s="7">
        <v>24807</v>
      </c>
      <c r="B674" s="53">
        <v>33.9</v>
      </c>
    </row>
    <row r="675" spans="1:2">
      <c r="A675" s="7">
        <v>24838</v>
      </c>
      <c r="B675" s="53">
        <v>34.1</v>
      </c>
    </row>
    <row r="676" spans="1:2">
      <c r="A676" s="7">
        <v>24869</v>
      </c>
      <c r="B676" s="53">
        <v>34.200000000000003</v>
      </c>
    </row>
    <row r="677" spans="1:2">
      <c r="A677" s="7">
        <v>24898</v>
      </c>
      <c r="B677" s="53">
        <v>34.299999999999997</v>
      </c>
    </row>
    <row r="678" spans="1:2">
      <c r="A678" s="7">
        <v>24929</v>
      </c>
      <c r="B678" s="53">
        <v>34.4</v>
      </c>
    </row>
    <row r="679" spans="1:2">
      <c r="A679" s="7">
        <v>24959</v>
      </c>
      <c r="B679" s="53">
        <v>34.5</v>
      </c>
    </row>
    <row r="680" spans="1:2">
      <c r="A680" s="7">
        <v>24990</v>
      </c>
      <c r="B680" s="53">
        <v>34.700000000000003</v>
      </c>
    </row>
    <row r="681" spans="1:2">
      <c r="A681" s="7">
        <v>25020</v>
      </c>
      <c r="B681" s="53">
        <v>34.9</v>
      </c>
    </row>
    <row r="682" spans="1:2">
      <c r="A682" s="7">
        <v>25051</v>
      </c>
      <c r="B682" s="53">
        <v>35</v>
      </c>
    </row>
    <row r="683" spans="1:2">
      <c r="A683" s="7">
        <v>25082</v>
      </c>
      <c r="B683" s="53">
        <v>35.1</v>
      </c>
    </row>
    <row r="684" spans="1:2">
      <c r="A684" s="7">
        <v>25112</v>
      </c>
      <c r="B684" s="53">
        <v>35.299999999999997</v>
      </c>
    </row>
    <row r="685" spans="1:2">
      <c r="A685" s="7">
        <v>25143</v>
      </c>
      <c r="B685" s="53">
        <v>35.4</v>
      </c>
    </row>
    <row r="686" spans="1:2">
      <c r="A686" s="7">
        <v>25173</v>
      </c>
      <c r="B686" s="53">
        <v>35.5</v>
      </c>
    </row>
    <row r="687" spans="1:2">
      <c r="A687" s="7">
        <v>25204</v>
      </c>
      <c r="B687" s="53">
        <v>35.6</v>
      </c>
    </row>
    <row r="688" spans="1:2">
      <c r="A688" s="7">
        <v>25235</v>
      </c>
      <c r="B688" s="53">
        <v>35.799999999999997</v>
      </c>
    </row>
    <row r="689" spans="1:2">
      <c r="A689" s="7">
        <v>25263</v>
      </c>
      <c r="B689" s="53">
        <v>36.1</v>
      </c>
    </row>
    <row r="690" spans="1:2">
      <c r="A690" s="7">
        <v>25294</v>
      </c>
      <c r="B690" s="53">
        <v>36.299999999999997</v>
      </c>
    </row>
    <row r="691" spans="1:2">
      <c r="A691" s="7">
        <v>25324</v>
      </c>
      <c r="B691" s="53">
        <v>36.4</v>
      </c>
    </row>
    <row r="692" spans="1:2">
      <c r="A692" s="7">
        <v>25355</v>
      </c>
      <c r="B692" s="53">
        <v>36.6</v>
      </c>
    </row>
    <row r="693" spans="1:2">
      <c r="A693" s="7">
        <v>25385</v>
      </c>
      <c r="B693" s="53">
        <v>36.799999999999997</v>
      </c>
    </row>
    <row r="694" spans="1:2">
      <c r="A694" s="7">
        <v>25416</v>
      </c>
      <c r="B694" s="53">
        <v>37</v>
      </c>
    </row>
    <row r="695" spans="1:2">
      <c r="A695" s="7">
        <v>25447</v>
      </c>
      <c r="B695" s="53">
        <v>37.1</v>
      </c>
    </row>
    <row r="696" spans="1:2">
      <c r="A696" s="7">
        <v>25477</v>
      </c>
      <c r="B696" s="53">
        <v>37.299999999999997</v>
      </c>
    </row>
    <row r="697" spans="1:2">
      <c r="A697" s="7">
        <v>25508</v>
      </c>
      <c r="B697" s="53">
        <v>37.5</v>
      </c>
    </row>
    <row r="698" spans="1:2">
      <c r="A698" s="7">
        <v>25538</v>
      </c>
      <c r="B698" s="53">
        <v>37.700000000000003</v>
      </c>
    </row>
    <row r="699" spans="1:2">
      <c r="A699" s="7">
        <v>25569</v>
      </c>
      <c r="B699" s="53">
        <v>37.799999999999997</v>
      </c>
    </row>
    <row r="700" spans="1:2">
      <c r="A700" s="7">
        <v>25600</v>
      </c>
      <c r="B700" s="53">
        <v>38</v>
      </c>
    </row>
    <row r="701" spans="1:2">
      <c r="A701" s="7">
        <v>25628</v>
      </c>
      <c r="B701" s="53">
        <v>38.200000000000003</v>
      </c>
    </row>
    <row r="702" spans="1:2">
      <c r="A702" s="7">
        <v>25659</v>
      </c>
      <c r="B702" s="53">
        <v>38.5</v>
      </c>
    </row>
    <row r="703" spans="1:2">
      <c r="A703" s="7">
        <v>25689</v>
      </c>
      <c r="B703" s="53">
        <v>38.6</v>
      </c>
    </row>
    <row r="704" spans="1:2">
      <c r="A704" s="7">
        <v>25720</v>
      </c>
      <c r="B704" s="53">
        <v>38.799999999999997</v>
      </c>
    </row>
    <row r="705" spans="1:2">
      <c r="A705" s="7">
        <v>25750</v>
      </c>
      <c r="B705" s="53">
        <v>39</v>
      </c>
    </row>
    <row r="706" spans="1:2">
      <c r="A706" s="7">
        <v>25781</v>
      </c>
      <c r="B706" s="53">
        <v>39</v>
      </c>
    </row>
    <row r="707" spans="1:2">
      <c r="A707" s="7">
        <v>25812</v>
      </c>
      <c r="B707" s="53">
        <v>39.200000000000003</v>
      </c>
    </row>
    <row r="708" spans="1:2">
      <c r="A708" s="7">
        <v>25842</v>
      </c>
      <c r="B708" s="53">
        <v>39.4</v>
      </c>
    </row>
    <row r="709" spans="1:2">
      <c r="A709" s="7">
        <v>25873</v>
      </c>
      <c r="B709" s="53">
        <v>39.6</v>
      </c>
    </row>
    <row r="710" spans="1:2">
      <c r="A710" s="7">
        <v>25903</v>
      </c>
      <c r="B710" s="53">
        <v>39.799999999999997</v>
      </c>
    </row>
    <row r="711" spans="1:2">
      <c r="A711" s="7">
        <v>25934</v>
      </c>
      <c r="B711" s="53">
        <v>39.799999999999997</v>
      </c>
    </row>
    <row r="712" spans="1:2">
      <c r="A712" s="7">
        <v>25965</v>
      </c>
      <c r="B712" s="53">
        <v>39.9</v>
      </c>
    </row>
    <row r="713" spans="1:2">
      <c r="A713" s="7">
        <v>25993</v>
      </c>
      <c r="B713" s="53">
        <v>40</v>
      </c>
    </row>
    <row r="714" spans="1:2">
      <c r="A714" s="7">
        <v>26024</v>
      </c>
      <c r="B714" s="53">
        <v>40.1</v>
      </c>
    </row>
    <row r="715" spans="1:2">
      <c r="A715" s="7">
        <v>26054</v>
      </c>
      <c r="B715" s="53">
        <v>40.299999999999997</v>
      </c>
    </row>
    <row r="716" spans="1:2">
      <c r="A716" s="7">
        <v>26085</v>
      </c>
      <c r="B716" s="53">
        <v>40.6</v>
      </c>
    </row>
    <row r="717" spans="1:2">
      <c r="A717" s="7">
        <v>26115</v>
      </c>
      <c r="B717" s="53">
        <v>40.700000000000003</v>
      </c>
    </row>
    <row r="718" spans="1:2">
      <c r="A718" s="7">
        <v>26146</v>
      </c>
      <c r="B718" s="53">
        <v>40.799999999999997</v>
      </c>
    </row>
    <row r="719" spans="1:2">
      <c r="A719" s="7">
        <v>26177</v>
      </c>
      <c r="B719" s="53">
        <v>40.799999999999997</v>
      </c>
    </row>
    <row r="720" spans="1:2">
      <c r="A720" s="7">
        <v>26207</v>
      </c>
      <c r="B720" s="53">
        <v>40.9</v>
      </c>
    </row>
    <row r="721" spans="1:2">
      <c r="A721" s="7">
        <v>26238</v>
      </c>
      <c r="B721" s="53">
        <v>40.9</v>
      </c>
    </row>
    <row r="722" spans="1:2">
      <c r="A722" s="7">
        <v>26268</v>
      </c>
      <c r="B722" s="53">
        <v>41.1</v>
      </c>
    </row>
    <row r="723" spans="1:2">
      <c r="A723" s="7">
        <v>26299</v>
      </c>
      <c r="B723" s="53">
        <v>41.1</v>
      </c>
    </row>
    <row r="724" spans="1:2">
      <c r="A724" s="7">
        <v>26330</v>
      </c>
      <c r="B724" s="53">
        <v>41.3</v>
      </c>
    </row>
    <row r="725" spans="1:2">
      <c r="A725" s="7">
        <v>26359</v>
      </c>
      <c r="B725" s="53">
        <v>41.4</v>
      </c>
    </row>
    <row r="726" spans="1:2">
      <c r="A726" s="7">
        <v>26390</v>
      </c>
      <c r="B726" s="53">
        <v>41.5</v>
      </c>
    </row>
    <row r="727" spans="1:2">
      <c r="A727" s="7">
        <v>26420</v>
      </c>
      <c r="B727" s="53">
        <v>41.6</v>
      </c>
    </row>
    <row r="728" spans="1:2">
      <c r="A728" s="7">
        <v>26451</v>
      </c>
      <c r="B728" s="53">
        <v>41.7</v>
      </c>
    </row>
    <row r="729" spans="1:2">
      <c r="A729" s="7">
        <v>26481</v>
      </c>
      <c r="B729" s="53">
        <v>41.9</v>
      </c>
    </row>
    <row r="730" spans="1:2">
      <c r="A730" s="7">
        <v>26512</v>
      </c>
      <c r="B730" s="53">
        <v>42</v>
      </c>
    </row>
    <row r="731" spans="1:2">
      <c r="A731" s="7">
        <v>26543</v>
      </c>
      <c r="B731" s="53">
        <v>42.1</v>
      </c>
    </row>
    <row r="732" spans="1:2">
      <c r="A732" s="7">
        <v>26573</v>
      </c>
      <c r="B732" s="53">
        <v>42.3</v>
      </c>
    </row>
    <row r="733" spans="1:2">
      <c r="A733" s="7">
        <v>26604</v>
      </c>
      <c r="B733" s="53">
        <v>42.4</v>
      </c>
    </row>
    <row r="734" spans="1:2">
      <c r="A734" s="7">
        <v>26634</v>
      </c>
      <c r="B734" s="53">
        <v>42.5</v>
      </c>
    </row>
    <row r="735" spans="1:2">
      <c r="A735" s="7">
        <v>26665</v>
      </c>
      <c r="B735" s="53">
        <v>42.6</v>
      </c>
    </row>
    <row r="736" spans="1:2">
      <c r="A736" s="7">
        <v>26696</v>
      </c>
      <c r="B736" s="53">
        <v>42.9</v>
      </c>
    </row>
    <row r="737" spans="1:2">
      <c r="A737" s="7">
        <v>26724</v>
      </c>
      <c r="B737" s="53">
        <v>43.3</v>
      </c>
    </row>
    <row r="738" spans="1:2">
      <c r="A738" s="7">
        <v>26755</v>
      </c>
      <c r="B738" s="53">
        <v>43.6</v>
      </c>
    </row>
    <row r="739" spans="1:2">
      <c r="A739" s="7">
        <v>26785</v>
      </c>
      <c r="B739" s="53">
        <v>43.9</v>
      </c>
    </row>
    <row r="740" spans="1:2">
      <c r="A740" s="7">
        <v>26816</v>
      </c>
      <c r="B740" s="53">
        <v>44.2</v>
      </c>
    </row>
    <row r="741" spans="1:2">
      <c r="A741" s="7">
        <v>26846</v>
      </c>
      <c r="B741" s="53">
        <v>44.3</v>
      </c>
    </row>
    <row r="742" spans="1:2">
      <c r="A742" s="7">
        <v>26877</v>
      </c>
      <c r="B742" s="53">
        <v>45.1</v>
      </c>
    </row>
    <row r="743" spans="1:2">
      <c r="A743" s="7">
        <v>26908</v>
      </c>
      <c r="B743" s="53">
        <v>45.2</v>
      </c>
    </row>
    <row r="744" spans="1:2">
      <c r="A744" s="7">
        <v>26938</v>
      </c>
      <c r="B744" s="53">
        <v>45.6</v>
      </c>
    </row>
    <row r="745" spans="1:2">
      <c r="A745" s="7">
        <v>26969</v>
      </c>
      <c r="B745" s="53">
        <v>45.9</v>
      </c>
    </row>
    <row r="746" spans="1:2">
      <c r="A746" s="7">
        <v>26999</v>
      </c>
      <c r="B746" s="53">
        <v>46.2</v>
      </c>
    </row>
    <row r="747" spans="1:2">
      <c r="A747" s="7">
        <v>27030</v>
      </c>
      <c r="B747" s="53">
        <v>46.6</v>
      </c>
    </row>
    <row r="748" spans="1:2">
      <c r="A748" s="7">
        <v>27061</v>
      </c>
      <c r="B748" s="53">
        <v>47.2</v>
      </c>
    </row>
    <row r="749" spans="1:2">
      <c r="A749" s="7">
        <v>27089</v>
      </c>
      <c r="B749" s="53">
        <v>47.8</v>
      </c>
    </row>
    <row r="750" spans="1:2">
      <c r="A750" s="7">
        <v>27120</v>
      </c>
      <c r="B750" s="53">
        <v>48</v>
      </c>
    </row>
    <row r="751" spans="1:2">
      <c r="A751" s="7">
        <v>27150</v>
      </c>
      <c r="B751" s="53">
        <v>48.6</v>
      </c>
    </row>
    <row r="752" spans="1:2">
      <c r="A752" s="7">
        <v>27181</v>
      </c>
      <c r="B752" s="53">
        <v>49</v>
      </c>
    </row>
    <row r="753" spans="1:2">
      <c r="A753" s="7">
        <v>27211</v>
      </c>
      <c r="B753" s="53">
        <v>49.4</v>
      </c>
    </row>
    <row r="754" spans="1:2">
      <c r="A754" s="7">
        <v>27242</v>
      </c>
      <c r="B754" s="53">
        <v>50</v>
      </c>
    </row>
    <row r="755" spans="1:2">
      <c r="A755" s="7">
        <v>27273</v>
      </c>
      <c r="B755" s="53">
        <v>50.6</v>
      </c>
    </row>
    <row r="756" spans="1:2">
      <c r="A756" s="7">
        <v>27303</v>
      </c>
      <c r="B756" s="53">
        <v>51.1</v>
      </c>
    </row>
    <row r="757" spans="1:2">
      <c r="A757" s="7">
        <v>27334</v>
      </c>
      <c r="B757" s="53">
        <v>51.5</v>
      </c>
    </row>
    <row r="758" spans="1:2">
      <c r="A758" s="7">
        <v>27364</v>
      </c>
      <c r="B758" s="53">
        <v>51.9</v>
      </c>
    </row>
    <row r="759" spans="1:2">
      <c r="A759" s="7">
        <v>27395</v>
      </c>
      <c r="B759" s="53">
        <v>52.1</v>
      </c>
    </row>
    <row r="760" spans="1:2">
      <c r="A760" s="7">
        <v>27426</v>
      </c>
      <c r="B760" s="53">
        <v>52.5</v>
      </c>
    </row>
    <row r="761" spans="1:2">
      <c r="A761" s="7">
        <v>27454</v>
      </c>
      <c r="B761" s="53">
        <v>52.7</v>
      </c>
    </row>
    <row r="762" spans="1:2">
      <c r="A762" s="7">
        <v>27485</v>
      </c>
      <c r="B762" s="53">
        <v>52.9</v>
      </c>
    </row>
    <row r="763" spans="1:2">
      <c r="A763" s="7">
        <v>27515</v>
      </c>
      <c r="B763" s="53">
        <v>53.2</v>
      </c>
    </row>
    <row r="764" spans="1:2">
      <c r="A764" s="7">
        <v>27546</v>
      </c>
      <c r="B764" s="53">
        <v>53.6</v>
      </c>
    </row>
    <row r="765" spans="1:2">
      <c r="A765" s="7">
        <v>27576</v>
      </c>
      <c r="B765" s="53">
        <v>54.2</v>
      </c>
    </row>
    <row r="766" spans="1:2">
      <c r="A766" s="7">
        <v>27607</v>
      </c>
      <c r="B766" s="53">
        <v>54.3</v>
      </c>
    </row>
    <row r="767" spans="1:2">
      <c r="A767" s="7">
        <v>27638</v>
      </c>
      <c r="B767" s="53">
        <v>54.6</v>
      </c>
    </row>
    <row r="768" spans="1:2">
      <c r="A768" s="7">
        <v>27668</v>
      </c>
      <c r="B768" s="53">
        <v>54.9</v>
      </c>
    </row>
    <row r="769" spans="1:2">
      <c r="A769" s="7">
        <v>27699</v>
      </c>
      <c r="B769" s="53">
        <v>55.3</v>
      </c>
    </row>
    <row r="770" spans="1:2">
      <c r="A770" s="7">
        <v>27729</v>
      </c>
      <c r="B770" s="53">
        <v>55.5</v>
      </c>
    </row>
    <row r="771" spans="1:2">
      <c r="A771" s="7">
        <v>27760</v>
      </c>
      <c r="B771" s="53">
        <v>55.6</v>
      </c>
    </row>
    <row r="772" spans="1:2">
      <c r="A772" s="7">
        <v>27791</v>
      </c>
      <c r="B772" s="53">
        <v>55.8</v>
      </c>
    </row>
    <row r="773" spans="1:2">
      <c r="A773" s="7">
        <v>27820</v>
      </c>
      <c r="B773" s="53">
        <v>55.9</v>
      </c>
    </row>
    <row r="774" spans="1:2">
      <c r="A774" s="7">
        <v>27851</v>
      </c>
      <c r="B774" s="53">
        <v>56.1</v>
      </c>
    </row>
    <row r="775" spans="1:2">
      <c r="A775" s="7">
        <v>27881</v>
      </c>
      <c r="B775" s="53">
        <v>56.5</v>
      </c>
    </row>
    <row r="776" spans="1:2">
      <c r="A776" s="7">
        <v>27912</v>
      </c>
      <c r="B776" s="53">
        <v>56.8</v>
      </c>
    </row>
    <row r="777" spans="1:2">
      <c r="A777" s="7">
        <v>27942</v>
      </c>
      <c r="B777" s="53">
        <v>57.1</v>
      </c>
    </row>
    <row r="778" spans="1:2">
      <c r="A778" s="7">
        <v>27973</v>
      </c>
      <c r="B778" s="53">
        <v>57.4</v>
      </c>
    </row>
    <row r="779" spans="1:2">
      <c r="A779" s="7">
        <v>28004</v>
      </c>
      <c r="B779" s="53">
        <v>57.6</v>
      </c>
    </row>
    <row r="780" spans="1:2">
      <c r="A780" s="7">
        <v>28034</v>
      </c>
      <c r="B780" s="53">
        <v>57.9</v>
      </c>
    </row>
    <row r="781" spans="1:2">
      <c r="A781" s="7">
        <v>28065</v>
      </c>
      <c r="B781" s="53">
        <v>58</v>
      </c>
    </row>
    <row r="782" spans="1:2">
      <c r="A782" s="7">
        <v>28095</v>
      </c>
      <c r="B782" s="53">
        <v>58.2</v>
      </c>
    </row>
    <row r="783" spans="1:2">
      <c r="A783" s="7">
        <v>28126</v>
      </c>
      <c r="B783" s="53">
        <v>58.5</v>
      </c>
    </row>
    <row r="784" spans="1:2">
      <c r="A784" s="7">
        <v>28157</v>
      </c>
      <c r="B784" s="53">
        <v>59.1</v>
      </c>
    </row>
    <row r="785" spans="1:2">
      <c r="A785" s="7">
        <v>28185</v>
      </c>
      <c r="B785" s="53">
        <v>59.5</v>
      </c>
    </row>
    <row r="786" spans="1:2">
      <c r="A786" s="7">
        <v>28216</v>
      </c>
      <c r="B786" s="53">
        <v>60</v>
      </c>
    </row>
    <row r="787" spans="1:2">
      <c r="A787" s="7">
        <v>28246</v>
      </c>
      <c r="B787" s="53">
        <v>60.3</v>
      </c>
    </row>
    <row r="788" spans="1:2">
      <c r="A788" s="7">
        <v>28277</v>
      </c>
      <c r="B788" s="53">
        <v>60.7</v>
      </c>
    </row>
    <row r="789" spans="1:2">
      <c r="A789" s="7">
        <v>28307</v>
      </c>
      <c r="B789" s="53">
        <v>61</v>
      </c>
    </row>
    <row r="790" spans="1:2">
      <c r="A790" s="7">
        <v>28338</v>
      </c>
      <c r="B790" s="53">
        <v>61.2</v>
      </c>
    </row>
    <row r="791" spans="1:2">
      <c r="A791" s="7">
        <v>28369</v>
      </c>
      <c r="B791" s="53">
        <v>61.4</v>
      </c>
    </row>
    <row r="792" spans="1:2">
      <c r="A792" s="7">
        <v>28399</v>
      </c>
      <c r="B792" s="53">
        <v>61.6</v>
      </c>
    </row>
    <row r="793" spans="1:2">
      <c r="A793" s="7">
        <v>28430</v>
      </c>
      <c r="B793" s="53">
        <v>61.9</v>
      </c>
    </row>
    <row r="794" spans="1:2">
      <c r="A794" s="7">
        <v>28460</v>
      </c>
      <c r="B794" s="53">
        <v>62.1</v>
      </c>
    </row>
    <row r="795" spans="1:2">
      <c r="A795" s="7">
        <v>28491</v>
      </c>
      <c r="B795" s="53">
        <v>62.5</v>
      </c>
    </row>
    <row r="796" spans="1:2">
      <c r="A796" s="7">
        <v>28522</v>
      </c>
      <c r="B796" s="53">
        <v>62.9</v>
      </c>
    </row>
    <row r="797" spans="1:2">
      <c r="A797" s="7">
        <v>28550</v>
      </c>
      <c r="B797" s="53">
        <v>63.4</v>
      </c>
    </row>
    <row r="798" spans="1:2">
      <c r="A798" s="7">
        <v>28581</v>
      </c>
      <c r="B798" s="53">
        <v>63.9</v>
      </c>
    </row>
    <row r="799" spans="1:2">
      <c r="A799" s="7">
        <v>28611</v>
      </c>
      <c r="B799" s="53">
        <v>64.5</v>
      </c>
    </row>
    <row r="800" spans="1:2">
      <c r="A800" s="7">
        <v>28642</v>
      </c>
      <c r="B800" s="53">
        <v>65.2</v>
      </c>
    </row>
    <row r="801" spans="1:2">
      <c r="A801" s="7">
        <v>28672</v>
      </c>
      <c r="B801" s="53">
        <v>65.7</v>
      </c>
    </row>
    <row r="802" spans="1:2">
      <c r="A802" s="7">
        <v>28703</v>
      </c>
      <c r="B802" s="53">
        <v>66</v>
      </c>
    </row>
    <row r="803" spans="1:2">
      <c r="A803" s="7">
        <v>28734</v>
      </c>
      <c r="B803" s="53">
        <v>66.5</v>
      </c>
    </row>
    <row r="804" spans="1:2">
      <c r="A804" s="7">
        <v>28764</v>
      </c>
      <c r="B804" s="53">
        <v>67.099999999999994</v>
      </c>
    </row>
    <row r="805" spans="1:2">
      <c r="A805" s="7">
        <v>28795</v>
      </c>
      <c r="B805" s="53">
        <v>67.400000000000006</v>
      </c>
    </row>
    <row r="806" spans="1:2">
      <c r="A806" s="7">
        <v>28825</v>
      </c>
      <c r="B806" s="53">
        <v>67.7</v>
      </c>
    </row>
    <row r="807" spans="1:2">
      <c r="A807" s="7">
        <v>28856</v>
      </c>
      <c r="B807" s="53">
        <v>68.3</v>
      </c>
    </row>
    <row r="808" spans="1:2">
      <c r="A808" s="7">
        <v>28887</v>
      </c>
      <c r="B808" s="53">
        <v>69.099999999999994</v>
      </c>
    </row>
    <row r="809" spans="1:2">
      <c r="A809" s="7">
        <v>28915</v>
      </c>
      <c r="B809" s="53">
        <v>69.8</v>
      </c>
    </row>
    <row r="810" spans="1:2">
      <c r="A810" s="7">
        <v>28946</v>
      </c>
      <c r="B810" s="53">
        <v>70.599999999999994</v>
      </c>
    </row>
    <row r="811" spans="1:2">
      <c r="A811" s="7">
        <v>28976</v>
      </c>
      <c r="B811" s="53">
        <v>71.5</v>
      </c>
    </row>
    <row r="812" spans="1:2">
      <c r="A812" s="7">
        <v>29007</v>
      </c>
      <c r="B812" s="53">
        <v>72.3</v>
      </c>
    </row>
    <row r="813" spans="1:2">
      <c r="A813" s="7">
        <v>29037</v>
      </c>
      <c r="B813" s="53">
        <v>73.099999999999994</v>
      </c>
    </row>
    <row r="814" spans="1:2">
      <c r="A814" s="7">
        <v>29068</v>
      </c>
      <c r="B814" s="53">
        <v>73.8</v>
      </c>
    </row>
    <row r="815" spans="1:2">
      <c r="A815" s="7">
        <v>29099</v>
      </c>
      <c r="B815" s="53">
        <v>74.599999999999994</v>
      </c>
    </row>
    <row r="816" spans="1:2">
      <c r="A816" s="7">
        <v>29129</v>
      </c>
      <c r="B816" s="53">
        <v>75.2</v>
      </c>
    </row>
    <row r="817" spans="1:2">
      <c r="A817" s="7">
        <v>29160</v>
      </c>
      <c r="B817" s="53">
        <v>75.900000000000006</v>
      </c>
    </row>
    <row r="818" spans="1:2">
      <c r="A818" s="7">
        <v>29190</v>
      </c>
      <c r="B818" s="53">
        <v>76.7</v>
      </c>
    </row>
    <row r="819" spans="1:2">
      <c r="A819" s="7">
        <v>29221</v>
      </c>
      <c r="B819" s="53">
        <v>77.8</v>
      </c>
    </row>
    <row r="820" spans="1:2">
      <c r="A820" s="7">
        <v>29252</v>
      </c>
      <c r="B820" s="53">
        <v>78.900000000000006</v>
      </c>
    </row>
    <row r="821" spans="1:2">
      <c r="A821" s="7">
        <v>29281</v>
      </c>
      <c r="B821" s="53">
        <v>80.099999999999994</v>
      </c>
    </row>
    <row r="822" spans="1:2">
      <c r="A822" s="7">
        <v>29312</v>
      </c>
      <c r="B822" s="53">
        <v>81</v>
      </c>
    </row>
    <row r="823" spans="1:2">
      <c r="A823" s="7">
        <v>29342</v>
      </c>
      <c r="B823" s="53">
        <v>81.8</v>
      </c>
    </row>
    <row r="824" spans="1:2">
      <c r="A824" s="7">
        <v>29373</v>
      </c>
      <c r="B824" s="53">
        <v>82.7</v>
      </c>
    </row>
    <row r="825" spans="1:2">
      <c r="A825" s="7">
        <v>29403</v>
      </c>
      <c r="B825" s="53">
        <v>82.7</v>
      </c>
    </row>
    <row r="826" spans="1:2">
      <c r="A826" s="7">
        <v>29434</v>
      </c>
      <c r="B826" s="53">
        <v>83.3</v>
      </c>
    </row>
    <row r="827" spans="1:2">
      <c r="A827" s="7">
        <v>29465</v>
      </c>
      <c r="B827" s="53">
        <v>84</v>
      </c>
    </row>
    <row r="828" spans="1:2">
      <c r="A828" s="7">
        <v>29495</v>
      </c>
      <c r="B828" s="53">
        <v>84.8</v>
      </c>
    </row>
    <row r="829" spans="1:2">
      <c r="A829" s="7">
        <v>29526</v>
      </c>
      <c r="B829" s="53">
        <v>85.5</v>
      </c>
    </row>
    <row r="830" spans="1:2">
      <c r="A830" s="7">
        <v>29556</v>
      </c>
      <c r="B830" s="53">
        <v>86.3</v>
      </c>
    </row>
    <row r="831" spans="1:2">
      <c r="A831" s="7">
        <v>29587</v>
      </c>
      <c r="B831" s="53">
        <v>87</v>
      </c>
    </row>
    <row r="832" spans="1:2">
      <c r="A832" s="7">
        <v>29618</v>
      </c>
      <c r="B832" s="53">
        <v>87.9</v>
      </c>
    </row>
    <row r="833" spans="1:2">
      <c r="A833" s="7">
        <v>29646</v>
      </c>
      <c r="B833" s="53">
        <v>88.5</v>
      </c>
    </row>
    <row r="834" spans="1:2">
      <c r="A834" s="7">
        <v>29677</v>
      </c>
      <c r="B834" s="53">
        <v>89.1</v>
      </c>
    </row>
    <row r="835" spans="1:2">
      <c r="A835" s="7">
        <v>29707</v>
      </c>
      <c r="B835" s="53">
        <v>89.8</v>
      </c>
    </row>
    <row r="836" spans="1:2">
      <c r="A836" s="7">
        <v>29738</v>
      </c>
      <c r="B836" s="53">
        <v>90.6</v>
      </c>
    </row>
    <row r="837" spans="1:2">
      <c r="A837" s="7">
        <v>29768</v>
      </c>
      <c r="B837" s="53">
        <v>91.6</v>
      </c>
    </row>
    <row r="838" spans="1:2">
      <c r="A838" s="7">
        <v>29799</v>
      </c>
      <c r="B838" s="53">
        <v>92.3</v>
      </c>
    </row>
    <row r="839" spans="1:2">
      <c r="A839" s="7">
        <v>29830</v>
      </c>
      <c r="B839" s="53">
        <v>93.2</v>
      </c>
    </row>
    <row r="840" spans="1:2">
      <c r="A840" s="7">
        <v>29860</v>
      </c>
      <c r="B840" s="53">
        <v>93.4</v>
      </c>
    </row>
    <row r="841" spans="1:2">
      <c r="A841" s="7">
        <v>29891</v>
      </c>
      <c r="B841" s="53">
        <v>93.7</v>
      </c>
    </row>
    <row r="842" spans="1:2">
      <c r="A842" s="7">
        <v>29921</v>
      </c>
      <c r="B842" s="53">
        <v>94</v>
      </c>
    </row>
    <row r="843" spans="1:2">
      <c r="A843" s="7">
        <v>29952</v>
      </c>
      <c r="B843" s="53">
        <v>94.3</v>
      </c>
    </row>
    <row r="844" spans="1:2">
      <c r="A844" s="7">
        <v>29983</v>
      </c>
      <c r="B844" s="53">
        <v>94.6</v>
      </c>
    </row>
    <row r="845" spans="1:2">
      <c r="A845" s="7">
        <v>30011</v>
      </c>
      <c r="B845" s="53">
        <v>94.5</v>
      </c>
    </row>
    <row r="846" spans="1:2">
      <c r="A846" s="7">
        <v>30042</v>
      </c>
      <c r="B846" s="53">
        <v>94.9</v>
      </c>
    </row>
    <row r="847" spans="1:2">
      <c r="A847" s="7">
        <v>30072</v>
      </c>
      <c r="B847" s="53">
        <v>95.8</v>
      </c>
    </row>
    <row r="848" spans="1:2">
      <c r="A848" s="7">
        <v>30103</v>
      </c>
      <c r="B848" s="53">
        <v>97</v>
      </c>
    </row>
    <row r="849" spans="1:2">
      <c r="A849" s="7">
        <v>30133</v>
      </c>
      <c r="B849" s="53">
        <v>97.5</v>
      </c>
    </row>
    <row r="850" spans="1:2">
      <c r="A850" s="7">
        <v>30164</v>
      </c>
      <c r="B850" s="53">
        <v>97.7</v>
      </c>
    </row>
    <row r="851" spans="1:2">
      <c r="A851" s="7">
        <v>30195</v>
      </c>
      <c r="B851" s="53">
        <v>97.9</v>
      </c>
    </row>
    <row r="852" spans="1:2">
      <c r="A852" s="7">
        <v>30225</v>
      </c>
      <c r="B852" s="53">
        <v>98.2</v>
      </c>
    </row>
    <row r="853" spans="1:2">
      <c r="A853" s="7">
        <v>30256</v>
      </c>
      <c r="B853" s="53">
        <v>98</v>
      </c>
    </row>
    <row r="854" spans="1:2">
      <c r="A854" s="7">
        <v>30286</v>
      </c>
      <c r="B854" s="53">
        <v>97.6</v>
      </c>
    </row>
    <row r="855" spans="1:2">
      <c r="A855" s="7">
        <v>30317</v>
      </c>
      <c r="B855" s="53">
        <v>97.8</v>
      </c>
    </row>
    <row r="856" spans="1:2">
      <c r="A856" s="7">
        <v>30348</v>
      </c>
      <c r="B856" s="53">
        <v>97.9</v>
      </c>
    </row>
    <row r="857" spans="1:2">
      <c r="A857" s="7">
        <v>30376</v>
      </c>
      <c r="B857" s="53">
        <v>97.9</v>
      </c>
    </row>
    <row r="858" spans="1:2">
      <c r="A858" s="7">
        <v>30407</v>
      </c>
      <c r="B858" s="53">
        <v>98.6</v>
      </c>
    </row>
    <row r="859" spans="1:2">
      <c r="A859" s="7">
        <v>30437</v>
      </c>
      <c r="B859" s="53">
        <v>99.2</v>
      </c>
    </row>
    <row r="860" spans="1:2">
      <c r="A860" s="7">
        <v>30468</v>
      </c>
      <c r="B860" s="53">
        <v>99.5</v>
      </c>
    </row>
    <row r="861" spans="1:2">
      <c r="A861" s="7">
        <v>30498</v>
      </c>
      <c r="B861" s="53">
        <v>99.9</v>
      </c>
    </row>
    <row r="862" spans="1:2">
      <c r="A862" s="7">
        <v>30529</v>
      </c>
      <c r="B862" s="53">
        <v>100.2</v>
      </c>
    </row>
    <row r="863" spans="1:2">
      <c r="A863" s="7">
        <v>30560</v>
      </c>
      <c r="B863" s="53">
        <v>100.7</v>
      </c>
    </row>
    <row r="864" spans="1:2">
      <c r="A864" s="7">
        <v>30590</v>
      </c>
      <c r="B864" s="53">
        <v>101</v>
      </c>
    </row>
    <row r="865" spans="1:2">
      <c r="A865" s="7">
        <v>30621</v>
      </c>
      <c r="B865" s="53">
        <v>101.2</v>
      </c>
    </row>
    <row r="866" spans="1:2">
      <c r="A866" s="7">
        <v>30651</v>
      </c>
      <c r="B866" s="53">
        <v>101.3</v>
      </c>
    </row>
    <row r="867" spans="1:2">
      <c r="A867" s="7">
        <v>30682</v>
      </c>
      <c r="B867" s="53">
        <v>101.9</v>
      </c>
    </row>
    <row r="868" spans="1:2">
      <c r="A868" s="7">
        <v>30713</v>
      </c>
      <c r="B868" s="53">
        <v>102.4</v>
      </c>
    </row>
    <row r="869" spans="1:2">
      <c r="A869" s="7">
        <v>30742</v>
      </c>
      <c r="B869" s="53">
        <v>102.6</v>
      </c>
    </row>
    <row r="870" spans="1:2">
      <c r="A870" s="7">
        <v>30773</v>
      </c>
      <c r="B870" s="53">
        <v>103.1</v>
      </c>
    </row>
    <row r="871" spans="1:2">
      <c r="A871" s="7">
        <v>30803</v>
      </c>
      <c r="B871" s="53">
        <v>103.4</v>
      </c>
    </row>
    <row r="872" spans="1:2">
      <c r="A872" s="7">
        <v>30834</v>
      </c>
      <c r="B872" s="53">
        <v>103.7</v>
      </c>
    </row>
    <row r="873" spans="1:2">
      <c r="A873" s="7">
        <v>30864</v>
      </c>
      <c r="B873" s="53">
        <v>104.1</v>
      </c>
    </row>
    <row r="874" spans="1:2">
      <c r="A874" s="7">
        <v>30895</v>
      </c>
      <c r="B874" s="53">
        <v>104.5</v>
      </c>
    </row>
    <row r="875" spans="1:2">
      <c r="A875" s="7">
        <v>30926</v>
      </c>
      <c r="B875" s="53">
        <v>105</v>
      </c>
    </row>
    <row r="876" spans="1:2">
      <c r="A876" s="7">
        <v>30956</v>
      </c>
      <c r="B876" s="53">
        <v>105.3</v>
      </c>
    </row>
    <row r="877" spans="1:2">
      <c r="A877" s="7">
        <v>30987</v>
      </c>
      <c r="B877" s="53">
        <v>105.3</v>
      </c>
    </row>
    <row r="878" spans="1:2">
      <c r="A878" s="7">
        <v>31017</v>
      </c>
      <c r="B878" s="53">
        <v>105.3</v>
      </c>
    </row>
    <row r="879" spans="1:2">
      <c r="A879" s="7">
        <v>31048</v>
      </c>
      <c r="B879" s="53">
        <v>105.5</v>
      </c>
    </row>
    <row r="880" spans="1:2">
      <c r="A880" s="7">
        <v>31079</v>
      </c>
      <c r="B880" s="53">
        <v>106</v>
      </c>
    </row>
    <row r="881" spans="1:2">
      <c r="A881" s="7">
        <v>31107</v>
      </c>
      <c r="B881" s="53">
        <v>106.4</v>
      </c>
    </row>
    <row r="882" spans="1:2">
      <c r="A882" s="7">
        <v>31138</v>
      </c>
      <c r="B882" s="53">
        <v>106.9</v>
      </c>
    </row>
    <row r="883" spans="1:2">
      <c r="A883" s="7">
        <v>31168</v>
      </c>
      <c r="B883" s="53">
        <v>107.3</v>
      </c>
    </row>
    <row r="884" spans="1:2">
      <c r="A884" s="7">
        <v>31199</v>
      </c>
      <c r="B884" s="53">
        <v>107.6</v>
      </c>
    </row>
    <row r="885" spans="1:2">
      <c r="A885" s="7">
        <v>31229</v>
      </c>
      <c r="B885" s="53">
        <v>107.8</v>
      </c>
    </row>
    <row r="886" spans="1:2">
      <c r="A886" s="7">
        <v>31260</v>
      </c>
      <c r="B886" s="53">
        <v>108</v>
      </c>
    </row>
    <row r="887" spans="1:2">
      <c r="A887" s="7">
        <v>31291</v>
      </c>
      <c r="B887" s="53">
        <v>108.3</v>
      </c>
    </row>
    <row r="888" spans="1:2">
      <c r="A888" s="7">
        <v>31321</v>
      </c>
      <c r="B888" s="53">
        <v>108.7</v>
      </c>
    </row>
    <row r="889" spans="1:2">
      <c r="A889" s="7">
        <v>31352</v>
      </c>
      <c r="B889" s="53">
        <v>109</v>
      </c>
    </row>
    <row r="890" spans="1:2">
      <c r="A890" s="7">
        <v>31382</v>
      </c>
      <c r="B890" s="53">
        <v>109.3</v>
      </c>
    </row>
    <row r="891" spans="1:2">
      <c r="A891" s="7">
        <v>31413</v>
      </c>
      <c r="B891" s="53">
        <v>109.6</v>
      </c>
    </row>
    <row r="892" spans="1:2">
      <c r="A892" s="7">
        <v>31444</v>
      </c>
      <c r="B892" s="53">
        <v>109.3</v>
      </c>
    </row>
    <row r="893" spans="1:2">
      <c r="A893" s="7">
        <v>31472</v>
      </c>
      <c r="B893" s="53">
        <v>108.8</v>
      </c>
    </row>
    <row r="894" spans="1:2">
      <c r="A894" s="7">
        <v>31503</v>
      </c>
      <c r="B894" s="53">
        <v>108.6</v>
      </c>
    </row>
    <row r="895" spans="1:2">
      <c r="A895" s="7">
        <v>31533</v>
      </c>
      <c r="B895" s="53">
        <v>108.9</v>
      </c>
    </row>
    <row r="896" spans="1:2">
      <c r="A896" s="7">
        <v>31564</v>
      </c>
      <c r="B896" s="53">
        <v>109.5</v>
      </c>
    </row>
    <row r="897" spans="1:2">
      <c r="A897" s="7">
        <v>31594</v>
      </c>
      <c r="B897" s="53">
        <v>109.5</v>
      </c>
    </row>
    <row r="898" spans="1:2">
      <c r="A898" s="7">
        <v>31625</v>
      </c>
      <c r="B898" s="53">
        <v>109.7</v>
      </c>
    </row>
    <row r="899" spans="1:2">
      <c r="A899" s="7">
        <v>31656</v>
      </c>
      <c r="B899" s="53">
        <v>110.2</v>
      </c>
    </row>
    <row r="900" spans="1:2">
      <c r="A900" s="7">
        <v>31686</v>
      </c>
      <c r="B900" s="53">
        <v>110.3</v>
      </c>
    </row>
    <row r="901" spans="1:2">
      <c r="A901" s="7">
        <v>31717</v>
      </c>
      <c r="B901" s="53">
        <v>110.4</v>
      </c>
    </row>
    <row r="902" spans="1:2">
      <c r="A902" s="7">
        <v>31747</v>
      </c>
      <c r="B902" s="53">
        <v>110.5</v>
      </c>
    </row>
    <row r="903" spans="1:2">
      <c r="A903" s="7">
        <v>31778</v>
      </c>
      <c r="B903" s="53">
        <v>111.2</v>
      </c>
    </row>
    <row r="904" spans="1:2">
      <c r="A904" s="7">
        <v>31809</v>
      </c>
      <c r="B904" s="53">
        <v>111.6</v>
      </c>
    </row>
    <row r="905" spans="1:2">
      <c r="A905" s="7">
        <v>31837</v>
      </c>
      <c r="B905" s="53">
        <v>112.1</v>
      </c>
    </row>
    <row r="906" spans="1:2">
      <c r="A906" s="7">
        <v>31868</v>
      </c>
      <c r="B906" s="53">
        <v>112.7</v>
      </c>
    </row>
    <row r="907" spans="1:2">
      <c r="A907" s="7">
        <v>31898</v>
      </c>
      <c r="B907" s="53">
        <v>113.1</v>
      </c>
    </row>
    <row r="908" spans="1:2">
      <c r="A908" s="7">
        <v>31929</v>
      </c>
      <c r="B908" s="53">
        <v>113.5</v>
      </c>
    </row>
    <row r="909" spans="1:2">
      <c r="A909" s="7">
        <v>31959</v>
      </c>
      <c r="B909" s="53">
        <v>113.8</v>
      </c>
    </row>
    <row r="910" spans="1:2">
      <c r="A910" s="7">
        <v>31990</v>
      </c>
      <c r="B910" s="53">
        <v>114.4</v>
      </c>
    </row>
    <row r="911" spans="1:2">
      <c r="A911" s="7">
        <v>32021</v>
      </c>
      <c r="B911" s="53">
        <v>115</v>
      </c>
    </row>
    <row r="912" spans="1:2">
      <c r="A912" s="7">
        <v>32051</v>
      </c>
      <c r="B912" s="53">
        <v>115.3</v>
      </c>
    </row>
    <row r="913" spans="1:2">
      <c r="A913" s="7">
        <v>32082</v>
      </c>
      <c r="B913" s="53">
        <v>115.4</v>
      </c>
    </row>
    <row r="914" spans="1:2">
      <c r="A914" s="7">
        <v>32112</v>
      </c>
      <c r="B914" s="53">
        <v>115.4</v>
      </c>
    </row>
    <row r="915" spans="1:2">
      <c r="A915" s="7">
        <v>32143</v>
      </c>
      <c r="B915" s="53">
        <v>115.7</v>
      </c>
    </row>
    <row r="916" spans="1:2">
      <c r="A916" s="7">
        <v>32174</v>
      </c>
      <c r="B916" s="53">
        <v>116</v>
      </c>
    </row>
    <row r="917" spans="1:2">
      <c r="A917" s="7">
        <v>32203</v>
      </c>
      <c r="B917" s="53">
        <v>116.5</v>
      </c>
    </row>
    <row r="918" spans="1:2">
      <c r="A918" s="7">
        <v>32234</v>
      </c>
      <c r="B918" s="53">
        <v>117.1</v>
      </c>
    </row>
    <row r="919" spans="1:2">
      <c r="A919" s="7">
        <v>32264</v>
      </c>
      <c r="B919" s="53">
        <v>117.5</v>
      </c>
    </row>
    <row r="920" spans="1:2">
      <c r="A920" s="7">
        <v>32295</v>
      </c>
      <c r="B920" s="53">
        <v>118</v>
      </c>
    </row>
    <row r="921" spans="1:2">
      <c r="A921" s="7">
        <v>32325</v>
      </c>
      <c r="B921" s="53">
        <v>118.5</v>
      </c>
    </row>
    <row r="922" spans="1:2">
      <c r="A922" s="7">
        <v>32356</v>
      </c>
      <c r="B922" s="53">
        <v>119</v>
      </c>
    </row>
    <row r="923" spans="1:2">
      <c r="A923" s="7">
        <v>32387</v>
      </c>
      <c r="B923" s="53">
        <v>119.8</v>
      </c>
    </row>
    <row r="924" spans="1:2">
      <c r="A924" s="7">
        <v>32417</v>
      </c>
      <c r="B924" s="53">
        <v>120.2</v>
      </c>
    </row>
    <row r="925" spans="1:2">
      <c r="A925" s="7">
        <v>32448</v>
      </c>
      <c r="B925" s="53">
        <v>120.3</v>
      </c>
    </row>
    <row r="926" spans="1:2">
      <c r="A926" s="7">
        <v>32478</v>
      </c>
      <c r="B926" s="53">
        <v>120.5</v>
      </c>
    </row>
    <row r="927" spans="1:2">
      <c r="A927" s="7">
        <v>32509</v>
      </c>
      <c r="B927" s="53">
        <v>121.1</v>
      </c>
    </row>
    <row r="928" spans="1:2">
      <c r="A928" s="7">
        <v>32540</v>
      </c>
      <c r="B928" s="53">
        <v>121.6</v>
      </c>
    </row>
    <row r="929" spans="1:2">
      <c r="A929" s="7">
        <v>32568</v>
      </c>
      <c r="B929" s="53">
        <v>122.3</v>
      </c>
    </row>
    <row r="930" spans="1:2">
      <c r="A930" s="7">
        <v>32599</v>
      </c>
      <c r="B930" s="53">
        <v>123.1</v>
      </c>
    </row>
    <row r="931" spans="1:2">
      <c r="A931" s="7">
        <v>32629</v>
      </c>
      <c r="B931" s="53">
        <v>123.8</v>
      </c>
    </row>
    <row r="932" spans="1:2">
      <c r="A932" s="7">
        <v>32660</v>
      </c>
      <c r="B932" s="53">
        <v>124.1</v>
      </c>
    </row>
    <row r="933" spans="1:2">
      <c r="A933" s="7">
        <v>32690</v>
      </c>
      <c r="B933" s="53">
        <v>124.4</v>
      </c>
    </row>
    <row r="934" spans="1:2">
      <c r="A934" s="7">
        <v>32721</v>
      </c>
      <c r="B934" s="53">
        <v>124.6</v>
      </c>
    </row>
    <row r="935" spans="1:2">
      <c r="A935" s="7">
        <v>32752</v>
      </c>
      <c r="B935" s="53">
        <v>125</v>
      </c>
    </row>
    <row r="936" spans="1:2">
      <c r="A936" s="7">
        <v>32782</v>
      </c>
      <c r="B936" s="53">
        <v>125.6</v>
      </c>
    </row>
    <row r="937" spans="1:2">
      <c r="A937" s="7">
        <v>32813</v>
      </c>
      <c r="B937" s="53">
        <v>125.9</v>
      </c>
    </row>
    <row r="938" spans="1:2">
      <c r="A938" s="7">
        <v>32843</v>
      </c>
      <c r="B938" s="53">
        <v>126.1</v>
      </c>
    </row>
    <row r="939" spans="1:2">
      <c r="A939" s="7">
        <v>32874</v>
      </c>
      <c r="B939" s="53">
        <v>127.4</v>
      </c>
    </row>
    <row r="940" spans="1:2">
      <c r="A940" s="7">
        <v>32905</v>
      </c>
      <c r="B940" s="53">
        <v>128</v>
      </c>
    </row>
    <row r="941" spans="1:2">
      <c r="A941" s="7">
        <v>32933</v>
      </c>
      <c r="B941" s="53">
        <v>128.69999999999999</v>
      </c>
    </row>
    <row r="942" spans="1:2">
      <c r="A942" s="7">
        <v>32964</v>
      </c>
      <c r="B942" s="53">
        <v>128.9</v>
      </c>
    </row>
    <row r="943" spans="1:2">
      <c r="A943" s="7">
        <v>32994</v>
      </c>
      <c r="B943" s="53">
        <v>129.19999999999999</v>
      </c>
    </row>
    <row r="944" spans="1:2">
      <c r="A944" s="7">
        <v>33025</v>
      </c>
      <c r="B944" s="53">
        <v>129.9</v>
      </c>
    </row>
    <row r="945" spans="1:2">
      <c r="A945" s="7">
        <v>33055</v>
      </c>
      <c r="B945" s="53">
        <v>130.4</v>
      </c>
    </row>
    <row r="946" spans="1:2">
      <c r="A946" s="7">
        <v>33086</v>
      </c>
      <c r="B946" s="53">
        <v>131.6</v>
      </c>
    </row>
    <row r="947" spans="1:2">
      <c r="A947" s="7">
        <v>33117</v>
      </c>
      <c r="B947" s="53">
        <v>132.69999999999999</v>
      </c>
    </row>
    <row r="948" spans="1:2">
      <c r="A948" s="7">
        <v>33147</v>
      </c>
      <c r="B948" s="53">
        <v>133.5</v>
      </c>
    </row>
    <row r="949" spans="1:2">
      <c r="A949" s="7">
        <v>33178</v>
      </c>
      <c r="B949" s="53">
        <v>133.80000000000001</v>
      </c>
    </row>
    <row r="950" spans="1:2">
      <c r="A950" s="7">
        <v>33208</v>
      </c>
      <c r="B950" s="53">
        <v>133.80000000000001</v>
      </c>
    </row>
    <row r="951" spans="1:2">
      <c r="A951" s="7">
        <v>33239</v>
      </c>
      <c r="B951" s="53">
        <v>134.6</v>
      </c>
    </row>
    <row r="952" spans="1:2">
      <c r="A952" s="7">
        <v>33270</v>
      </c>
      <c r="B952" s="53">
        <v>134.80000000000001</v>
      </c>
    </row>
    <row r="953" spans="1:2">
      <c r="A953" s="7">
        <v>33298</v>
      </c>
      <c r="B953" s="53">
        <v>135</v>
      </c>
    </row>
    <row r="954" spans="1:2">
      <c r="A954" s="7">
        <v>33329</v>
      </c>
      <c r="B954" s="53">
        <v>135.19999999999999</v>
      </c>
    </row>
    <row r="955" spans="1:2">
      <c r="A955" s="7">
        <v>33359</v>
      </c>
      <c r="B955" s="53">
        <v>135.6</v>
      </c>
    </row>
    <row r="956" spans="1:2">
      <c r="A956" s="7">
        <v>33390</v>
      </c>
      <c r="B956" s="53">
        <v>136</v>
      </c>
    </row>
    <row r="957" spans="1:2">
      <c r="A957" s="7">
        <v>33420</v>
      </c>
      <c r="B957" s="53">
        <v>136.19999999999999</v>
      </c>
    </row>
    <row r="958" spans="1:2">
      <c r="A958" s="7">
        <v>33451</v>
      </c>
      <c r="B958" s="53">
        <v>136.6</v>
      </c>
    </row>
    <row r="959" spans="1:2">
      <c r="A959" s="7">
        <v>33482</v>
      </c>
      <c r="B959" s="53">
        <v>137.19999999999999</v>
      </c>
    </row>
    <row r="960" spans="1:2">
      <c r="A960" s="7">
        <v>33512</v>
      </c>
      <c r="B960" s="53">
        <v>137.4</v>
      </c>
    </row>
    <row r="961" spans="1:2">
      <c r="A961" s="7">
        <v>33543</v>
      </c>
      <c r="B961" s="53">
        <v>137.80000000000001</v>
      </c>
    </row>
    <row r="962" spans="1:2">
      <c r="A962" s="7">
        <v>33573</v>
      </c>
      <c r="B962" s="53">
        <v>137.9</v>
      </c>
    </row>
    <row r="963" spans="1:2">
      <c r="A963" s="7">
        <v>33604</v>
      </c>
      <c r="B963" s="53">
        <v>138.1</v>
      </c>
    </row>
    <row r="964" spans="1:2">
      <c r="A964" s="7">
        <v>33635</v>
      </c>
      <c r="B964" s="53">
        <v>138.6</v>
      </c>
    </row>
    <row r="965" spans="1:2">
      <c r="A965" s="7">
        <v>33664</v>
      </c>
      <c r="B965" s="53">
        <v>139.30000000000001</v>
      </c>
    </row>
    <row r="966" spans="1:2">
      <c r="A966" s="7">
        <v>33695</v>
      </c>
      <c r="B966" s="53">
        <v>139.5</v>
      </c>
    </row>
    <row r="967" spans="1:2">
      <c r="A967" s="7">
        <v>33725</v>
      </c>
      <c r="B967" s="53">
        <v>139.69999999999999</v>
      </c>
    </row>
    <row r="968" spans="1:2">
      <c r="A968" s="7">
        <v>33756</v>
      </c>
      <c r="B968" s="53">
        <v>140.19999999999999</v>
      </c>
    </row>
    <row r="969" spans="1:2">
      <c r="A969" s="7">
        <v>33786</v>
      </c>
      <c r="B969" s="53">
        <v>140.5</v>
      </c>
    </row>
    <row r="970" spans="1:2">
      <c r="A970" s="7">
        <v>33817</v>
      </c>
      <c r="B970" s="53">
        <v>140.9</v>
      </c>
    </row>
    <row r="971" spans="1:2">
      <c r="A971" s="7">
        <v>33848</v>
      </c>
      <c r="B971" s="53">
        <v>141.30000000000001</v>
      </c>
    </row>
    <row r="972" spans="1:2">
      <c r="A972" s="7">
        <v>33878</v>
      </c>
      <c r="B972" s="53">
        <v>141.80000000000001</v>
      </c>
    </row>
    <row r="973" spans="1:2">
      <c r="A973" s="7">
        <v>33909</v>
      </c>
      <c r="B973" s="53">
        <v>142</v>
      </c>
    </row>
    <row r="974" spans="1:2">
      <c r="A974" s="7">
        <v>33939</v>
      </c>
      <c r="B974" s="53">
        <v>141.9</v>
      </c>
    </row>
    <row r="975" spans="1:2">
      <c r="A975" s="7">
        <v>33970</v>
      </c>
      <c r="B975" s="53">
        <v>142.6</v>
      </c>
    </row>
    <row r="976" spans="1:2">
      <c r="A976" s="7">
        <v>34001</v>
      </c>
      <c r="B976" s="53">
        <v>143.1</v>
      </c>
    </row>
    <row r="977" spans="1:2">
      <c r="A977" s="7">
        <v>34029</v>
      </c>
      <c r="B977" s="53">
        <v>143.6</v>
      </c>
    </row>
    <row r="978" spans="1:2">
      <c r="A978" s="7">
        <v>34060</v>
      </c>
      <c r="B978" s="53">
        <v>144</v>
      </c>
    </row>
    <row r="979" spans="1:2">
      <c r="A979" s="7">
        <v>34090</v>
      </c>
      <c r="B979" s="53">
        <v>144.19999999999999</v>
      </c>
    </row>
    <row r="980" spans="1:2">
      <c r="A980" s="7">
        <v>34121</v>
      </c>
      <c r="B980" s="53">
        <v>144.4</v>
      </c>
    </row>
    <row r="981" spans="1:2">
      <c r="A981" s="7">
        <v>34151</v>
      </c>
      <c r="B981" s="53">
        <v>144.4</v>
      </c>
    </row>
    <row r="982" spans="1:2">
      <c r="A982" s="7">
        <v>34182</v>
      </c>
      <c r="B982" s="53">
        <v>144.80000000000001</v>
      </c>
    </row>
    <row r="983" spans="1:2">
      <c r="A983" s="7">
        <v>34213</v>
      </c>
      <c r="B983" s="53">
        <v>145.1</v>
      </c>
    </row>
    <row r="984" spans="1:2">
      <c r="A984" s="7">
        <v>34243</v>
      </c>
      <c r="B984" s="53">
        <v>145.69999999999999</v>
      </c>
    </row>
    <row r="985" spans="1:2">
      <c r="A985" s="7">
        <v>34274</v>
      </c>
      <c r="B985" s="53">
        <v>145.80000000000001</v>
      </c>
    </row>
    <row r="986" spans="1:2">
      <c r="A986" s="7">
        <v>34304</v>
      </c>
      <c r="B986" s="53">
        <v>145.80000000000001</v>
      </c>
    </row>
    <row r="987" spans="1:2">
      <c r="A987" s="7">
        <v>34335</v>
      </c>
      <c r="B987" s="53">
        <v>146.19999999999999</v>
      </c>
    </row>
    <row r="988" spans="1:2">
      <c r="A988" s="7">
        <v>34366</v>
      </c>
      <c r="B988" s="53">
        <v>146.69999999999999</v>
      </c>
    </row>
    <row r="989" spans="1:2">
      <c r="A989" s="7">
        <v>34394</v>
      </c>
      <c r="B989" s="53">
        <v>147.19999999999999</v>
      </c>
    </row>
    <row r="990" spans="1:2">
      <c r="A990" s="7">
        <v>34425</v>
      </c>
      <c r="B990" s="53">
        <v>147.4</v>
      </c>
    </row>
    <row r="991" spans="1:2">
      <c r="A991" s="7">
        <v>34455</v>
      </c>
      <c r="B991" s="53">
        <v>147.5</v>
      </c>
    </row>
    <row r="992" spans="1:2">
      <c r="A992" s="7">
        <v>34486</v>
      </c>
      <c r="B992" s="53">
        <v>148</v>
      </c>
    </row>
    <row r="993" spans="1:2">
      <c r="A993" s="7">
        <v>34516</v>
      </c>
      <c r="B993" s="53">
        <v>148.4</v>
      </c>
    </row>
    <row r="994" spans="1:2">
      <c r="A994" s="7">
        <v>34547</v>
      </c>
      <c r="B994" s="53">
        <v>149</v>
      </c>
    </row>
    <row r="995" spans="1:2">
      <c r="A995" s="7">
        <v>34578</v>
      </c>
      <c r="B995" s="53">
        <v>149.4</v>
      </c>
    </row>
    <row r="996" spans="1:2">
      <c r="A996" s="7">
        <v>34608</v>
      </c>
      <c r="B996" s="53">
        <v>149.5</v>
      </c>
    </row>
    <row r="997" spans="1:2">
      <c r="A997" s="7">
        <v>34639</v>
      </c>
      <c r="B997" s="53">
        <v>149.69999999999999</v>
      </c>
    </row>
    <row r="998" spans="1:2">
      <c r="A998" s="7">
        <v>34669</v>
      </c>
      <c r="B998" s="53">
        <v>149.69999999999999</v>
      </c>
    </row>
    <row r="999" spans="1:2">
      <c r="A999" s="7">
        <v>34700</v>
      </c>
      <c r="B999" s="53">
        <v>150.30000000000001</v>
      </c>
    </row>
    <row r="1000" spans="1:2">
      <c r="A1000" s="7">
        <v>34731</v>
      </c>
      <c r="B1000" s="53">
        <v>150.9</v>
      </c>
    </row>
    <row r="1001" spans="1:2">
      <c r="A1001" s="7">
        <v>34759</v>
      </c>
      <c r="B1001" s="53">
        <v>151.4</v>
      </c>
    </row>
    <row r="1002" spans="1:2">
      <c r="A1002" s="7">
        <v>34790</v>
      </c>
      <c r="B1002" s="53">
        <v>151.9</v>
      </c>
    </row>
    <row r="1003" spans="1:2">
      <c r="A1003" s="7">
        <v>34820</v>
      </c>
      <c r="B1003" s="53">
        <v>152.19999999999999</v>
      </c>
    </row>
    <row r="1004" spans="1:2">
      <c r="A1004" s="7">
        <v>34851</v>
      </c>
      <c r="B1004" s="53">
        <v>152.5</v>
      </c>
    </row>
    <row r="1005" spans="1:2">
      <c r="A1005" s="7">
        <v>34881</v>
      </c>
      <c r="B1005" s="53">
        <v>152.5</v>
      </c>
    </row>
    <row r="1006" spans="1:2">
      <c r="A1006" s="7">
        <v>34912</v>
      </c>
      <c r="B1006" s="53">
        <v>152.9</v>
      </c>
    </row>
    <row r="1007" spans="1:2">
      <c r="A1007" s="7">
        <v>34943</v>
      </c>
      <c r="B1007" s="53">
        <v>153.19999999999999</v>
      </c>
    </row>
    <row r="1008" spans="1:2">
      <c r="A1008" s="7">
        <v>34973</v>
      </c>
      <c r="B1008" s="53">
        <v>153.69999999999999</v>
      </c>
    </row>
    <row r="1009" spans="1:2">
      <c r="A1009" s="7">
        <v>35004</v>
      </c>
      <c r="B1009" s="53">
        <v>153.6</v>
      </c>
    </row>
    <row r="1010" spans="1:2">
      <c r="A1010" s="7">
        <v>35034</v>
      </c>
      <c r="B1010" s="53">
        <v>153.5</v>
      </c>
    </row>
    <row r="1011" spans="1:2">
      <c r="A1011" s="7">
        <v>35065</v>
      </c>
      <c r="B1011" s="53">
        <v>154.4</v>
      </c>
    </row>
    <row r="1012" spans="1:2">
      <c r="A1012" s="7">
        <v>35096</v>
      </c>
      <c r="B1012" s="53">
        <v>154.9</v>
      </c>
    </row>
    <row r="1013" spans="1:2">
      <c r="A1013" s="7">
        <v>35125</v>
      </c>
      <c r="B1013" s="53">
        <v>155.69999999999999</v>
      </c>
    </row>
    <row r="1014" spans="1:2">
      <c r="A1014" s="7">
        <v>35156</v>
      </c>
      <c r="B1014" s="53">
        <v>156.30000000000001</v>
      </c>
    </row>
    <row r="1015" spans="1:2">
      <c r="A1015" s="7">
        <v>35186</v>
      </c>
      <c r="B1015" s="53">
        <v>156.6</v>
      </c>
    </row>
    <row r="1016" spans="1:2">
      <c r="A1016" s="7">
        <v>35217</v>
      </c>
      <c r="B1016" s="53">
        <v>156.69999999999999</v>
      </c>
    </row>
    <row r="1017" spans="1:2">
      <c r="A1017" s="7">
        <v>35247</v>
      </c>
      <c r="B1017" s="53">
        <v>157</v>
      </c>
    </row>
    <row r="1018" spans="1:2">
      <c r="A1018" s="7">
        <v>35278</v>
      </c>
      <c r="B1018" s="53">
        <v>157.30000000000001</v>
      </c>
    </row>
    <row r="1019" spans="1:2">
      <c r="A1019" s="7">
        <v>35309</v>
      </c>
      <c r="B1019" s="53">
        <v>157.80000000000001</v>
      </c>
    </row>
    <row r="1020" spans="1:2">
      <c r="A1020" s="7">
        <v>35339</v>
      </c>
      <c r="B1020" s="53">
        <v>158.30000000000001</v>
      </c>
    </row>
    <row r="1021" spans="1:2">
      <c r="A1021" s="7">
        <v>35370</v>
      </c>
      <c r="B1021" s="53">
        <v>158.6</v>
      </c>
    </row>
    <row r="1022" spans="1:2">
      <c r="A1022" s="7">
        <v>35400</v>
      </c>
      <c r="B1022" s="53">
        <v>158.6</v>
      </c>
    </row>
    <row r="1023" spans="1:2">
      <c r="A1023" s="7">
        <v>35431</v>
      </c>
      <c r="B1023" s="53">
        <v>159.1</v>
      </c>
    </row>
    <row r="1024" spans="1:2">
      <c r="A1024" s="7">
        <v>35462</v>
      </c>
      <c r="B1024" s="53">
        <v>159.6</v>
      </c>
    </row>
    <row r="1025" spans="1:2">
      <c r="A1025" s="7">
        <v>35490</v>
      </c>
      <c r="B1025" s="53">
        <v>160</v>
      </c>
    </row>
    <row r="1026" spans="1:2">
      <c r="A1026" s="7">
        <v>35521</v>
      </c>
      <c r="B1026" s="53">
        <v>160.19999999999999</v>
      </c>
    </row>
    <row r="1027" spans="1:2">
      <c r="A1027" s="7">
        <v>35551</v>
      </c>
      <c r="B1027" s="53">
        <v>160.1</v>
      </c>
    </row>
    <row r="1028" spans="1:2">
      <c r="A1028" s="7">
        <v>35582</v>
      </c>
      <c r="B1028" s="53">
        <v>160.30000000000001</v>
      </c>
    </row>
    <row r="1029" spans="1:2">
      <c r="A1029" s="7">
        <v>35612</v>
      </c>
      <c r="B1029" s="53">
        <v>160.5</v>
      </c>
    </row>
    <row r="1030" spans="1:2">
      <c r="A1030" s="7">
        <v>35643</v>
      </c>
      <c r="B1030" s="53">
        <v>160.80000000000001</v>
      </c>
    </row>
    <row r="1031" spans="1:2">
      <c r="A1031" s="7">
        <v>35674</v>
      </c>
      <c r="B1031" s="53">
        <v>161.19999999999999</v>
      </c>
    </row>
    <row r="1032" spans="1:2">
      <c r="A1032" s="7">
        <v>35704</v>
      </c>
      <c r="B1032" s="53">
        <v>161.6</v>
      </c>
    </row>
    <row r="1033" spans="1:2">
      <c r="A1033" s="7">
        <v>35735</v>
      </c>
      <c r="B1033" s="53">
        <v>161.5</v>
      </c>
    </row>
    <row r="1034" spans="1:2">
      <c r="A1034" s="7">
        <v>35765</v>
      </c>
      <c r="B1034" s="53">
        <v>161.30000000000001</v>
      </c>
    </row>
    <row r="1035" spans="1:2">
      <c r="A1035" s="7">
        <v>35796</v>
      </c>
      <c r="B1035" s="53">
        <v>161.6</v>
      </c>
    </row>
    <row r="1036" spans="1:2">
      <c r="A1036" s="7">
        <v>35827</v>
      </c>
      <c r="B1036" s="53">
        <v>161.9</v>
      </c>
    </row>
    <row r="1037" spans="1:2">
      <c r="A1037" s="7">
        <v>35855</v>
      </c>
      <c r="B1037" s="53">
        <v>162.19999999999999</v>
      </c>
    </row>
    <row r="1038" spans="1:2">
      <c r="A1038" s="7">
        <v>35886</v>
      </c>
      <c r="B1038" s="53">
        <v>162.5</v>
      </c>
    </row>
    <row r="1039" spans="1:2">
      <c r="A1039" s="7">
        <v>35916</v>
      </c>
      <c r="B1039" s="53">
        <v>162.80000000000001</v>
      </c>
    </row>
    <row r="1040" spans="1:2">
      <c r="A1040" s="7">
        <v>35947</v>
      </c>
      <c r="B1040" s="53">
        <v>163</v>
      </c>
    </row>
    <row r="1041" spans="1:2">
      <c r="A1041" s="7">
        <v>35977</v>
      </c>
      <c r="B1041" s="53">
        <v>163.19999999999999</v>
      </c>
    </row>
    <row r="1042" spans="1:2">
      <c r="A1042" s="7">
        <v>36008</v>
      </c>
      <c r="B1042" s="53">
        <v>163.4</v>
      </c>
    </row>
    <row r="1043" spans="1:2">
      <c r="A1043" s="7">
        <v>36039</v>
      </c>
      <c r="B1043" s="53">
        <v>163.6</v>
      </c>
    </row>
    <row r="1044" spans="1:2">
      <c r="A1044" s="7">
        <v>36069</v>
      </c>
      <c r="B1044" s="53">
        <v>164</v>
      </c>
    </row>
    <row r="1045" spans="1:2">
      <c r="A1045" s="7">
        <v>36100</v>
      </c>
      <c r="B1045" s="53">
        <v>164</v>
      </c>
    </row>
    <row r="1046" spans="1:2">
      <c r="A1046" s="7">
        <v>36130</v>
      </c>
      <c r="B1046" s="53">
        <v>163.9</v>
      </c>
    </row>
    <row r="1047" spans="1:2">
      <c r="A1047" s="7">
        <v>36161</v>
      </c>
      <c r="B1047" s="53">
        <v>164.3</v>
      </c>
    </row>
    <row r="1048" spans="1:2">
      <c r="A1048" s="7">
        <v>36192</v>
      </c>
      <c r="B1048" s="53">
        <v>164.5</v>
      </c>
    </row>
    <row r="1049" spans="1:2">
      <c r="A1049" s="7">
        <v>36220</v>
      </c>
      <c r="B1049" s="53">
        <v>165</v>
      </c>
    </row>
    <row r="1050" spans="1:2">
      <c r="A1050" s="7">
        <v>36251</v>
      </c>
      <c r="B1050" s="53">
        <v>166.2</v>
      </c>
    </row>
    <row r="1051" spans="1:2">
      <c r="A1051" s="7">
        <v>36281</v>
      </c>
      <c r="B1051" s="53">
        <v>166.2</v>
      </c>
    </row>
    <row r="1052" spans="1:2">
      <c r="A1052" s="7">
        <v>36312</v>
      </c>
      <c r="B1052" s="53">
        <v>166.2</v>
      </c>
    </row>
    <row r="1053" spans="1:2">
      <c r="A1053" s="7">
        <v>36342</v>
      </c>
      <c r="B1053" s="53">
        <v>166.7</v>
      </c>
    </row>
    <row r="1054" spans="1:2">
      <c r="A1054" s="7">
        <v>36373</v>
      </c>
      <c r="B1054" s="53">
        <v>167.1</v>
      </c>
    </row>
    <row r="1055" spans="1:2">
      <c r="A1055" s="7">
        <v>36404</v>
      </c>
      <c r="B1055" s="53">
        <v>167.9</v>
      </c>
    </row>
    <row r="1056" spans="1:2">
      <c r="A1056" s="7">
        <v>36434</v>
      </c>
      <c r="B1056" s="53">
        <v>168.2</v>
      </c>
    </row>
    <row r="1057" spans="1:2">
      <c r="A1057" s="7">
        <v>36465</v>
      </c>
      <c r="B1057" s="53">
        <v>168.3</v>
      </c>
    </row>
    <row r="1058" spans="1:2">
      <c r="A1058" s="7">
        <v>36495</v>
      </c>
      <c r="B1058" s="53">
        <v>168.3</v>
      </c>
    </row>
    <row r="1059" spans="1:2">
      <c r="A1059" s="7">
        <v>36526</v>
      </c>
      <c r="B1059" s="53">
        <v>168.8</v>
      </c>
    </row>
    <row r="1060" spans="1:2">
      <c r="A1060" s="7">
        <v>36557</v>
      </c>
      <c r="B1060" s="53">
        <v>169.8</v>
      </c>
    </row>
    <row r="1061" spans="1:2">
      <c r="A1061" s="7">
        <v>36586</v>
      </c>
      <c r="B1061" s="53">
        <v>171.2</v>
      </c>
    </row>
    <row r="1062" spans="1:2">
      <c r="A1062" s="7">
        <v>36617</v>
      </c>
      <c r="B1062" s="53">
        <v>171.3</v>
      </c>
    </row>
    <row r="1063" spans="1:2">
      <c r="A1063" s="7">
        <v>36647</v>
      </c>
      <c r="B1063" s="53">
        <v>171.5</v>
      </c>
    </row>
    <row r="1064" spans="1:2">
      <c r="A1064" s="7">
        <v>36678</v>
      </c>
      <c r="B1064" s="53">
        <v>172.4</v>
      </c>
    </row>
    <row r="1065" spans="1:2">
      <c r="A1065" s="7">
        <v>36708</v>
      </c>
      <c r="B1065" s="53">
        <v>172.8</v>
      </c>
    </row>
    <row r="1066" spans="1:2">
      <c r="A1066" s="7">
        <v>36739</v>
      </c>
      <c r="B1066" s="53">
        <v>172.8</v>
      </c>
    </row>
    <row r="1067" spans="1:2">
      <c r="A1067" s="7">
        <v>36770</v>
      </c>
      <c r="B1067" s="53">
        <v>173.7</v>
      </c>
    </row>
    <row r="1068" spans="1:2">
      <c r="A1068" s="7">
        <v>36800</v>
      </c>
      <c r="B1068" s="53">
        <v>174</v>
      </c>
    </row>
    <row r="1069" spans="1:2">
      <c r="A1069" s="7">
        <v>36831</v>
      </c>
      <c r="B1069" s="53">
        <v>174.1</v>
      </c>
    </row>
    <row r="1070" spans="1:2">
      <c r="A1070" s="7">
        <v>36861</v>
      </c>
      <c r="B1070" s="53">
        <v>174</v>
      </c>
    </row>
    <row r="1071" spans="1:2">
      <c r="A1071" s="7">
        <v>36892</v>
      </c>
      <c r="B1071" s="53">
        <v>175.1</v>
      </c>
    </row>
    <row r="1072" spans="1:2">
      <c r="A1072" s="7">
        <v>36923</v>
      </c>
      <c r="B1072" s="53">
        <v>175.8</v>
      </c>
    </row>
    <row r="1073" spans="1:2">
      <c r="A1073" s="7">
        <v>36951</v>
      </c>
      <c r="B1073" s="53">
        <v>176.2</v>
      </c>
    </row>
    <row r="1074" spans="1:2">
      <c r="A1074" s="7">
        <v>36982</v>
      </c>
      <c r="B1074" s="53">
        <v>176.9</v>
      </c>
    </row>
    <row r="1075" spans="1:2">
      <c r="A1075" s="7">
        <v>37012</v>
      </c>
      <c r="B1075" s="53">
        <v>177.7</v>
      </c>
    </row>
    <row r="1076" spans="1:2">
      <c r="A1076" s="7">
        <v>37043</v>
      </c>
      <c r="B1076" s="53">
        <v>178</v>
      </c>
    </row>
    <row r="1077" spans="1:2">
      <c r="A1077" s="7">
        <v>37073</v>
      </c>
      <c r="B1077" s="53">
        <v>177.5</v>
      </c>
    </row>
    <row r="1078" spans="1:2">
      <c r="A1078" s="7">
        <v>37104</v>
      </c>
      <c r="B1078" s="53">
        <v>177.5</v>
      </c>
    </row>
    <row r="1079" spans="1:2">
      <c r="A1079" s="7">
        <v>37135</v>
      </c>
      <c r="B1079" s="53">
        <v>178.3</v>
      </c>
    </row>
    <row r="1080" spans="1:2">
      <c r="A1080" s="7">
        <v>37165</v>
      </c>
      <c r="B1080" s="53">
        <v>177.7</v>
      </c>
    </row>
    <row r="1081" spans="1:2">
      <c r="A1081" s="7">
        <v>37196</v>
      </c>
      <c r="B1081" s="53">
        <v>177.4</v>
      </c>
    </row>
    <row r="1082" spans="1:2">
      <c r="A1082" s="7">
        <v>37226</v>
      </c>
      <c r="B1082" s="53">
        <v>176.7</v>
      </c>
    </row>
    <row r="1083" spans="1:2">
      <c r="A1083" s="7">
        <v>37257</v>
      </c>
      <c r="B1083" s="53">
        <v>177.1</v>
      </c>
    </row>
    <row r="1084" spans="1:2">
      <c r="A1084" s="7">
        <v>37288</v>
      </c>
      <c r="B1084" s="53">
        <v>177.8</v>
      </c>
    </row>
    <row r="1085" spans="1:2">
      <c r="A1085" s="7">
        <v>37316</v>
      </c>
      <c r="B1085" s="53">
        <v>178.8</v>
      </c>
    </row>
    <row r="1086" spans="1:2">
      <c r="A1086" s="7">
        <v>37347</v>
      </c>
      <c r="B1086" s="53">
        <v>179.8</v>
      </c>
    </row>
    <row r="1087" spans="1:2">
      <c r="A1087" s="7">
        <v>37377</v>
      </c>
      <c r="B1087" s="53">
        <v>179.8</v>
      </c>
    </row>
    <row r="1088" spans="1:2">
      <c r="A1088" s="7">
        <v>37408</v>
      </c>
      <c r="B1088" s="53">
        <v>179.9</v>
      </c>
    </row>
    <row r="1089" spans="1:2">
      <c r="A1089" s="7">
        <v>37438</v>
      </c>
      <c r="B1089" s="53">
        <v>180.1</v>
      </c>
    </row>
    <row r="1090" spans="1:2">
      <c r="A1090" s="7">
        <v>37469</v>
      </c>
      <c r="B1090" s="53">
        <v>180.7</v>
      </c>
    </row>
    <row r="1091" spans="1:2">
      <c r="A1091" s="7">
        <v>37500</v>
      </c>
      <c r="B1091" s="53">
        <v>181</v>
      </c>
    </row>
    <row r="1092" spans="1:2">
      <c r="A1092" s="7">
        <v>37530</v>
      </c>
      <c r="B1092" s="53">
        <v>181.3</v>
      </c>
    </row>
    <row r="1093" spans="1:2">
      <c r="A1093" s="7">
        <v>37561</v>
      </c>
      <c r="B1093" s="53">
        <v>181.3</v>
      </c>
    </row>
    <row r="1094" spans="1:2">
      <c r="A1094" s="7">
        <v>37591</v>
      </c>
      <c r="B1094" s="53">
        <v>180.9</v>
      </c>
    </row>
    <row r="1095" spans="1:2">
      <c r="A1095" s="7">
        <v>37622</v>
      </c>
      <c r="B1095" s="53">
        <v>181.7</v>
      </c>
    </row>
    <row r="1096" spans="1:2">
      <c r="A1096" s="7">
        <v>37653</v>
      </c>
      <c r="B1096" s="53">
        <v>183.1</v>
      </c>
    </row>
    <row r="1097" spans="1:2">
      <c r="A1097" s="7">
        <v>37681</v>
      </c>
      <c r="B1097" s="53">
        <v>184.2</v>
      </c>
    </row>
    <row r="1098" spans="1:2">
      <c r="A1098" s="7">
        <v>37712</v>
      </c>
      <c r="B1098" s="53">
        <v>183.8</v>
      </c>
    </row>
    <row r="1099" spans="1:2">
      <c r="A1099" s="7">
        <v>37742</v>
      </c>
      <c r="B1099" s="53">
        <v>183.5</v>
      </c>
    </row>
    <row r="1100" spans="1:2">
      <c r="A1100" s="7">
        <v>37773</v>
      </c>
      <c r="B1100" s="53">
        <v>183.7</v>
      </c>
    </row>
    <row r="1101" spans="1:2">
      <c r="A1101" s="7">
        <v>37803</v>
      </c>
      <c r="B1101" s="53">
        <v>183.9</v>
      </c>
    </row>
    <row r="1102" spans="1:2">
      <c r="A1102" s="7">
        <v>37834</v>
      </c>
      <c r="B1102" s="53">
        <v>184.6</v>
      </c>
    </row>
    <row r="1103" spans="1:2">
      <c r="A1103" s="7">
        <v>37865</v>
      </c>
      <c r="B1103" s="53">
        <v>185.2</v>
      </c>
    </row>
    <row r="1104" spans="1:2">
      <c r="A1104" s="7">
        <v>37895</v>
      </c>
      <c r="B1104" s="53">
        <v>185</v>
      </c>
    </row>
    <row r="1105" spans="1:2">
      <c r="A1105" s="7">
        <v>37926</v>
      </c>
      <c r="B1105" s="53">
        <v>184.5</v>
      </c>
    </row>
    <row r="1106" spans="1:2">
      <c r="A1106" s="7">
        <v>37956</v>
      </c>
      <c r="B1106" s="53">
        <v>184.3</v>
      </c>
    </row>
    <row r="1107" spans="1:2">
      <c r="A1107" s="7">
        <v>37987</v>
      </c>
      <c r="B1107" s="53">
        <v>185.2</v>
      </c>
    </row>
    <row r="1108" spans="1:2">
      <c r="A1108" s="7">
        <v>38018</v>
      </c>
      <c r="B1108" s="53">
        <v>186.2</v>
      </c>
    </row>
    <row r="1109" spans="1:2">
      <c r="A1109" s="7">
        <v>38047</v>
      </c>
      <c r="B1109" s="53">
        <v>187.4</v>
      </c>
    </row>
    <row r="1110" spans="1:2">
      <c r="A1110" s="7">
        <v>38078</v>
      </c>
      <c r="B1110" s="53">
        <v>188</v>
      </c>
    </row>
    <row r="1111" spans="1:2">
      <c r="A1111" s="7">
        <v>38108</v>
      </c>
      <c r="B1111" s="53">
        <v>189.1</v>
      </c>
    </row>
    <row r="1112" spans="1:2">
      <c r="A1112" s="7">
        <v>38139</v>
      </c>
      <c r="B1112" s="53">
        <v>189.7</v>
      </c>
    </row>
    <row r="1113" spans="1:2">
      <c r="A1113" s="7">
        <v>38169</v>
      </c>
      <c r="B1113" s="53">
        <v>189.4</v>
      </c>
    </row>
    <row r="1114" spans="1:2">
      <c r="A1114" s="7">
        <v>38200</v>
      </c>
      <c r="B1114" s="53">
        <v>189.5</v>
      </c>
    </row>
    <row r="1115" spans="1:2">
      <c r="A1115" s="7">
        <v>38231</v>
      </c>
      <c r="B1115" s="53">
        <v>189.9</v>
      </c>
    </row>
    <row r="1116" spans="1:2">
      <c r="A1116" s="7">
        <v>38261</v>
      </c>
      <c r="B1116" s="53">
        <v>190.9</v>
      </c>
    </row>
    <row r="1117" spans="1:2">
      <c r="A1117" s="7">
        <v>38292</v>
      </c>
      <c r="B1117" s="53">
        <v>191</v>
      </c>
    </row>
    <row r="1118" spans="1:2">
      <c r="A1118" s="7">
        <v>38322</v>
      </c>
      <c r="B1118" s="53">
        <v>190.3</v>
      </c>
    </row>
    <row r="1119" spans="1:2">
      <c r="A1119" s="7">
        <v>38353</v>
      </c>
      <c r="B1119" s="53">
        <v>190.7</v>
      </c>
    </row>
    <row r="1120" spans="1:2">
      <c r="A1120" s="7">
        <v>38384</v>
      </c>
      <c r="B1120" s="53">
        <v>191.8</v>
      </c>
    </row>
    <row r="1121" spans="1:2">
      <c r="A1121" s="7">
        <v>38412</v>
      </c>
      <c r="B1121" s="53">
        <v>193.3</v>
      </c>
    </row>
    <row r="1122" spans="1:2">
      <c r="A1122" s="7">
        <v>38443</v>
      </c>
      <c r="B1122" s="53">
        <v>194.6</v>
      </c>
    </row>
    <row r="1123" spans="1:2">
      <c r="A1123" s="7">
        <v>38473</v>
      </c>
      <c r="B1123" s="53">
        <v>194.4</v>
      </c>
    </row>
    <row r="1124" spans="1:2">
      <c r="A1124" s="7">
        <v>38504</v>
      </c>
      <c r="B1124" s="53">
        <v>194.5</v>
      </c>
    </row>
    <row r="1125" spans="1:2">
      <c r="A1125" s="7">
        <v>38534</v>
      </c>
      <c r="B1125" s="53">
        <v>195.4</v>
      </c>
    </row>
    <row r="1126" spans="1:2">
      <c r="A1126" s="7">
        <v>38565</v>
      </c>
      <c r="B1126" s="53">
        <v>196.4</v>
      </c>
    </row>
    <row r="1127" spans="1:2">
      <c r="A1127" s="7">
        <v>38596</v>
      </c>
      <c r="B1127" s="53">
        <v>198.8</v>
      </c>
    </row>
    <row r="1128" spans="1:2">
      <c r="A1128" s="7">
        <v>38626</v>
      </c>
      <c r="B1128" s="53">
        <v>199.2</v>
      </c>
    </row>
    <row r="1129" spans="1:2">
      <c r="A1129" s="7">
        <v>38657</v>
      </c>
      <c r="B1129" s="53">
        <v>197.6</v>
      </c>
    </row>
    <row r="1130" spans="1:2">
      <c r="A1130" s="7">
        <v>38687</v>
      </c>
      <c r="B1130" s="53">
        <v>196.8</v>
      </c>
    </row>
    <row r="1131" spans="1:2">
      <c r="A1131" s="7">
        <v>38718</v>
      </c>
      <c r="B1131" s="53">
        <v>198.3</v>
      </c>
    </row>
    <row r="1132" spans="1:2">
      <c r="A1132" s="7">
        <v>38749</v>
      </c>
      <c r="B1132" s="53">
        <v>198.7</v>
      </c>
    </row>
    <row r="1133" spans="1:2">
      <c r="A1133" s="7">
        <v>38777</v>
      </c>
      <c r="B1133" s="53">
        <v>199.8</v>
      </c>
    </row>
    <row r="1134" spans="1:2">
      <c r="A1134" s="7">
        <v>38808</v>
      </c>
      <c r="B1134" s="53">
        <v>201.5</v>
      </c>
    </row>
    <row r="1135" spans="1:2">
      <c r="A1135" s="7">
        <v>38838</v>
      </c>
      <c r="B1135" s="53">
        <v>202.5</v>
      </c>
    </row>
    <row r="1136" spans="1:2">
      <c r="A1136" s="7">
        <v>38869</v>
      </c>
      <c r="B1136" s="53">
        <v>202.9</v>
      </c>
    </row>
    <row r="1137" spans="1:2">
      <c r="A1137" s="7">
        <v>38899</v>
      </c>
      <c r="B1137" s="53">
        <v>203.5</v>
      </c>
    </row>
    <row r="1138" spans="1:2">
      <c r="A1138" s="7">
        <v>38930</v>
      </c>
      <c r="B1138" s="53">
        <v>203.9</v>
      </c>
    </row>
    <row r="1139" spans="1:2">
      <c r="A1139" s="7">
        <v>38961</v>
      </c>
      <c r="B1139" s="53">
        <v>202.9</v>
      </c>
    </row>
    <row r="1140" spans="1:2">
      <c r="A1140" s="7">
        <v>38991</v>
      </c>
      <c r="B1140" s="53">
        <v>201.8</v>
      </c>
    </row>
    <row r="1141" spans="1:2">
      <c r="A1141" s="7">
        <v>39022</v>
      </c>
      <c r="B1141" s="53">
        <v>201.5</v>
      </c>
    </row>
    <row r="1142" spans="1:2">
      <c r="A1142" s="7">
        <v>39052</v>
      </c>
      <c r="B1142" s="53">
        <v>201.8</v>
      </c>
    </row>
    <row r="1143" spans="1:2">
      <c r="A1143" s="7">
        <v>39083</v>
      </c>
      <c r="B1143" s="53">
        <v>202.416</v>
      </c>
    </row>
    <row r="1144" spans="1:2">
      <c r="A1144" s="7">
        <v>39114</v>
      </c>
      <c r="B1144" s="53">
        <v>203.499</v>
      </c>
    </row>
    <row r="1145" spans="1:2">
      <c r="A1145" s="7">
        <v>39142</v>
      </c>
      <c r="B1145" s="53">
        <v>205.352</v>
      </c>
    </row>
    <row r="1146" spans="1:2">
      <c r="A1146" s="7">
        <v>39173</v>
      </c>
      <c r="B1146" s="53">
        <v>206.68600000000001</v>
      </c>
    </row>
    <row r="1147" spans="1:2">
      <c r="A1147" s="7">
        <v>39203</v>
      </c>
      <c r="B1147" s="53">
        <v>207.94900000000001</v>
      </c>
    </row>
    <row r="1148" spans="1:2">
      <c r="A1148" s="7">
        <v>39234</v>
      </c>
      <c r="B1148" s="53">
        <v>208.352</v>
      </c>
    </row>
    <row r="1149" spans="1:2">
      <c r="A1149" s="7">
        <v>39264</v>
      </c>
      <c r="B1149" s="53">
        <v>208.29900000000001</v>
      </c>
    </row>
    <row r="1150" spans="1:2">
      <c r="A1150" s="7">
        <v>39295</v>
      </c>
      <c r="B1150" s="53">
        <v>207.917</v>
      </c>
    </row>
    <row r="1151" spans="1:2">
      <c r="A1151" s="7">
        <v>39326</v>
      </c>
      <c r="B1151" s="53">
        <v>208.49</v>
      </c>
    </row>
    <row r="1152" spans="1:2">
      <c r="A1152" s="7">
        <v>39356</v>
      </c>
      <c r="B1152" s="53">
        <v>208.93600000000001</v>
      </c>
    </row>
    <row r="1153" spans="1:2">
      <c r="A1153" s="7">
        <v>39387</v>
      </c>
      <c r="B1153" s="53">
        <v>210.17699999999999</v>
      </c>
    </row>
    <row r="1154" spans="1:2">
      <c r="A1154" s="7">
        <v>39417</v>
      </c>
      <c r="B1154" s="53">
        <v>210.036</v>
      </c>
    </row>
    <row r="1155" spans="1:2">
      <c r="A1155" s="7">
        <v>39448</v>
      </c>
      <c r="B1155" s="53">
        <v>211.08</v>
      </c>
    </row>
    <row r="1156" spans="1:2">
      <c r="A1156" s="7">
        <v>39479</v>
      </c>
      <c r="B1156" s="53">
        <v>211.69300000000001</v>
      </c>
    </row>
    <row r="1157" spans="1:2">
      <c r="A1157" s="7">
        <v>39508</v>
      </c>
      <c r="B1157" s="53">
        <v>213.52799999999999</v>
      </c>
    </row>
    <row r="1158" spans="1:2">
      <c r="A1158" s="7">
        <v>39539</v>
      </c>
      <c r="B1158" s="53">
        <v>214.82300000000001</v>
      </c>
    </row>
    <row r="1159" spans="1:2">
      <c r="A1159" s="7">
        <v>39569</v>
      </c>
      <c r="B1159" s="53">
        <v>216.63200000000001</v>
      </c>
    </row>
    <row r="1160" spans="1:2">
      <c r="A1160" s="7">
        <v>39600</v>
      </c>
      <c r="B1160" s="53">
        <v>218.815</v>
      </c>
    </row>
    <row r="1161" spans="1:2">
      <c r="A1161" s="7">
        <v>39630</v>
      </c>
      <c r="B1161" s="53">
        <v>219.964</v>
      </c>
    </row>
    <row r="1162" spans="1:2">
      <c r="A1162" s="7">
        <v>39661</v>
      </c>
      <c r="B1162" s="53">
        <v>219.08600000000001</v>
      </c>
    </row>
    <row r="1163" spans="1:2">
      <c r="A1163" s="7">
        <v>39692</v>
      </c>
      <c r="B1163" s="53">
        <v>218.78299999999999</v>
      </c>
    </row>
    <row r="1164" spans="1:2">
      <c r="A1164" s="7">
        <v>39722</v>
      </c>
      <c r="B1164" s="53">
        <v>216.57300000000001</v>
      </c>
    </row>
    <row r="1165" spans="1:2">
      <c r="A1165" s="7">
        <v>39753</v>
      </c>
      <c r="B1165" s="53">
        <v>212.42500000000001</v>
      </c>
    </row>
    <row r="1166" spans="1:2">
      <c r="A1166" s="7">
        <v>39783</v>
      </c>
      <c r="B1166" s="53">
        <v>210.22800000000001</v>
      </c>
    </row>
    <row r="1167" spans="1:2">
      <c r="A1167" s="7">
        <v>39814</v>
      </c>
      <c r="B1167" s="53">
        <v>211.143</v>
      </c>
    </row>
    <row r="1168" spans="1:2">
      <c r="A1168" s="7">
        <v>39845</v>
      </c>
      <c r="B1168" s="53">
        <v>212.19300000000001</v>
      </c>
    </row>
    <row r="1169" spans="1:2">
      <c r="A1169" s="7">
        <v>39873</v>
      </c>
      <c r="B1169" s="53">
        <v>212.709</v>
      </c>
    </row>
    <row r="1170" spans="1:2">
      <c r="A1170" s="7">
        <v>39904</v>
      </c>
      <c r="B1170" s="53">
        <v>213.24</v>
      </c>
    </row>
    <row r="1171" spans="1:2">
      <c r="A1171" s="7">
        <v>39934</v>
      </c>
      <c r="B1171" s="53">
        <v>213.85599999999999</v>
      </c>
    </row>
    <row r="1172" spans="1:2">
      <c r="A1172" s="7">
        <v>39965</v>
      </c>
      <c r="B1172" s="53">
        <v>215.69300000000001</v>
      </c>
    </row>
    <row r="1173" spans="1:2">
      <c r="A1173" s="7">
        <v>39995</v>
      </c>
      <c r="B1173" s="53">
        <v>215.351</v>
      </c>
    </row>
    <row r="1174" spans="1:2">
      <c r="A1174" s="7">
        <v>40026</v>
      </c>
      <c r="B1174" s="53">
        <v>215.834</v>
      </c>
    </row>
    <row r="1175" spans="1:2">
      <c r="A1175" s="7">
        <v>40057</v>
      </c>
      <c r="B1175" s="53">
        <v>215.96899999999999</v>
      </c>
    </row>
    <row r="1176" spans="1:2">
      <c r="A1176" s="7">
        <v>40087</v>
      </c>
      <c r="B1176" s="53">
        <v>216.17699999999999</v>
      </c>
    </row>
    <row r="1177" spans="1:2">
      <c r="A1177" s="7">
        <v>40118</v>
      </c>
      <c r="B1177" s="53">
        <v>216.33</v>
      </c>
    </row>
    <row r="1178" spans="1:2">
      <c r="A1178" s="7">
        <v>40148</v>
      </c>
      <c r="B1178" s="53">
        <v>215.94900000000001</v>
      </c>
    </row>
    <row r="1179" spans="1:2">
      <c r="A1179" s="7">
        <v>40179</v>
      </c>
      <c r="B1179" s="53">
        <v>216.68700000000001</v>
      </c>
    </row>
    <row r="1180" spans="1:2">
      <c r="A1180" s="7">
        <v>40210</v>
      </c>
      <c r="B1180" s="53">
        <v>216.74100000000001</v>
      </c>
    </row>
    <row r="1181" spans="1:2">
      <c r="A1181" s="7">
        <v>40238</v>
      </c>
      <c r="B1181" s="53">
        <v>217.631</v>
      </c>
    </row>
    <row r="1182" spans="1:2">
      <c r="A1182" s="7">
        <v>40269</v>
      </c>
      <c r="B1182" s="53">
        <v>218.00899999999999</v>
      </c>
    </row>
    <row r="1183" spans="1:2">
      <c r="A1183" s="7">
        <v>40299</v>
      </c>
      <c r="B1183" s="53">
        <v>218.178</v>
      </c>
    </row>
    <row r="1184" spans="1:2">
      <c r="A1184" s="7">
        <v>40330</v>
      </c>
      <c r="B1184" s="53">
        <v>217.965</v>
      </c>
    </row>
    <row r="1185" spans="1:2">
      <c r="A1185" s="7">
        <v>40360</v>
      </c>
      <c r="B1185" s="53">
        <v>218.011</v>
      </c>
    </row>
    <row r="1186" spans="1:2">
      <c r="A1186" s="7">
        <v>40391</v>
      </c>
      <c r="B1186" s="53">
        <v>218.31200000000001</v>
      </c>
    </row>
    <row r="1187" spans="1:2">
      <c r="A1187" s="7">
        <v>40422</v>
      </c>
      <c r="B1187" s="53">
        <v>218.43899999999999</v>
      </c>
    </row>
    <row r="1188" spans="1:2">
      <c r="A1188" s="7">
        <v>40452</v>
      </c>
      <c r="B1188" s="53">
        <v>218.71100000000001</v>
      </c>
    </row>
    <row r="1189" spans="1:2">
      <c r="A1189" s="7">
        <v>40483</v>
      </c>
      <c r="B1189" s="53">
        <v>218.803</v>
      </c>
    </row>
    <row r="1190" spans="1:2">
      <c r="A1190" s="7">
        <v>40513</v>
      </c>
      <c r="B1190" s="53">
        <v>219.179</v>
      </c>
    </row>
    <row r="1191" spans="1:2">
      <c r="A1191" s="7">
        <v>40544</v>
      </c>
      <c r="B1191" s="53">
        <v>220.22300000000001</v>
      </c>
    </row>
    <row r="1192" spans="1:2">
      <c r="A1192" s="7">
        <v>40575</v>
      </c>
      <c r="B1192" s="53">
        <v>221.309</v>
      </c>
    </row>
    <row r="1193" spans="1:2">
      <c r="A1193" s="7">
        <v>40603</v>
      </c>
      <c r="B1193" s="53">
        <v>223.46700000000001</v>
      </c>
    </row>
    <row r="1194" spans="1:2">
      <c r="A1194" s="7">
        <v>40634</v>
      </c>
      <c r="B1194" s="53">
        <v>224.90600000000001</v>
      </c>
    </row>
    <row r="1195" spans="1:2">
      <c r="A1195" s="7">
        <v>40664</v>
      </c>
      <c r="B1195" s="53">
        <v>225.964</v>
      </c>
    </row>
    <row r="1196" spans="1:2">
      <c r="A1196" s="7">
        <v>40695</v>
      </c>
      <c r="B1196" s="53">
        <v>225.72200000000001</v>
      </c>
    </row>
    <row r="1197" spans="1:2">
      <c r="A1197" s="7">
        <v>40725</v>
      </c>
      <c r="B1197" s="53">
        <v>225.922</v>
      </c>
    </row>
    <row r="1198" spans="1:2">
      <c r="A1198" s="7">
        <v>40756</v>
      </c>
      <c r="B1198" s="53">
        <v>226.54499999999999</v>
      </c>
    </row>
    <row r="1199" spans="1:2">
      <c r="A1199" s="7">
        <v>40787</v>
      </c>
      <c r="B1199" s="53">
        <v>226.88900000000001</v>
      </c>
    </row>
    <row r="1200" spans="1:2">
      <c r="A1200" s="7">
        <v>40817</v>
      </c>
      <c r="B1200" s="53">
        <v>226.42099999999999</v>
      </c>
    </row>
    <row r="1201" spans="1:2">
      <c r="A1201" s="7">
        <v>40848</v>
      </c>
      <c r="B1201" s="53">
        <v>226.23</v>
      </c>
    </row>
    <row r="1202" spans="1:2">
      <c r="A1202" s="7">
        <v>40878</v>
      </c>
      <c r="B1202" s="53">
        <v>225.672</v>
      </c>
    </row>
    <row r="1203" spans="1:2">
      <c r="A1203" s="7">
        <v>40909</v>
      </c>
      <c r="B1203" s="53">
        <v>226.66499999999999</v>
      </c>
    </row>
    <row r="1204" spans="1:2">
      <c r="A1204" s="7">
        <v>40940</v>
      </c>
      <c r="B1204" s="53">
        <v>227.66300000000001</v>
      </c>
    </row>
    <row r="1205" spans="1:2">
      <c r="A1205" s="7">
        <v>40969</v>
      </c>
      <c r="B1205" s="53">
        <v>229.392</v>
      </c>
    </row>
    <row r="1206" spans="1:2">
      <c r="A1206" s="7">
        <v>41000</v>
      </c>
      <c r="B1206" s="53">
        <v>230.08500000000001</v>
      </c>
    </row>
    <row r="1207" spans="1:2">
      <c r="A1207" s="7">
        <v>41030</v>
      </c>
      <c r="B1207" s="53">
        <v>229.815</v>
      </c>
    </row>
    <row r="1208" spans="1:2">
      <c r="A1208" s="7">
        <v>41061</v>
      </c>
      <c r="B1208" s="53">
        <v>229.47800000000001</v>
      </c>
    </row>
    <row r="1209" spans="1:2">
      <c r="A1209" s="7">
        <v>41091</v>
      </c>
      <c r="B1209" s="53">
        <v>229.10400000000001</v>
      </c>
    </row>
    <row r="1210" spans="1:2">
      <c r="A1210" s="7">
        <v>41122</v>
      </c>
      <c r="B1210" s="53">
        <v>230.37899999999999</v>
      </c>
    </row>
    <row r="1211" spans="1:2">
      <c r="A1211" s="7">
        <v>41153</v>
      </c>
      <c r="B1211" s="53">
        <v>231.40700000000001</v>
      </c>
    </row>
    <row r="1212" spans="1:2">
      <c r="A1212" s="7">
        <v>41183</v>
      </c>
      <c r="B1212" s="53">
        <v>231.31700000000001</v>
      </c>
    </row>
    <row r="1213" spans="1:2">
      <c r="A1213" s="7">
        <v>41214</v>
      </c>
      <c r="B1213" s="53">
        <v>230.221</v>
      </c>
    </row>
    <row r="1214" spans="1:2">
      <c r="A1214" s="7">
        <v>41244</v>
      </c>
      <c r="B1214" s="53">
        <v>229.601</v>
      </c>
    </row>
    <row r="1215" spans="1:2">
      <c r="A1215" s="7">
        <v>41275</v>
      </c>
      <c r="B1215" s="53">
        <v>230.28</v>
      </c>
    </row>
    <row r="1216" spans="1:2">
      <c r="A1216" s="7">
        <v>41306</v>
      </c>
      <c r="B1216" s="53">
        <v>232.166</v>
      </c>
    </row>
    <row r="1217" spans="1:2">
      <c r="A1217" s="7">
        <v>41334</v>
      </c>
      <c r="B1217" s="53">
        <v>232.773</v>
      </c>
    </row>
  </sheetData>
  <pageMargins left="0.75" right="0.75" top="1" bottom="1" header="0.5" footer="0.5"/>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09"/>
  <sheetViews>
    <sheetView workbookViewId="0">
      <pane xSplit="1" ySplit="14" topLeftCell="B15" activePane="bottomRight" state="frozen"/>
      <selection pane="topRight" activeCell="B1" sqref="B1"/>
      <selection pane="bottomLeft" activeCell="A15" sqref="A15"/>
      <selection pane="bottomRight" activeCell="F17" sqref="F17"/>
    </sheetView>
  </sheetViews>
  <sheetFormatPr baseColWidth="10" defaultColWidth="8.83203125" defaultRowHeight="15" x14ac:dyDescent="0"/>
  <cols>
    <col min="1" max="2" width="20.6640625" customWidth="1"/>
  </cols>
  <sheetData>
    <row r="1" spans="1:2">
      <c r="A1" s="6" t="s">
        <v>21</v>
      </c>
      <c r="B1" s="6" t="s">
        <v>758</v>
      </c>
    </row>
    <row r="2" spans="1:2">
      <c r="A2" s="6" t="s">
        <v>23</v>
      </c>
      <c r="B2" s="6" t="s">
        <v>759</v>
      </c>
    </row>
    <row r="3" spans="1:2">
      <c r="A3" s="6" t="s">
        <v>25</v>
      </c>
      <c r="B3" s="6" t="s">
        <v>26</v>
      </c>
    </row>
    <row r="4" spans="1:2">
      <c r="A4" s="6" t="s">
        <v>27</v>
      </c>
      <c r="B4" s="6" t="s">
        <v>760</v>
      </c>
    </row>
    <row r="5" spans="1:2">
      <c r="A5" s="6" t="s">
        <v>29</v>
      </c>
      <c r="B5" s="6" t="s">
        <v>45</v>
      </c>
    </row>
    <row r="6" spans="1:2">
      <c r="A6" s="6" t="s">
        <v>31</v>
      </c>
      <c r="B6" s="6" t="s">
        <v>32</v>
      </c>
    </row>
    <row r="7" spans="1:2">
      <c r="A7" s="6" t="s">
        <v>33</v>
      </c>
      <c r="B7" s="6" t="s">
        <v>761</v>
      </c>
    </row>
    <row r="8" spans="1:2">
      <c r="A8" s="6" t="s">
        <v>35</v>
      </c>
      <c r="B8" s="6" t="s">
        <v>762</v>
      </c>
    </row>
    <row r="9" spans="1:2">
      <c r="A9" s="6" t="s">
        <v>37</v>
      </c>
      <c r="B9" s="6" t="s">
        <v>763</v>
      </c>
    </row>
    <row r="10" spans="1:2">
      <c r="A10" s="6" t="s">
        <v>39</v>
      </c>
      <c r="B10" s="6" t="s">
        <v>764</v>
      </c>
    </row>
    <row r="11" spans="1:2">
      <c r="B11" s="6" t="s">
        <v>765</v>
      </c>
    </row>
    <row r="12" spans="1:2">
      <c r="B12" s="6" t="s">
        <v>766</v>
      </c>
    </row>
    <row r="14" spans="1:2">
      <c r="A14" s="6" t="s">
        <v>41</v>
      </c>
      <c r="B14" s="6" t="s">
        <v>42</v>
      </c>
    </row>
    <row r="15" spans="1:2">
      <c r="A15" s="7">
        <v>17168</v>
      </c>
      <c r="B15" s="53">
        <v>21.48</v>
      </c>
    </row>
    <row r="16" spans="1:2">
      <c r="A16" s="7">
        <v>17199</v>
      </c>
      <c r="B16" s="53">
        <v>21.62</v>
      </c>
    </row>
    <row r="17" spans="1:2">
      <c r="A17" s="7">
        <v>17227</v>
      </c>
      <c r="B17" s="53">
        <v>22</v>
      </c>
    </row>
    <row r="18" spans="1:2">
      <c r="A18" s="7">
        <v>17258</v>
      </c>
      <c r="B18" s="53">
        <v>22</v>
      </c>
    </row>
    <row r="19" spans="1:2">
      <c r="A19" s="7">
        <v>17288</v>
      </c>
      <c r="B19" s="53">
        <v>21.95</v>
      </c>
    </row>
    <row r="20" spans="1:2">
      <c r="A20" s="7">
        <v>17319</v>
      </c>
      <c r="B20" s="53">
        <v>22.08</v>
      </c>
    </row>
    <row r="21" spans="1:2">
      <c r="A21" s="7">
        <v>17349</v>
      </c>
      <c r="B21" s="53">
        <v>22.23</v>
      </c>
    </row>
    <row r="22" spans="1:2">
      <c r="A22" s="7">
        <v>17380</v>
      </c>
      <c r="B22" s="53">
        <v>22.4</v>
      </c>
    </row>
    <row r="23" spans="1:2">
      <c r="A23" s="7">
        <v>17411</v>
      </c>
      <c r="B23" s="53">
        <v>22.84</v>
      </c>
    </row>
    <row r="24" spans="1:2">
      <c r="A24" s="7">
        <v>17441</v>
      </c>
      <c r="B24" s="53">
        <v>22.91</v>
      </c>
    </row>
    <row r="25" spans="1:2">
      <c r="A25" s="7">
        <v>17472</v>
      </c>
      <c r="B25" s="53">
        <v>23.06</v>
      </c>
    </row>
    <row r="26" spans="1:2">
      <c r="A26" s="7">
        <v>17502</v>
      </c>
      <c r="B26" s="53">
        <v>23.41</v>
      </c>
    </row>
    <row r="27" spans="1:2">
      <c r="A27" s="7">
        <v>17533</v>
      </c>
      <c r="B27" s="53">
        <v>23.68</v>
      </c>
    </row>
    <row r="28" spans="1:2">
      <c r="A28" s="7">
        <v>17564</v>
      </c>
      <c r="B28" s="53">
        <v>23.67</v>
      </c>
    </row>
    <row r="29" spans="1:2">
      <c r="A29" s="7">
        <v>17593</v>
      </c>
      <c r="B29" s="53">
        <v>23.5</v>
      </c>
    </row>
    <row r="30" spans="1:2">
      <c r="A30" s="7">
        <v>17624</v>
      </c>
      <c r="B30" s="53">
        <v>23.82</v>
      </c>
    </row>
    <row r="31" spans="1:2">
      <c r="A31" s="7">
        <v>17654</v>
      </c>
      <c r="B31" s="53">
        <v>24.01</v>
      </c>
    </row>
    <row r="32" spans="1:2">
      <c r="A32" s="7">
        <v>17685</v>
      </c>
      <c r="B32" s="53">
        <v>24.15</v>
      </c>
    </row>
    <row r="33" spans="1:2">
      <c r="A33" s="7">
        <v>17715</v>
      </c>
      <c r="B33" s="53">
        <v>24.4</v>
      </c>
    </row>
    <row r="34" spans="1:2">
      <c r="A34" s="7">
        <v>17746</v>
      </c>
      <c r="B34" s="53">
        <v>24.43</v>
      </c>
    </row>
    <row r="35" spans="1:2">
      <c r="A35" s="7">
        <v>17777</v>
      </c>
      <c r="B35" s="53">
        <v>24.36</v>
      </c>
    </row>
    <row r="36" spans="1:2">
      <c r="A36" s="7">
        <v>17807</v>
      </c>
      <c r="B36" s="53">
        <v>24.31</v>
      </c>
    </row>
    <row r="37" spans="1:2">
      <c r="A37" s="7">
        <v>17838</v>
      </c>
      <c r="B37" s="53">
        <v>24.16</v>
      </c>
    </row>
    <row r="38" spans="1:2">
      <c r="A38" s="7">
        <v>17868</v>
      </c>
      <c r="B38" s="53">
        <v>24.05</v>
      </c>
    </row>
    <row r="39" spans="1:2">
      <c r="A39" s="7">
        <v>17899</v>
      </c>
      <c r="B39" s="53">
        <v>24.01</v>
      </c>
    </row>
    <row r="40" spans="1:2">
      <c r="A40" s="7">
        <v>17930</v>
      </c>
      <c r="B40" s="53">
        <v>23.91</v>
      </c>
    </row>
    <row r="41" spans="1:2">
      <c r="A41" s="7">
        <v>17958</v>
      </c>
      <c r="B41" s="53">
        <v>23.91</v>
      </c>
    </row>
    <row r="42" spans="1:2">
      <c r="A42" s="7">
        <v>17989</v>
      </c>
      <c r="B42" s="53">
        <v>23.92</v>
      </c>
    </row>
    <row r="43" spans="1:2">
      <c r="A43" s="7">
        <v>18019</v>
      </c>
      <c r="B43" s="53">
        <v>23.91</v>
      </c>
    </row>
    <row r="44" spans="1:2">
      <c r="A44" s="7">
        <v>18050</v>
      </c>
      <c r="B44" s="53">
        <v>23.92</v>
      </c>
    </row>
    <row r="45" spans="1:2">
      <c r="A45" s="7">
        <v>18080</v>
      </c>
      <c r="B45" s="53">
        <v>23.7</v>
      </c>
    </row>
    <row r="46" spans="1:2">
      <c r="A46" s="7">
        <v>18111</v>
      </c>
      <c r="B46" s="53">
        <v>23.7</v>
      </c>
    </row>
    <row r="47" spans="1:2">
      <c r="A47" s="7">
        <v>18142</v>
      </c>
      <c r="B47" s="53">
        <v>23.75</v>
      </c>
    </row>
    <row r="48" spans="1:2">
      <c r="A48" s="7">
        <v>18172</v>
      </c>
      <c r="B48" s="53">
        <v>23.67</v>
      </c>
    </row>
    <row r="49" spans="1:2">
      <c r="A49" s="7">
        <v>18203</v>
      </c>
      <c r="B49" s="53">
        <v>23.7</v>
      </c>
    </row>
    <row r="50" spans="1:2">
      <c r="A50" s="7">
        <v>18233</v>
      </c>
      <c r="B50" s="53">
        <v>23.61</v>
      </c>
    </row>
    <row r="51" spans="1:2">
      <c r="A51" s="7">
        <v>18264</v>
      </c>
      <c r="B51" s="53">
        <v>23.51</v>
      </c>
    </row>
    <row r="52" spans="1:2">
      <c r="A52" s="7">
        <v>18295</v>
      </c>
      <c r="B52" s="53">
        <v>23.61</v>
      </c>
    </row>
    <row r="53" spans="1:2">
      <c r="A53" s="7">
        <v>18323</v>
      </c>
      <c r="B53" s="53">
        <v>23.64</v>
      </c>
    </row>
    <row r="54" spans="1:2">
      <c r="A54" s="7">
        <v>18354</v>
      </c>
      <c r="B54" s="53">
        <v>23.65</v>
      </c>
    </row>
    <row r="55" spans="1:2">
      <c r="A55" s="7">
        <v>18384</v>
      </c>
      <c r="B55" s="53">
        <v>23.77</v>
      </c>
    </row>
    <row r="56" spans="1:2">
      <c r="A56" s="7">
        <v>18415</v>
      </c>
      <c r="B56" s="53">
        <v>23.88</v>
      </c>
    </row>
    <row r="57" spans="1:2">
      <c r="A57" s="7">
        <v>18445</v>
      </c>
      <c r="B57" s="53">
        <v>24.07</v>
      </c>
    </row>
    <row r="58" spans="1:2">
      <c r="A58" s="7">
        <v>18476</v>
      </c>
      <c r="B58" s="53">
        <v>24.2</v>
      </c>
    </row>
    <row r="59" spans="1:2">
      <c r="A59" s="7">
        <v>18507</v>
      </c>
      <c r="B59" s="53">
        <v>24.34</v>
      </c>
    </row>
    <row r="60" spans="1:2">
      <c r="A60" s="7">
        <v>18537</v>
      </c>
      <c r="B60" s="53">
        <v>24.5</v>
      </c>
    </row>
    <row r="61" spans="1:2">
      <c r="A61" s="7">
        <v>18568</v>
      </c>
      <c r="B61" s="53">
        <v>24.6</v>
      </c>
    </row>
    <row r="62" spans="1:2">
      <c r="A62" s="7">
        <v>18598</v>
      </c>
      <c r="B62" s="53">
        <v>24.98</v>
      </c>
    </row>
    <row r="63" spans="1:2">
      <c r="A63" s="7">
        <v>18629</v>
      </c>
      <c r="B63" s="53">
        <v>25.38</v>
      </c>
    </row>
    <row r="64" spans="1:2">
      <c r="A64" s="7">
        <v>18660</v>
      </c>
      <c r="B64" s="53">
        <v>25.83</v>
      </c>
    </row>
    <row r="65" spans="1:2">
      <c r="A65" s="7">
        <v>18688</v>
      </c>
      <c r="B65" s="53">
        <v>25.88</v>
      </c>
    </row>
    <row r="66" spans="1:2">
      <c r="A66" s="7">
        <v>18719</v>
      </c>
      <c r="B66" s="53">
        <v>25.92</v>
      </c>
    </row>
    <row r="67" spans="1:2">
      <c r="A67" s="7">
        <v>18749</v>
      </c>
      <c r="B67" s="53">
        <v>25.99</v>
      </c>
    </row>
    <row r="68" spans="1:2">
      <c r="A68" s="7">
        <v>18780</v>
      </c>
      <c r="B68" s="53">
        <v>25.93</v>
      </c>
    </row>
    <row r="69" spans="1:2">
      <c r="A69" s="7">
        <v>18810</v>
      </c>
      <c r="B69" s="53">
        <v>25.91</v>
      </c>
    </row>
    <row r="70" spans="1:2">
      <c r="A70" s="7">
        <v>18841</v>
      </c>
      <c r="B70" s="53">
        <v>25.86</v>
      </c>
    </row>
    <row r="71" spans="1:2">
      <c r="A71" s="7">
        <v>18872</v>
      </c>
      <c r="B71" s="53">
        <v>26.03</v>
      </c>
    </row>
    <row r="72" spans="1:2">
      <c r="A72" s="7">
        <v>18902</v>
      </c>
      <c r="B72" s="53">
        <v>26.16</v>
      </c>
    </row>
    <row r="73" spans="1:2">
      <c r="A73" s="7">
        <v>18933</v>
      </c>
      <c r="B73" s="53">
        <v>26.32</v>
      </c>
    </row>
    <row r="74" spans="1:2">
      <c r="A74" s="7">
        <v>18963</v>
      </c>
      <c r="B74" s="53">
        <v>26.47</v>
      </c>
    </row>
    <row r="75" spans="1:2">
      <c r="A75" s="7">
        <v>18994</v>
      </c>
      <c r="B75" s="53">
        <v>26.45</v>
      </c>
    </row>
    <row r="76" spans="1:2">
      <c r="A76" s="7">
        <v>19025</v>
      </c>
      <c r="B76" s="53">
        <v>26.41</v>
      </c>
    </row>
    <row r="77" spans="1:2">
      <c r="A77" s="7">
        <v>19054</v>
      </c>
      <c r="B77" s="53">
        <v>26.39</v>
      </c>
    </row>
    <row r="78" spans="1:2">
      <c r="A78" s="7">
        <v>19085</v>
      </c>
      <c r="B78" s="53">
        <v>26.46</v>
      </c>
    </row>
    <row r="79" spans="1:2">
      <c r="A79" s="7">
        <v>19115</v>
      </c>
      <c r="B79" s="53">
        <v>26.47</v>
      </c>
    </row>
    <row r="80" spans="1:2">
      <c r="A80" s="7">
        <v>19146</v>
      </c>
      <c r="B80" s="53">
        <v>26.53</v>
      </c>
    </row>
    <row r="81" spans="1:2">
      <c r="A81" s="7">
        <v>19176</v>
      </c>
      <c r="B81" s="53">
        <v>26.68</v>
      </c>
    </row>
    <row r="82" spans="1:2">
      <c r="A82" s="7">
        <v>19207</v>
      </c>
      <c r="B82" s="53">
        <v>26.69</v>
      </c>
    </row>
    <row r="83" spans="1:2">
      <c r="A83" s="7">
        <v>19238</v>
      </c>
      <c r="B83" s="53">
        <v>26.63</v>
      </c>
    </row>
    <row r="84" spans="1:2">
      <c r="A84" s="7">
        <v>19268</v>
      </c>
      <c r="B84" s="53">
        <v>26.69</v>
      </c>
    </row>
    <row r="85" spans="1:2">
      <c r="A85" s="7">
        <v>19299</v>
      </c>
      <c r="B85" s="53">
        <v>26.69</v>
      </c>
    </row>
    <row r="86" spans="1:2">
      <c r="A86" s="7">
        <v>19329</v>
      </c>
      <c r="B86" s="53">
        <v>26.71</v>
      </c>
    </row>
    <row r="87" spans="1:2">
      <c r="A87" s="7">
        <v>19360</v>
      </c>
      <c r="B87" s="53">
        <v>26.64</v>
      </c>
    </row>
    <row r="88" spans="1:2">
      <c r="A88" s="7">
        <v>19391</v>
      </c>
      <c r="B88" s="53">
        <v>26.59</v>
      </c>
    </row>
    <row r="89" spans="1:2">
      <c r="A89" s="7">
        <v>19419</v>
      </c>
      <c r="B89" s="53">
        <v>26.63</v>
      </c>
    </row>
    <row r="90" spans="1:2">
      <c r="A90" s="7">
        <v>19450</v>
      </c>
      <c r="B90" s="53">
        <v>26.69</v>
      </c>
    </row>
    <row r="91" spans="1:2">
      <c r="A91" s="7">
        <v>19480</v>
      </c>
      <c r="B91" s="53">
        <v>26.7</v>
      </c>
    </row>
    <row r="92" spans="1:2">
      <c r="A92" s="7">
        <v>19511</v>
      </c>
      <c r="B92" s="53">
        <v>26.77</v>
      </c>
    </row>
    <row r="93" spans="1:2">
      <c r="A93" s="7">
        <v>19541</v>
      </c>
      <c r="B93" s="53">
        <v>26.79</v>
      </c>
    </row>
    <row r="94" spans="1:2">
      <c r="A94" s="7">
        <v>19572</v>
      </c>
      <c r="B94" s="53">
        <v>26.85</v>
      </c>
    </row>
    <row r="95" spans="1:2">
      <c r="A95" s="7">
        <v>19603</v>
      </c>
      <c r="B95" s="53">
        <v>26.89</v>
      </c>
    </row>
    <row r="96" spans="1:2">
      <c r="A96" s="7">
        <v>19633</v>
      </c>
      <c r="B96" s="53">
        <v>26.95</v>
      </c>
    </row>
    <row r="97" spans="1:2">
      <c r="A97" s="7">
        <v>19664</v>
      </c>
      <c r="B97" s="53">
        <v>26.85</v>
      </c>
    </row>
    <row r="98" spans="1:2">
      <c r="A98" s="7">
        <v>19694</v>
      </c>
      <c r="B98" s="53">
        <v>26.87</v>
      </c>
    </row>
    <row r="99" spans="1:2">
      <c r="A99" s="7">
        <v>19725</v>
      </c>
      <c r="B99" s="53">
        <v>26.94</v>
      </c>
    </row>
    <row r="100" spans="1:2">
      <c r="A100" s="7">
        <v>19756</v>
      </c>
      <c r="B100" s="53">
        <v>26.99</v>
      </c>
    </row>
    <row r="101" spans="1:2">
      <c r="A101" s="7">
        <v>19784</v>
      </c>
      <c r="B101" s="53">
        <v>26.93</v>
      </c>
    </row>
    <row r="102" spans="1:2">
      <c r="A102" s="7">
        <v>19815</v>
      </c>
      <c r="B102" s="53">
        <v>26.86</v>
      </c>
    </row>
    <row r="103" spans="1:2">
      <c r="A103" s="7">
        <v>19845</v>
      </c>
      <c r="B103" s="53">
        <v>26.93</v>
      </c>
    </row>
    <row r="104" spans="1:2">
      <c r="A104" s="7">
        <v>19876</v>
      </c>
      <c r="B104" s="53">
        <v>26.94</v>
      </c>
    </row>
    <row r="105" spans="1:2">
      <c r="A105" s="7">
        <v>19906</v>
      </c>
      <c r="B105" s="53">
        <v>26.86</v>
      </c>
    </row>
    <row r="106" spans="1:2">
      <c r="A106" s="7">
        <v>19937</v>
      </c>
      <c r="B106" s="53">
        <v>26.85</v>
      </c>
    </row>
    <row r="107" spans="1:2">
      <c r="A107" s="7">
        <v>19968</v>
      </c>
      <c r="B107" s="53">
        <v>26.81</v>
      </c>
    </row>
    <row r="108" spans="1:2">
      <c r="A108" s="7">
        <v>19998</v>
      </c>
      <c r="B108" s="53">
        <v>26.72</v>
      </c>
    </row>
    <row r="109" spans="1:2">
      <c r="A109" s="7">
        <v>20029</v>
      </c>
      <c r="B109" s="53">
        <v>26.78</v>
      </c>
    </row>
    <row r="110" spans="1:2">
      <c r="A110" s="7">
        <v>20059</v>
      </c>
      <c r="B110" s="53">
        <v>26.77</v>
      </c>
    </row>
    <row r="111" spans="1:2">
      <c r="A111" s="7">
        <v>20090</v>
      </c>
      <c r="B111" s="53">
        <v>26.77</v>
      </c>
    </row>
    <row r="112" spans="1:2">
      <c r="A112" s="7">
        <v>20121</v>
      </c>
      <c r="B112" s="53">
        <v>26.82</v>
      </c>
    </row>
    <row r="113" spans="1:2">
      <c r="A113" s="7">
        <v>20149</v>
      </c>
      <c r="B113" s="53">
        <v>26.79</v>
      </c>
    </row>
    <row r="114" spans="1:2">
      <c r="A114" s="7">
        <v>20180</v>
      </c>
      <c r="B114" s="53">
        <v>26.79</v>
      </c>
    </row>
    <row r="115" spans="1:2">
      <c r="A115" s="7">
        <v>20210</v>
      </c>
      <c r="B115" s="53">
        <v>26.77</v>
      </c>
    </row>
    <row r="116" spans="1:2">
      <c r="A116" s="7">
        <v>20241</v>
      </c>
      <c r="B116" s="53">
        <v>26.71</v>
      </c>
    </row>
    <row r="117" spans="1:2">
      <c r="A117" s="7">
        <v>20271</v>
      </c>
      <c r="B117" s="53">
        <v>26.76</v>
      </c>
    </row>
    <row r="118" spans="1:2">
      <c r="A118" s="7">
        <v>20302</v>
      </c>
      <c r="B118" s="53">
        <v>26.72</v>
      </c>
    </row>
    <row r="119" spans="1:2">
      <c r="A119" s="7">
        <v>20333</v>
      </c>
      <c r="B119" s="53">
        <v>26.85</v>
      </c>
    </row>
    <row r="120" spans="1:2">
      <c r="A120" s="7">
        <v>20363</v>
      </c>
      <c r="B120" s="53">
        <v>26.82</v>
      </c>
    </row>
    <row r="121" spans="1:2">
      <c r="A121" s="7">
        <v>20394</v>
      </c>
      <c r="B121" s="53">
        <v>26.88</v>
      </c>
    </row>
    <row r="122" spans="1:2">
      <c r="A122" s="7">
        <v>20424</v>
      </c>
      <c r="B122" s="53">
        <v>26.87</v>
      </c>
    </row>
    <row r="123" spans="1:2">
      <c r="A123" s="7">
        <v>20455</v>
      </c>
      <c r="B123" s="53">
        <v>26.83</v>
      </c>
    </row>
    <row r="124" spans="1:2">
      <c r="A124" s="7">
        <v>20486</v>
      </c>
      <c r="B124" s="53">
        <v>26.86</v>
      </c>
    </row>
    <row r="125" spans="1:2">
      <c r="A125" s="7">
        <v>20515</v>
      </c>
      <c r="B125" s="53">
        <v>26.89</v>
      </c>
    </row>
    <row r="126" spans="1:2">
      <c r="A126" s="7">
        <v>20546</v>
      </c>
      <c r="B126" s="53">
        <v>26.93</v>
      </c>
    </row>
    <row r="127" spans="1:2">
      <c r="A127" s="7">
        <v>20576</v>
      </c>
      <c r="B127" s="53">
        <v>27.03</v>
      </c>
    </row>
    <row r="128" spans="1:2">
      <c r="A128" s="7">
        <v>20607</v>
      </c>
      <c r="B128" s="53">
        <v>27.15</v>
      </c>
    </row>
    <row r="129" spans="1:2">
      <c r="A129" s="7">
        <v>20637</v>
      </c>
      <c r="B129" s="53">
        <v>27.29</v>
      </c>
    </row>
    <row r="130" spans="1:2">
      <c r="A130" s="7">
        <v>20668</v>
      </c>
      <c r="B130" s="53">
        <v>27.31</v>
      </c>
    </row>
    <row r="131" spans="1:2">
      <c r="A131" s="7">
        <v>20699</v>
      </c>
      <c r="B131" s="53">
        <v>27.35</v>
      </c>
    </row>
    <row r="132" spans="1:2">
      <c r="A132" s="7">
        <v>20729</v>
      </c>
      <c r="B132" s="53">
        <v>27.51</v>
      </c>
    </row>
    <row r="133" spans="1:2">
      <c r="A133" s="7">
        <v>20760</v>
      </c>
      <c r="B133" s="53">
        <v>27.51</v>
      </c>
    </row>
    <row r="134" spans="1:2">
      <c r="A134" s="7">
        <v>20790</v>
      </c>
      <c r="B134" s="53">
        <v>27.63</v>
      </c>
    </row>
    <row r="135" spans="1:2">
      <c r="A135" s="7">
        <v>20821</v>
      </c>
      <c r="B135" s="53">
        <v>27.67</v>
      </c>
    </row>
    <row r="136" spans="1:2">
      <c r="A136" s="7">
        <v>20852</v>
      </c>
      <c r="B136" s="53">
        <v>27.8</v>
      </c>
    </row>
    <row r="137" spans="1:2">
      <c r="A137" s="7">
        <v>20880</v>
      </c>
      <c r="B137" s="53">
        <v>27.86</v>
      </c>
    </row>
    <row r="138" spans="1:2">
      <c r="A138" s="7">
        <v>20911</v>
      </c>
      <c r="B138" s="53">
        <v>27.93</v>
      </c>
    </row>
    <row r="139" spans="1:2">
      <c r="A139" s="7">
        <v>20941</v>
      </c>
      <c r="B139" s="53">
        <v>28</v>
      </c>
    </row>
    <row r="140" spans="1:2">
      <c r="A140" s="7">
        <v>20972</v>
      </c>
      <c r="B140" s="53">
        <v>28.11</v>
      </c>
    </row>
    <row r="141" spans="1:2">
      <c r="A141" s="7">
        <v>21002</v>
      </c>
      <c r="B141" s="53">
        <v>28.19</v>
      </c>
    </row>
    <row r="142" spans="1:2">
      <c r="A142" s="7">
        <v>21033</v>
      </c>
      <c r="B142" s="53">
        <v>28.28</v>
      </c>
    </row>
    <row r="143" spans="1:2">
      <c r="A143" s="7">
        <v>21064</v>
      </c>
      <c r="B143" s="53">
        <v>28.32</v>
      </c>
    </row>
    <row r="144" spans="1:2">
      <c r="A144" s="7">
        <v>21094</v>
      </c>
      <c r="B144" s="53">
        <v>28.32</v>
      </c>
    </row>
    <row r="145" spans="1:2">
      <c r="A145" s="7">
        <v>21125</v>
      </c>
      <c r="B145" s="53">
        <v>28.41</v>
      </c>
    </row>
    <row r="146" spans="1:2">
      <c r="A146" s="7">
        <v>21155</v>
      </c>
      <c r="B146" s="53">
        <v>28.47</v>
      </c>
    </row>
    <row r="147" spans="1:2">
      <c r="A147" s="7">
        <v>21186</v>
      </c>
      <c r="B147" s="53">
        <v>28.64</v>
      </c>
    </row>
    <row r="148" spans="1:2">
      <c r="A148" s="7">
        <v>21217</v>
      </c>
      <c r="B148" s="53">
        <v>28.7</v>
      </c>
    </row>
    <row r="149" spans="1:2">
      <c r="A149" s="7">
        <v>21245</v>
      </c>
      <c r="B149" s="53">
        <v>28.87</v>
      </c>
    </row>
    <row r="150" spans="1:2">
      <c r="A150" s="7">
        <v>21276</v>
      </c>
      <c r="B150" s="53">
        <v>28.94</v>
      </c>
    </row>
    <row r="151" spans="1:2">
      <c r="A151" s="7">
        <v>21306</v>
      </c>
      <c r="B151" s="53">
        <v>28.94</v>
      </c>
    </row>
    <row r="152" spans="1:2">
      <c r="A152" s="7">
        <v>21337</v>
      </c>
      <c r="B152" s="53">
        <v>28.91</v>
      </c>
    </row>
    <row r="153" spans="1:2">
      <c r="A153" s="7">
        <v>21367</v>
      </c>
      <c r="B153" s="53">
        <v>28.89</v>
      </c>
    </row>
    <row r="154" spans="1:2">
      <c r="A154" s="7">
        <v>21398</v>
      </c>
      <c r="B154" s="53">
        <v>28.94</v>
      </c>
    </row>
    <row r="155" spans="1:2">
      <c r="A155" s="7">
        <v>21429</v>
      </c>
      <c r="B155" s="53">
        <v>28.91</v>
      </c>
    </row>
    <row r="156" spans="1:2">
      <c r="A156" s="7">
        <v>21459</v>
      </c>
      <c r="B156" s="53">
        <v>28.91</v>
      </c>
    </row>
    <row r="157" spans="1:2">
      <c r="A157" s="7">
        <v>21490</v>
      </c>
      <c r="B157" s="53">
        <v>28.95</v>
      </c>
    </row>
    <row r="158" spans="1:2">
      <c r="A158" s="7">
        <v>21520</v>
      </c>
      <c r="B158" s="53">
        <v>28.97</v>
      </c>
    </row>
    <row r="159" spans="1:2">
      <c r="A159" s="7">
        <v>21551</v>
      </c>
      <c r="B159" s="53">
        <v>29.01</v>
      </c>
    </row>
    <row r="160" spans="1:2">
      <c r="A160" s="7">
        <v>21582</v>
      </c>
      <c r="B160" s="53">
        <v>29</v>
      </c>
    </row>
    <row r="161" spans="1:2">
      <c r="A161" s="7">
        <v>21610</v>
      </c>
      <c r="B161" s="53">
        <v>28.97</v>
      </c>
    </row>
    <row r="162" spans="1:2">
      <c r="A162" s="7">
        <v>21641</v>
      </c>
      <c r="B162" s="53">
        <v>28.98</v>
      </c>
    </row>
    <row r="163" spans="1:2">
      <c r="A163" s="7">
        <v>21671</v>
      </c>
      <c r="B163" s="53">
        <v>29.04</v>
      </c>
    </row>
    <row r="164" spans="1:2">
      <c r="A164" s="7">
        <v>21702</v>
      </c>
      <c r="B164" s="53">
        <v>29.11</v>
      </c>
    </row>
    <row r="165" spans="1:2">
      <c r="A165" s="7">
        <v>21732</v>
      </c>
      <c r="B165" s="53">
        <v>29.15</v>
      </c>
    </row>
    <row r="166" spans="1:2">
      <c r="A166" s="7">
        <v>21763</v>
      </c>
      <c r="B166" s="53">
        <v>29.18</v>
      </c>
    </row>
    <row r="167" spans="1:2">
      <c r="A167" s="7">
        <v>21794</v>
      </c>
      <c r="B167" s="53">
        <v>29.25</v>
      </c>
    </row>
    <row r="168" spans="1:2">
      <c r="A168" s="7">
        <v>21824</v>
      </c>
      <c r="B168" s="53">
        <v>29.35</v>
      </c>
    </row>
    <row r="169" spans="1:2">
      <c r="A169" s="7">
        <v>21855</v>
      </c>
      <c r="B169" s="53">
        <v>29.35</v>
      </c>
    </row>
    <row r="170" spans="1:2">
      <c r="A170" s="7">
        <v>21885</v>
      </c>
      <c r="B170" s="53">
        <v>29.41</v>
      </c>
    </row>
    <row r="171" spans="1:2">
      <c r="A171" s="7">
        <v>21916</v>
      </c>
      <c r="B171" s="53">
        <v>29.37</v>
      </c>
    </row>
    <row r="172" spans="1:2">
      <c r="A172" s="7">
        <v>21947</v>
      </c>
      <c r="B172" s="53">
        <v>29.41</v>
      </c>
    </row>
    <row r="173" spans="1:2">
      <c r="A173" s="7">
        <v>21976</v>
      </c>
      <c r="B173" s="53">
        <v>29.41</v>
      </c>
    </row>
    <row r="174" spans="1:2">
      <c r="A174" s="7">
        <v>22007</v>
      </c>
      <c r="B174" s="53">
        <v>29.54</v>
      </c>
    </row>
    <row r="175" spans="1:2">
      <c r="A175" s="7">
        <v>22037</v>
      </c>
      <c r="B175" s="53">
        <v>29.57</v>
      </c>
    </row>
    <row r="176" spans="1:2">
      <c r="A176" s="7">
        <v>22068</v>
      </c>
      <c r="B176" s="53">
        <v>29.61</v>
      </c>
    </row>
    <row r="177" spans="1:2">
      <c r="A177" s="7">
        <v>22098</v>
      </c>
      <c r="B177" s="53">
        <v>29.55</v>
      </c>
    </row>
    <row r="178" spans="1:2">
      <c r="A178" s="7">
        <v>22129</v>
      </c>
      <c r="B178" s="53">
        <v>29.61</v>
      </c>
    </row>
    <row r="179" spans="1:2">
      <c r="A179" s="7">
        <v>22160</v>
      </c>
      <c r="B179" s="53">
        <v>29.61</v>
      </c>
    </row>
    <row r="180" spans="1:2">
      <c r="A180" s="7">
        <v>22190</v>
      </c>
      <c r="B180" s="53">
        <v>29.75</v>
      </c>
    </row>
    <row r="181" spans="1:2">
      <c r="A181" s="7">
        <v>22221</v>
      </c>
      <c r="B181" s="53">
        <v>29.78</v>
      </c>
    </row>
    <row r="182" spans="1:2">
      <c r="A182" s="7">
        <v>22251</v>
      </c>
      <c r="B182" s="53">
        <v>29.81</v>
      </c>
    </row>
    <row r="183" spans="1:2">
      <c r="A183" s="7">
        <v>22282</v>
      </c>
      <c r="B183" s="53">
        <v>29.84</v>
      </c>
    </row>
    <row r="184" spans="1:2">
      <c r="A184" s="7">
        <v>22313</v>
      </c>
      <c r="B184" s="53">
        <v>29.84</v>
      </c>
    </row>
    <row r="185" spans="1:2">
      <c r="A185" s="7">
        <v>22341</v>
      </c>
      <c r="B185" s="53">
        <v>29.84</v>
      </c>
    </row>
    <row r="186" spans="1:2">
      <c r="A186" s="7">
        <v>22372</v>
      </c>
      <c r="B186" s="53">
        <v>29.81</v>
      </c>
    </row>
    <row r="187" spans="1:2">
      <c r="A187" s="7">
        <v>22402</v>
      </c>
      <c r="B187" s="53">
        <v>29.84</v>
      </c>
    </row>
    <row r="188" spans="1:2">
      <c r="A188" s="7">
        <v>22433</v>
      </c>
      <c r="B188" s="53">
        <v>29.84</v>
      </c>
    </row>
    <row r="189" spans="1:2">
      <c r="A189" s="7">
        <v>22463</v>
      </c>
      <c r="B189" s="53">
        <v>29.92</v>
      </c>
    </row>
    <row r="190" spans="1:2">
      <c r="A190" s="7">
        <v>22494</v>
      </c>
      <c r="B190" s="53">
        <v>29.94</v>
      </c>
    </row>
    <row r="191" spans="1:2">
      <c r="A191" s="7">
        <v>22525</v>
      </c>
      <c r="B191" s="53">
        <v>29.98</v>
      </c>
    </row>
    <row r="192" spans="1:2">
      <c r="A192" s="7">
        <v>22555</v>
      </c>
      <c r="B192" s="53">
        <v>29.98</v>
      </c>
    </row>
    <row r="193" spans="1:2">
      <c r="A193" s="7">
        <v>22586</v>
      </c>
      <c r="B193" s="53">
        <v>29.98</v>
      </c>
    </row>
    <row r="194" spans="1:2">
      <c r="A194" s="7">
        <v>22616</v>
      </c>
      <c r="B194" s="53">
        <v>30.01</v>
      </c>
    </row>
    <row r="195" spans="1:2">
      <c r="A195" s="7">
        <v>22647</v>
      </c>
      <c r="B195" s="53">
        <v>30.04</v>
      </c>
    </row>
    <row r="196" spans="1:2">
      <c r="A196" s="7">
        <v>22678</v>
      </c>
      <c r="B196" s="53">
        <v>30.11</v>
      </c>
    </row>
    <row r="197" spans="1:2">
      <c r="A197" s="7">
        <v>22706</v>
      </c>
      <c r="B197" s="53">
        <v>30.17</v>
      </c>
    </row>
    <row r="198" spans="1:2">
      <c r="A198" s="7">
        <v>22737</v>
      </c>
      <c r="B198" s="53">
        <v>30.21</v>
      </c>
    </row>
    <row r="199" spans="1:2">
      <c r="A199" s="7">
        <v>22767</v>
      </c>
      <c r="B199" s="53">
        <v>30.24</v>
      </c>
    </row>
    <row r="200" spans="1:2">
      <c r="A200" s="7">
        <v>22798</v>
      </c>
      <c r="B200" s="53">
        <v>30.21</v>
      </c>
    </row>
    <row r="201" spans="1:2">
      <c r="A201" s="7">
        <v>22828</v>
      </c>
      <c r="B201" s="53">
        <v>30.22</v>
      </c>
    </row>
    <row r="202" spans="1:2">
      <c r="A202" s="7">
        <v>22859</v>
      </c>
      <c r="B202" s="53">
        <v>30.28</v>
      </c>
    </row>
    <row r="203" spans="1:2">
      <c r="A203" s="7">
        <v>22890</v>
      </c>
      <c r="B203" s="53">
        <v>30.42</v>
      </c>
    </row>
    <row r="204" spans="1:2">
      <c r="A204" s="7">
        <v>22920</v>
      </c>
      <c r="B204" s="53">
        <v>30.38</v>
      </c>
    </row>
    <row r="205" spans="1:2">
      <c r="A205" s="7">
        <v>22951</v>
      </c>
      <c r="B205" s="53">
        <v>30.38</v>
      </c>
    </row>
    <row r="206" spans="1:2">
      <c r="A206" s="7">
        <v>22981</v>
      </c>
      <c r="B206" s="53">
        <v>30.38</v>
      </c>
    </row>
    <row r="207" spans="1:2">
      <c r="A207" s="7">
        <v>23012</v>
      </c>
      <c r="B207" s="53">
        <v>30.44</v>
      </c>
    </row>
    <row r="208" spans="1:2">
      <c r="A208" s="7">
        <v>23043</v>
      </c>
      <c r="B208" s="53">
        <v>30.48</v>
      </c>
    </row>
    <row r="209" spans="1:2">
      <c r="A209" s="7">
        <v>23071</v>
      </c>
      <c r="B209" s="53">
        <v>30.51</v>
      </c>
    </row>
    <row r="210" spans="1:2">
      <c r="A210" s="7">
        <v>23102</v>
      </c>
      <c r="B210" s="53">
        <v>30.48</v>
      </c>
    </row>
    <row r="211" spans="1:2">
      <c r="A211" s="7">
        <v>23132</v>
      </c>
      <c r="B211" s="53">
        <v>30.51</v>
      </c>
    </row>
    <row r="212" spans="1:2">
      <c r="A212" s="7">
        <v>23163</v>
      </c>
      <c r="B212" s="53">
        <v>30.61</v>
      </c>
    </row>
    <row r="213" spans="1:2">
      <c r="A213" s="7">
        <v>23193</v>
      </c>
      <c r="B213" s="53">
        <v>30.69</v>
      </c>
    </row>
    <row r="214" spans="1:2">
      <c r="A214" s="7">
        <v>23224</v>
      </c>
      <c r="B214" s="53">
        <v>30.75</v>
      </c>
    </row>
    <row r="215" spans="1:2">
      <c r="A215" s="7">
        <v>23255</v>
      </c>
      <c r="B215" s="53">
        <v>30.72</v>
      </c>
    </row>
    <row r="216" spans="1:2">
      <c r="A216" s="7">
        <v>23285</v>
      </c>
      <c r="B216" s="53">
        <v>30.75</v>
      </c>
    </row>
    <row r="217" spans="1:2">
      <c r="A217" s="7">
        <v>23316</v>
      </c>
      <c r="B217" s="53">
        <v>30.78</v>
      </c>
    </row>
    <row r="218" spans="1:2">
      <c r="A218" s="7">
        <v>23346</v>
      </c>
      <c r="B218" s="53">
        <v>30.88</v>
      </c>
    </row>
    <row r="219" spans="1:2">
      <c r="A219" s="7">
        <v>23377</v>
      </c>
      <c r="B219" s="53">
        <v>30.94</v>
      </c>
    </row>
    <row r="220" spans="1:2">
      <c r="A220" s="7">
        <v>23408</v>
      </c>
      <c r="B220" s="53">
        <v>30.91</v>
      </c>
    </row>
    <row r="221" spans="1:2">
      <c r="A221" s="7">
        <v>23437</v>
      </c>
      <c r="B221" s="53">
        <v>30.94</v>
      </c>
    </row>
    <row r="222" spans="1:2">
      <c r="A222" s="7">
        <v>23468</v>
      </c>
      <c r="B222" s="53">
        <v>30.95</v>
      </c>
    </row>
    <row r="223" spans="1:2">
      <c r="A223" s="7">
        <v>23498</v>
      </c>
      <c r="B223" s="53">
        <v>30.98</v>
      </c>
    </row>
    <row r="224" spans="1:2">
      <c r="A224" s="7">
        <v>23529</v>
      </c>
      <c r="B224" s="53">
        <v>31.01</v>
      </c>
    </row>
    <row r="225" spans="1:2">
      <c r="A225" s="7">
        <v>23559</v>
      </c>
      <c r="B225" s="53">
        <v>31.02</v>
      </c>
    </row>
    <row r="226" spans="1:2">
      <c r="A226" s="7">
        <v>23590</v>
      </c>
      <c r="B226" s="53">
        <v>31.05</v>
      </c>
    </row>
    <row r="227" spans="1:2">
      <c r="A227" s="7">
        <v>23621</v>
      </c>
      <c r="B227" s="53">
        <v>31.08</v>
      </c>
    </row>
    <row r="228" spans="1:2">
      <c r="A228" s="7">
        <v>23651</v>
      </c>
      <c r="B228" s="53">
        <v>31.12</v>
      </c>
    </row>
    <row r="229" spans="1:2">
      <c r="A229" s="7">
        <v>23682</v>
      </c>
      <c r="B229" s="53">
        <v>31.21</v>
      </c>
    </row>
    <row r="230" spans="1:2">
      <c r="A230" s="7">
        <v>23712</v>
      </c>
      <c r="B230" s="53">
        <v>31.25</v>
      </c>
    </row>
    <row r="231" spans="1:2">
      <c r="A231" s="7">
        <v>23743</v>
      </c>
      <c r="B231" s="53">
        <v>31.28</v>
      </c>
    </row>
    <row r="232" spans="1:2">
      <c r="A232" s="7">
        <v>23774</v>
      </c>
      <c r="B232" s="53">
        <v>31.28</v>
      </c>
    </row>
    <row r="233" spans="1:2">
      <c r="A233" s="7">
        <v>23802</v>
      </c>
      <c r="B233" s="53">
        <v>31.31</v>
      </c>
    </row>
    <row r="234" spans="1:2">
      <c r="A234" s="7">
        <v>23833</v>
      </c>
      <c r="B234" s="53">
        <v>31.38</v>
      </c>
    </row>
    <row r="235" spans="1:2">
      <c r="A235" s="7">
        <v>23863</v>
      </c>
      <c r="B235" s="53">
        <v>31.48</v>
      </c>
    </row>
    <row r="236" spans="1:2">
      <c r="A236" s="7">
        <v>23894</v>
      </c>
      <c r="B236" s="53">
        <v>31.61</v>
      </c>
    </row>
    <row r="237" spans="1:2">
      <c r="A237" s="7">
        <v>23924</v>
      </c>
      <c r="B237" s="53">
        <v>31.58</v>
      </c>
    </row>
    <row r="238" spans="1:2">
      <c r="A238" s="7">
        <v>23955</v>
      </c>
      <c r="B238" s="53">
        <v>31.55</v>
      </c>
    </row>
    <row r="239" spans="1:2">
      <c r="A239" s="7">
        <v>23986</v>
      </c>
      <c r="B239" s="53">
        <v>31.62</v>
      </c>
    </row>
    <row r="240" spans="1:2">
      <c r="A240" s="7">
        <v>24016</v>
      </c>
      <c r="B240" s="53">
        <v>31.65</v>
      </c>
    </row>
    <row r="241" spans="1:2">
      <c r="A241" s="7">
        <v>24047</v>
      </c>
      <c r="B241" s="53">
        <v>31.75</v>
      </c>
    </row>
    <row r="242" spans="1:2">
      <c r="A242" s="7">
        <v>24077</v>
      </c>
      <c r="B242" s="53">
        <v>31.85</v>
      </c>
    </row>
    <row r="243" spans="1:2">
      <c r="A243" s="7">
        <v>24108</v>
      </c>
      <c r="B243" s="53">
        <v>31.88</v>
      </c>
    </row>
    <row r="244" spans="1:2">
      <c r="A244" s="7">
        <v>24139</v>
      </c>
      <c r="B244" s="53">
        <v>32.08</v>
      </c>
    </row>
    <row r="245" spans="1:2">
      <c r="A245" s="7">
        <v>24167</v>
      </c>
      <c r="B245" s="53">
        <v>32.18</v>
      </c>
    </row>
    <row r="246" spans="1:2">
      <c r="A246" s="7">
        <v>24198</v>
      </c>
      <c r="B246" s="53">
        <v>32.28</v>
      </c>
    </row>
    <row r="247" spans="1:2">
      <c r="A247" s="7">
        <v>24228</v>
      </c>
      <c r="B247" s="53">
        <v>32.35</v>
      </c>
    </row>
    <row r="248" spans="1:2">
      <c r="A248" s="7">
        <v>24259</v>
      </c>
      <c r="B248" s="53">
        <v>32.380000000000003</v>
      </c>
    </row>
    <row r="249" spans="1:2">
      <c r="A249" s="7">
        <v>24289</v>
      </c>
      <c r="B249" s="53">
        <v>32.450000000000003</v>
      </c>
    </row>
    <row r="250" spans="1:2">
      <c r="A250" s="7">
        <v>24320</v>
      </c>
      <c r="B250" s="53">
        <v>32.65</v>
      </c>
    </row>
    <row r="251" spans="1:2">
      <c r="A251" s="7">
        <v>24351</v>
      </c>
      <c r="B251" s="53">
        <v>32.75</v>
      </c>
    </row>
    <row r="252" spans="1:2">
      <c r="A252" s="7">
        <v>24381</v>
      </c>
      <c r="B252" s="53">
        <v>32.85</v>
      </c>
    </row>
    <row r="253" spans="1:2">
      <c r="A253" s="7">
        <v>24412</v>
      </c>
      <c r="B253" s="53">
        <v>32.880000000000003</v>
      </c>
    </row>
    <row r="254" spans="1:2">
      <c r="A254" s="7">
        <v>24442</v>
      </c>
      <c r="B254" s="53">
        <v>32.92</v>
      </c>
    </row>
    <row r="255" spans="1:2">
      <c r="A255" s="7">
        <v>24473</v>
      </c>
      <c r="B255" s="53">
        <v>32.9</v>
      </c>
    </row>
    <row r="256" spans="1:2">
      <c r="A256" s="7">
        <v>24504</v>
      </c>
      <c r="B256" s="53">
        <v>33</v>
      </c>
    </row>
    <row r="257" spans="1:2">
      <c r="A257" s="7">
        <v>24532</v>
      </c>
      <c r="B257" s="53">
        <v>33</v>
      </c>
    </row>
    <row r="258" spans="1:2">
      <c r="A258" s="7">
        <v>24563</v>
      </c>
      <c r="B258" s="53">
        <v>33.1</v>
      </c>
    </row>
    <row r="259" spans="1:2">
      <c r="A259" s="7">
        <v>24593</v>
      </c>
      <c r="B259" s="53">
        <v>33.1</v>
      </c>
    </row>
    <row r="260" spans="1:2">
      <c r="A260" s="7">
        <v>24624</v>
      </c>
      <c r="B260" s="53">
        <v>33.299999999999997</v>
      </c>
    </row>
    <row r="261" spans="1:2">
      <c r="A261" s="7">
        <v>24654</v>
      </c>
      <c r="B261" s="53">
        <v>33.4</v>
      </c>
    </row>
    <row r="262" spans="1:2">
      <c r="A262" s="7">
        <v>24685</v>
      </c>
      <c r="B262" s="53">
        <v>33.5</v>
      </c>
    </row>
    <row r="263" spans="1:2">
      <c r="A263" s="7">
        <v>24716</v>
      </c>
      <c r="B263" s="53">
        <v>33.6</v>
      </c>
    </row>
    <row r="264" spans="1:2">
      <c r="A264" s="7">
        <v>24746</v>
      </c>
      <c r="B264" s="53">
        <v>33.700000000000003</v>
      </c>
    </row>
    <row r="265" spans="1:2">
      <c r="A265" s="7">
        <v>24777</v>
      </c>
      <c r="B265" s="53">
        <v>33.9</v>
      </c>
    </row>
    <row r="266" spans="1:2">
      <c r="A266" s="7">
        <v>24807</v>
      </c>
      <c r="B266" s="53">
        <v>34</v>
      </c>
    </row>
    <row r="267" spans="1:2">
      <c r="A267" s="7">
        <v>24838</v>
      </c>
      <c r="B267" s="53">
        <v>34.1</v>
      </c>
    </row>
    <row r="268" spans="1:2">
      <c r="A268" s="7">
        <v>24869</v>
      </c>
      <c r="B268" s="53">
        <v>34.200000000000003</v>
      </c>
    </row>
    <row r="269" spans="1:2">
      <c r="A269" s="7">
        <v>24898</v>
      </c>
      <c r="B269" s="53">
        <v>34.299999999999997</v>
      </c>
    </row>
    <row r="270" spans="1:2">
      <c r="A270" s="7">
        <v>24929</v>
      </c>
      <c r="B270" s="53">
        <v>34.4</v>
      </c>
    </row>
    <row r="271" spans="1:2">
      <c r="A271" s="7">
        <v>24959</v>
      </c>
      <c r="B271" s="53">
        <v>34.5</v>
      </c>
    </row>
    <row r="272" spans="1:2">
      <c r="A272" s="7">
        <v>24990</v>
      </c>
      <c r="B272" s="53">
        <v>34.700000000000003</v>
      </c>
    </row>
    <row r="273" spans="1:2">
      <c r="A273" s="7">
        <v>25020</v>
      </c>
      <c r="B273" s="53">
        <v>34.9</v>
      </c>
    </row>
    <row r="274" spans="1:2">
      <c r="A274" s="7">
        <v>25051</v>
      </c>
      <c r="B274" s="53">
        <v>35</v>
      </c>
    </row>
    <row r="275" spans="1:2">
      <c r="A275" s="7">
        <v>25082</v>
      </c>
      <c r="B275" s="53">
        <v>35.1</v>
      </c>
    </row>
    <row r="276" spans="1:2">
      <c r="A276" s="7">
        <v>25112</v>
      </c>
      <c r="B276" s="53">
        <v>35.299999999999997</v>
      </c>
    </row>
    <row r="277" spans="1:2">
      <c r="A277" s="7">
        <v>25143</v>
      </c>
      <c r="B277" s="53">
        <v>35.4</v>
      </c>
    </row>
    <row r="278" spans="1:2">
      <c r="A278" s="7">
        <v>25173</v>
      </c>
      <c r="B278" s="53">
        <v>35.6</v>
      </c>
    </row>
    <row r="279" spans="1:2">
      <c r="A279" s="7">
        <v>25204</v>
      </c>
      <c r="B279" s="53">
        <v>35.700000000000003</v>
      </c>
    </row>
    <row r="280" spans="1:2">
      <c r="A280" s="7">
        <v>25235</v>
      </c>
      <c r="B280" s="53">
        <v>35.799999999999997</v>
      </c>
    </row>
    <row r="281" spans="1:2">
      <c r="A281" s="7">
        <v>25263</v>
      </c>
      <c r="B281" s="53">
        <v>36.1</v>
      </c>
    </row>
    <row r="282" spans="1:2">
      <c r="A282" s="7">
        <v>25294</v>
      </c>
      <c r="B282" s="53">
        <v>36.299999999999997</v>
      </c>
    </row>
    <row r="283" spans="1:2">
      <c r="A283" s="7">
        <v>25324</v>
      </c>
      <c r="B283" s="53">
        <v>36.4</v>
      </c>
    </row>
    <row r="284" spans="1:2">
      <c r="A284" s="7">
        <v>25355</v>
      </c>
      <c r="B284" s="53">
        <v>36.6</v>
      </c>
    </row>
    <row r="285" spans="1:2">
      <c r="A285" s="7">
        <v>25385</v>
      </c>
      <c r="B285" s="53">
        <v>36.799999999999997</v>
      </c>
    </row>
    <row r="286" spans="1:2">
      <c r="A286" s="7">
        <v>25416</v>
      </c>
      <c r="B286" s="53">
        <v>36.9</v>
      </c>
    </row>
    <row r="287" spans="1:2">
      <c r="A287" s="7">
        <v>25447</v>
      </c>
      <c r="B287" s="53">
        <v>37.1</v>
      </c>
    </row>
    <row r="288" spans="1:2">
      <c r="A288" s="7">
        <v>25477</v>
      </c>
      <c r="B288" s="53">
        <v>37.299999999999997</v>
      </c>
    </row>
    <row r="289" spans="1:2">
      <c r="A289" s="7">
        <v>25508</v>
      </c>
      <c r="B289" s="53">
        <v>37.5</v>
      </c>
    </row>
    <row r="290" spans="1:2">
      <c r="A290" s="7">
        <v>25538</v>
      </c>
      <c r="B290" s="53">
        <v>37.700000000000003</v>
      </c>
    </row>
    <row r="291" spans="1:2">
      <c r="A291" s="7">
        <v>25569</v>
      </c>
      <c r="B291" s="53">
        <v>37.9</v>
      </c>
    </row>
    <row r="292" spans="1:2">
      <c r="A292" s="7">
        <v>25600</v>
      </c>
      <c r="B292" s="53">
        <v>38.1</v>
      </c>
    </row>
    <row r="293" spans="1:2">
      <c r="A293" s="7">
        <v>25628</v>
      </c>
      <c r="B293" s="53">
        <v>38.299999999999997</v>
      </c>
    </row>
    <row r="294" spans="1:2">
      <c r="A294" s="7">
        <v>25659</v>
      </c>
      <c r="B294" s="53">
        <v>38.5</v>
      </c>
    </row>
    <row r="295" spans="1:2">
      <c r="A295" s="7">
        <v>25689</v>
      </c>
      <c r="B295" s="53">
        <v>38.6</v>
      </c>
    </row>
    <row r="296" spans="1:2">
      <c r="A296" s="7">
        <v>25720</v>
      </c>
      <c r="B296" s="53">
        <v>38.799999999999997</v>
      </c>
    </row>
    <row r="297" spans="1:2">
      <c r="A297" s="7">
        <v>25750</v>
      </c>
      <c r="B297" s="53">
        <v>38.9</v>
      </c>
    </row>
    <row r="298" spans="1:2">
      <c r="A298" s="7">
        <v>25781</v>
      </c>
      <c r="B298" s="53">
        <v>39</v>
      </c>
    </row>
    <row r="299" spans="1:2">
      <c r="A299" s="7">
        <v>25812</v>
      </c>
      <c r="B299" s="53">
        <v>39.200000000000003</v>
      </c>
    </row>
    <row r="300" spans="1:2">
      <c r="A300" s="7">
        <v>25842</v>
      </c>
      <c r="B300" s="53">
        <v>39.4</v>
      </c>
    </row>
    <row r="301" spans="1:2">
      <c r="A301" s="7">
        <v>25873</v>
      </c>
      <c r="B301" s="53">
        <v>39.6</v>
      </c>
    </row>
    <row r="302" spans="1:2">
      <c r="A302" s="7">
        <v>25903</v>
      </c>
      <c r="B302" s="53">
        <v>39.799999999999997</v>
      </c>
    </row>
    <row r="303" spans="1:2">
      <c r="A303" s="7">
        <v>25934</v>
      </c>
      <c r="B303" s="53">
        <v>39.9</v>
      </c>
    </row>
    <row r="304" spans="1:2">
      <c r="A304" s="7">
        <v>25965</v>
      </c>
      <c r="B304" s="53">
        <v>39.9</v>
      </c>
    </row>
    <row r="305" spans="1:2">
      <c r="A305" s="7">
        <v>25993</v>
      </c>
      <c r="B305" s="53">
        <v>40</v>
      </c>
    </row>
    <row r="306" spans="1:2">
      <c r="A306" s="7">
        <v>26024</v>
      </c>
      <c r="B306" s="53">
        <v>40.1</v>
      </c>
    </row>
    <row r="307" spans="1:2">
      <c r="A307" s="7">
        <v>26054</v>
      </c>
      <c r="B307" s="53">
        <v>40.299999999999997</v>
      </c>
    </row>
    <row r="308" spans="1:2">
      <c r="A308" s="7">
        <v>26085</v>
      </c>
      <c r="B308" s="53">
        <v>40.5</v>
      </c>
    </row>
    <row r="309" spans="1:2">
      <c r="A309" s="7">
        <v>26115</v>
      </c>
      <c r="B309" s="53">
        <v>40.6</v>
      </c>
    </row>
    <row r="310" spans="1:2">
      <c r="A310" s="7">
        <v>26146</v>
      </c>
      <c r="B310" s="53">
        <v>40.700000000000003</v>
      </c>
    </row>
    <row r="311" spans="1:2">
      <c r="A311" s="7">
        <v>26177</v>
      </c>
      <c r="B311" s="53">
        <v>40.799999999999997</v>
      </c>
    </row>
    <row r="312" spans="1:2">
      <c r="A312" s="7">
        <v>26207</v>
      </c>
      <c r="B312" s="53">
        <v>40.9</v>
      </c>
    </row>
    <row r="313" spans="1:2">
      <c r="A313" s="7">
        <v>26238</v>
      </c>
      <c r="B313" s="53">
        <v>41</v>
      </c>
    </row>
    <row r="314" spans="1:2">
      <c r="A314" s="7">
        <v>26268</v>
      </c>
      <c r="B314" s="53">
        <v>41.1</v>
      </c>
    </row>
    <row r="315" spans="1:2">
      <c r="A315" s="7">
        <v>26299</v>
      </c>
      <c r="B315" s="53">
        <v>41.2</v>
      </c>
    </row>
    <row r="316" spans="1:2">
      <c r="A316" s="7">
        <v>26330</v>
      </c>
      <c r="B316" s="53">
        <v>41.4</v>
      </c>
    </row>
    <row r="317" spans="1:2">
      <c r="A317" s="7">
        <v>26359</v>
      </c>
      <c r="B317" s="53">
        <v>41.4</v>
      </c>
    </row>
    <row r="318" spans="1:2">
      <c r="A318" s="7">
        <v>26390</v>
      </c>
      <c r="B318" s="53">
        <v>41.5</v>
      </c>
    </row>
    <row r="319" spans="1:2">
      <c r="A319" s="7">
        <v>26420</v>
      </c>
      <c r="B319" s="53">
        <v>41.6</v>
      </c>
    </row>
    <row r="320" spans="1:2">
      <c r="A320" s="7">
        <v>26451</v>
      </c>
      <c r="B320" s="53">
        <v>41.7</v>
      </c>
    </row>
    <row r="321" spans="1:2">
      <c r="A321" s="7">
        <v>26481</v>
      </c>
      <c r="B321" s="53">
        <v>41.8</v>
      </c>
    </row>
    <row r="322" spans="1:2">
      <c r="A322" s="7">
        <v>26512</v>
      </c>
      <c r="B322" s="53">
        <v>41.9</v>
      </c>
    </row>
    <row r="323" spans="1:2">
      <c r="A323" s="7">
        <v>26543</v>
      </c>
      <c r="B323" s="53">
        <v>42.1</v>
      </c>
    </row>
    <row r="324" spans="1:2">
      <c r="A324" s="7">
        <v>26573</v>
      </c>
      <c r="B324" s="53">
        <v>42.2</v>
      </c>
    </row>
    <row r="325" spans="1:2">
      <c r="A325" s="7">
        <v>26604</v>
      </c>
      <c r="B325" s="53">
        <v>42.4</v>
      </c>
    </row>
    <row r="326" spans="1:2">
      <c r="A326" s="7">
        <v>26634</v>
      </c>
      <c r="B326" s="53">
        <v>42.5</v>
      </c>
    </row>
    <row r="327" spans="1:2">
      <c r="A327" s="7">
        <v>26665</v>
      </c>
      <c r="B327" s="53">
        <v>42.7</v>
      </c>
    </row>
    <row r="328" spans="1:2">
      <c r="A328" s="7">
        <v>26696</v>
      </c>
      <c r="B328" s="53">
        <v>43</v>
      </c>
    </row>
    <row r="329" spans="1:2">
      <c r="A329" s="7">
        <v>26724</v>
      </c>
      <c r="B329" s="53">
        <v>43.4</v>
      </c>
    </row>
    <row r="330" spans="1:2">
      <c r="A330" s="7">
        <v>26755</v>
      </c>
      <c r="B330" s="53">
        <v>43.7</v>
      </c>
    </row>
    <row r="331" spans="1:2">
      <c r="A331" s="7">
        <v>26785</v>
      </c>
      <c r="B331" s="53">
        <v>43.9</v>
      </c>
    </row>
    <row r="332" spans="1:2">
      <c r="A332" s="7">
        <v>26816</v>
      </c>
      <c r="B332" s="53">
        <v>44.2</v>
      </c>
    </row>
    <row r="333" spans="1:2">
      <c r="A333" s="7">
        <v>26846</v>
      </c>
      <c r="B333" s="53">
        <v>44.2</v>
      </c>
    </row>
    <row r="334" spans="1:2">
      <c r="A334" s="7">
        <v>26877</v>
      </c>
      <c r="B334" s="53">
        <v>45</v>
      </c>
    </row>
    <row r="335" spans="1:2">
      <c r="A335" s="7">
        <v>26908</v>
      </c>
      <c r="B335" s="53">
        <v>45.2</v>
      </c>
    </row>
    <row r="336" spans="1:2">
      <c r="A336" s="7">
        <v>26938</v>
      </c>
      <c r="B336" s="53">
        <v>45.6</v>
      </c>
    </row>
    <row r="337" spans="1:2">
      <c r="A337" s="7">
        <v>26969</v>
      </c>
      <c r="B337" s="53">
        <v>45.9</v>
      </c>
    </row>
    <row r="338" spans="1:2">
      <c r="A338" s="7">
        <v>26999</v>
      </c>
      <c r="B338" s="53">
        <v>46.3</v>
      </c>
    </row>
    <row r="339" spans="1:2">
      <c r="A339" s="7">
        <v>27030</v>
      </c>
      <c r="B339" s="53">
        <v>46.8</v>
      </c>
    </row>
    <row r="340" spans="1:2">
      <c r="A340" s="7">
        <v>27061</v>
      </c>
      <c r="B340" s="53">
        <v>47.3</v>
      </c>
    </row>
    <row r="341" spans="1:2">
      <c r="A341" s="7">
        <v>27089</v>
      </c>
      <c r="B341" s="53">
        <v>47.8</v>
      </c>
    </row>
    <row r="342" spans="1:2">
      <c r="A342" s="7">
        <v>27120</v>
      </c>
      <c r="B342" s="53">
        <v>48.1</v>
      </c>
    </row>
    <row r="343" spans="1:2">
      <c r="A343" s="7">
        <v>27150</v>
      </c>
      <c r="B343" s="53">
        <v>48.6</v>
      </c>
    </row>
    <row r="344" spans="1:2">
      <c r="A344" s="7">
        <v>27181</v>
      </c>
      <c r="B344" s="53">
        <v>49</v>
      </c>
    </row>
    <row r="345" spans="1:2">
      <c r="A345" s="7">
        <v>27211</v>
      </c>
      <c r="B345" s="53">
        <v>49.3</v>
      </c>
    </row>
    <row r="346" spans="1:2">
      <c r="A346" s="7">
        <v>27242</v>
      </c>
      <c r="B346" s="53">
        <v>49.9</v>
      </c>
    </row>
    <row r="347" spans="1:2">
      <c r="A347" s="7">
        <v>27273</v>
      </c>
      <c r="B347" s="53">
        <v>50.6</v>
      </c>
    </row>
    <row r="348" spans="1:2">
      <c r="A348" s="7">
        <v>27303</v>
      </c>
      <c r="B348" s="53">
        <v>51</v>
      </c>
    </row>
    <row r="349" spans="1:2">
      <c r="A349" s="7">
        <v>27334</v>
      </c>
      <c r="B349" s="53">
        <v>51.5</v>
      </c>
    </row>
    <row r="350" spans="1:2">
      <c r="A350" s="7">
        <v>27364</v>
      </c>
      <c r="B350" s="53">
        <v>51.9</v>
      </c>
    </row>
    <row r="351" spans="1:2">
      <c r="A351" s="7">
        <v>27395</v>
      </c>
      <c r="B351" s="53">
        <v>52.3</v>
      </c>
    </row>
    <row r="352" spans="1:2">
      <c r="A352" s="7">
        <v>27426</v>
      </c>
      <c r="B352" s="53">
        <v>52.6</v>
      </c>
    </row>
    <row r="353" spans="1:2">
      <c r="A353" s="7">
        <v>27454</v>
      </c>
      <c r="B353" s="53">
        <v>52.8</v>
      </c>
    </row>
    <row r="354" spans="1:2">
      <c r="A354" s="7">
        <v>27485</v>
      </c>
      <c r="B354" s="53">
        <v>53</v>
      </c>
    </row>
    <row r="355" spans="1:2">
      <c r="A355" s="7">
        <v>27515</v>
      </c>
      <c r="B355" s="53">
        <v>53.1</v>
      </c>
    </row>
    <row r="356" spans="1:2">
      <c r="A356" s="7">
        <v>27546</v>
      </c>
      <c r="B356" s="53">
        <v>53.5</v>
      </c>
    </row>
    <row r="357" spans="1:2">
      <c r="A357" s="7">
        <v>27576</v>
      </c>
      <c r="B357" s="53">
        <v>54</v>
      </c>
    </row>
    <row r="358" spans="1:2">
      <c r="A358" s="7">
        <v>27607</v>
      </c>
      <c r="B358" s="53">
        <v>54.2</v>
      </c>
    </row>
    <row r="359" spans="1:2">
      <c r="A359" s="7">
        <v>27638</v>
      </c>
      <c r="B359" s="53">
        <v>54.6</v>
      </c>
    </row>
    <row r="360" spans="1:2">
      <c r="A360" s="7">
        <v>27668</v>
      </c>
      <c r="B360" s="53">
        <v>54.9</v>
      </c>
    </row>
    <row r="361" spans="1:2">
      <c r="A361" s="7">
        <v>27699</v>
      </c>
      <c r="B361" s="53">
        <v>55.3</v>
      </c>
    </row>
    <row r="362" spans="1:2">
      <c r="A362" s="7">
        <v>27729</v>
      </c>
      <c r="B362" s="53">
        <v>55.6</v>
      </c>
    </row>
    <row r="363" spans="1:2">
      <c r="A363" s="7">
        <v>27760</v>
      </c>
      <c r="B363" s="53">
        <v>55.8</v>
      </c>
    </row>
    <row r="364" spans="1:2">
      <c r="A364" s="7">
        <v>27791</v>
      </c>
      <c r="B364" s="53">
        <v>55.9</v>
      </c>
    </row>
    <row r="365" spans="1:2">
      <c r="A365" s="7">
        <v>27820</v>
      </c>
      <c r="B365" s="53">
        <v>56</v>
      </c>
    </row>
    <row r="366" spans="1:2">
      <c r="A366" s="7">
        <v>27851</v>
      </c>
      <c r="B366" s="53">
        <v>56.1</v>
      </c>
    </row>
    <row r="367" spans="1:2">
      <c r="A367" s="7">
        <v>27881</v>
      </c>
      <c r="B367" s="53">
        <v>56.4</v>
      </c>
    </row>
    <row r="368" spans="1:2">
      <c r="A368" s="7">
        <v>27912</v>
      </c>
      <c r="B368" s="53">
        <v>56.7</v>
      </c>
    </row>
    <row r="369" spans="1:2">
      <c r="A369" s="7">
        <v>27942</v>
      </c>
      <c r="B369" s="53">
        <v>57</v>
      </c>
    </row>
    <row r="370" spans="1:2">
      <c r="A370" s="7">
        <v>27973</v>
      </c>
      <c r="B370" s="53">
        <v>57.3</v>
      </c>
    </row>
    <row r="371" spans="1:2">
      <c r="A371" s="7">
        <v>28004</v>
      </c>
      <c r="B371" s="53">
        <v>57.6</v>
      </c>
    </row>
    <row r="372" spans="1:2">
      <c r="A372" s="7">
        <v>28034</v>
      </c>
      <c r="B372" s="53">
        <v>57.9</v>
      </c>
    </row>
    <row r="373" spans="1:2">
      <c r="A373" s="7">
        <v>28065</v>
      </c>
      <c r="B373" s="53">
        <v>58.1</v>
      </c>
    </row>
    <row r="374" spans="1:2">
      <c r="A374" s="7">
        <v>28095</v>
      </c>
      <c r="B374" s="53">
        <v>58.4</v>
      </c>
    </row>
    <row r="375" spans="1:2">
      <c r="A375" s="7">
        <v>28126</v>
      </c>
      <c r="B375" s="53">
        <v>58.7</v>
      </c>
    </row>
    <row r="376" spans="1:2">
      <c r="A376" s="7">
        <v>28157</v>
      </c>
      <c r="B376" s="53">
        <v>59.3</v>
      </c>
    </row>
    <row r="377" spans="1:2">
      <c r="A377" s="7">
        <v>28185</v>
      </c>
      <c r="B377" s="53">
        <v>59.6</v>
      </c>
    </row>
    <row r="378" spans="1:2">
      <c r="A378" s="7">
        <v>28216</v>
      </c>
      <c r="B378" s="53">
        <v>60</v>
      </c>
    </row>
    <row r="379" spans="1:2">
      <c r="A379" s="7">
        <v>28246</v>
      </c>
      <c r="B379" s="53">
        <v>60.2</v>
      </c>
    </row>
    <row r="380" spans="1:2">
      <c r="A380" s="7">
        <v>28277</v>
      </c>
      <c r="B380" s="53">
        <v>60.5</v>
      </c>
    </row>
    <row r="381" spans="1:2">
      <c r="A381" s="7">
        <v>28307</v>
      </c>
      <c r="B381" s="53">
        <v>60.8</v>
      </c>
    </row>
    <row r="382" spans="1:2">
      <c r="A382" s="7">
        <v>28338</v>
      </c>
      <c r="B382" s="53">
        <v>61.1</v>
      </c>
    </row>
    <row r="383" spans="1:2">
      <c r="A383" s="7">
        <v>28369</v>
      </c>
      <c r="B383" s="53">
        <v>61.3</v>
      </c>
    </row>
    <row r="384" spans="1:2">
      <c r="A384" s="7">
        <v>28399</v>
      </c>
      <c r="B384" s="53">
        <v>61.6</v>
      </c>
    </row>
    <row r="385" spans="1:2">
      <c r="A385" s="7">
        <v>28430</v>
      </c>
      <c r="B385" s="53">
        <v>62</v>
      </c>
    </row>
    <row r="386" spans="1:2">
      <c r="A386" s="7">
        <v>28460</v>
      </c>
      <c r="B386" s="53">
        <v>62.3</v>
      </c>
    </row>
    <row r="387" spans="1:2">
      <c r="A387" s="7">
        <v>28491</v>
      </c>
      <c r="B387" s="53">
        <v>62.7</v>
      </c>
    </row>
    <row r="388" spans="1:2">
      <c r="A388" s="7">
        <v>28522</v>
      </c>
      <c r="B388" s="53">
        <v>63</v>
      </c>
    </row>
    <row r="389" spans="1:2">
      <c r="A389" s="7">
        <v>28550</v>
      </c>
      <c r="B389" s="53">
        <v>63.4</v>
      </c>
    </row>
    <row r="390" spans="1:2">
      <c r="A390" s="7">
        <v>28581</v>
      </c>
      <c r="B390" s="53">
        <v>63.9</v>
      </c>
    </row>
    <row r="391" spans="1:2">
      <c r="A391" s="7">
        <v>28611</v>
      </c>
      <c r="B391" s="53">
        <v>64.5</v>
      </c>
    </row>
    <row r="392" spans="1:2">
      <c r="A392" s="7">
        <v>28642</v>
      </c>
      <c r="B392" s="53">
        <v>65</v>
      </c>
    </row>
    <row r="393" spans="1:2">
      <c r="A393" s="7">
        <v>28672</v>
      </c>
      <c r="B393" s="53">
        <v>65.5</v>
      </c>
    </row>
    <row r="394" spans="1:2">
      <c r="A394" s="7">
        <v>28703</v>
      </c>
      <c r="B394" s="53">
        <v>65.900000000000006</v>
      </c>
    </row>
    <row r="395" spans="1:2">
      <c r="A395" s="7">
        <v>28734</v>
      </c>
      <c r="B395" s="53">
        <v>66.5</v>
      </c>
    </row>
    <row r="396" spans="1:2">
      <c r="A396" s="7">
        <v>28764</v>
      </c>
      <c r="B396" s="53">
        <v>67.099999999999994</v>
      </c>
    </row>
    <row r="397" spans="1:2">
      <c r="A397" s="7">
        <v>28795</v>
      </c>
      <c r="B397" s="53">
        <v>67.5</v>
      </c>
    </row>
    <row r="398" spans="1:2">
      <c r="A398" s="7">
        <v>28825</v>
      </c>
      <c r="B398" s="53">
        <v>67.900000000000006</v>
      </c>
    </row>
    <row r="399" spans="1:2">
      <c r="A399" s="7">
        <v>28856</v>
      </c>
      <c r="B399" s="53">
        <v>68.5</v>
      </c>
    </row>
    <row r="400" spans="1:2">
      <c r="A400" s="7">
        <v>28887</v>
      </c>
      <c r="B400" s="53">
        <v>69.2</v>
      </c>
    </row>
    <row r="401" spans="1:2">
      <c r="A401" s="7">
        <v>28915</v>
      </c>
      <c r="B401" s="53">
        <v>69.900000000000006</v>
      </c>
    </row>
    <row r="402" spans="1:2">
      <c r="A402" s="7">
        <v>28946</v>
      </c>
      <c r="B402" s="53">
        <v>70.599999999999994</v>
      </c>
    </row>
    <row r="403" spans="1:2">
      <c r="A403" s="7">
        <v>28976</v>
      </c>
      <c r="B403" s="53">
        <v>71.400000000000006</v>
      </c>
    </row>
    <row r="404" spans="1:2">
      <c r="A404" s="7">
        <v>29007</v>
      </c>
      <c r="B404" s="53">
        <v>72.2</v>
      </c>
    </row>
    <row r="405" spans="1:2">
      <c r="A405" s="7">
        <v>29037</v>
      </c>
      <c r="B405" s="53">
        <v>73</v>
      </c>
    </row>
    <row r="406" spans="1:2">
      <c r="A406" s="7">
        <v>29068</v>
      </c>
      <c r="B406" s="53">
        <v>73.7</v>
      </c>
    </row>
    <row r="407" spans="1:2">
      <c r="A407" s="7">
        <v>29099</v>
      </c>
      <c r="B407" s="53">
        <v>74.400000000000006</v>
      </c>
    </row>
    <row r="408" spans="1:2">
      <c r="A408" s="7">
        <v>29129</v>
      </c>
      <c r="B408" s="53">
        <v>75.2</v>
      </c>
    </row>
    <row r="409" spans="1:2">
      <c r="A409" s="7">
        <v>29160</v>
      </c>
      <c r="B409" s="53">
        <v>76</v>
      </c>
    </row>
    <row r="410" spans="1:2">
      <c r="A410" s="7">
        <v>29190</v>
      </c>
      <c r="B410" s="53">
        <v>76.900000000000006</v>
      </c>
    </row>
    <row r="411" spans="1:2">
      <c r="A411" s="7">
        <v>29221</v>
      </c>
      <c r="B411" s="53">
        <v>78</v>
      </c>
    </row>
    <row r="412" spans="1:2">
      <c r="A412" s="7">
        <v>29252</v>
      </c>
      <c r="B412" s="53">
        <v>79</v>
      </c>
    </row>
    <row r="413" spans="1:2">
      <c r="A413" s="7">
        <v>29281</v>
      </c>
      <c r="B413" s="53">
        <v>80.099999999999994</v>
      </c>
    </row>
    <row r="414" spans="1:2">
      <c r="A414" s="7">
        <v>29312</v>
      </c>
      <c r="B414" s="53">
        <v>80.900000000000006</v>
      </c>
    </row>
    <row r="415" spans="1:2">
      <c r="A415" s="7">
        <v>29342</v>
      </c>
      <c r="B415" s="53">
        <v>81.7</v>
      </c>
    </row>
    <row r="416" spans="1:2">
      <c r="A416" s="7">
        <v>29373</v>
      </c>
      <c r="B416" s="53">
        <v>82.5</v>
      </c>
    </row>
    <row r="417" spans="1:2">
      <c r="A417" s="7">
        <v>29403</v>
      </c>
      <c r="B417" s="53">
        <v>82.6</v>
      </c>
    </row>
    <row r="418" spans="1:2">
      <c r="A418" s="7">
        <v>29434</v>
      </c>
      <c r="B418" s="53">
        <v>83.2</v>
      </c>
    </row>
    <row r="419" spans="1:2">
      <c r="A419" s="7">
        <v>29465</v>
      </c>
      <c r="B419" s="53">
        <v>83.9</v>
      </c>
    </row>
    <row r="420" spans="1:2">
      <c r="A420" s="7">
        <v>29495</v>
      </c>
      <c r="B420" s="53">
        <v>84.7</v>
      </c>
    </row>
    <row r="421" spans="1:2">
      <c r="A421" s="7">
        <v>29526</v>
      </c>
      <c r="B421" s="53">
        <v>85.6</v>
      </c>
    </row>
    <row r="422" spans="1:2">
      <c r="A422" s="7">
        <v>29556</v>
      </c>
      <c r="B422" s="53">
        <v>86.4</v>
      </c>
    </row>
    <row r="423" spans="1:2">
      <c r="A423" s="7">
        <v>29587</v>
      </c>
      <c r="B423" s="53">
        <v>87.2</v>
      </c>
    </row>
    <row r="424" spans="1:2">
      <c r="A424" s="7">
        <v>29618</v>
      </c>
      <c r="B424" s="53">
        <v>88</v>
      </c>
    </row>
    <row r="425" spans="1:2">
      <c r="A425" s="7">
        <v>29646</v>
      </c>
      <c r="B425" s="53">
        <v>88.6</v>
      </c>
    </row>
    <row r="426" spans="1:2">
      <c r="A426" s="7">
        <v>29677</v>
      </c>
      <c r="B426" s="53">
        <v>89.1</v>
      </c>
    </row>
    <row r="427" spans="1:2">
      <c r="A427" s="7">
        <v>29707</v>
      </c>
      <c r="B427" s="53">
        <v>89.7</v>
      </c>
    </row>
    <row r="428" spans="1:2">
      <c r="A428" s="7">
        <v>29738</v>
      </c>
      <c r="B428" s="53">
        <v>90.5</v>
      </c>
    </row>
    <row r="429" spans="1:2">
      <c r="A429" s="7">
        <v>29768</v>
      </c>
      <c r="B429" s="53">
        <v>91.5</v>
      </c>
    </row>
    <row r="430" spans="1:2">
      <c r="A430" s="7">
        <v>29799</v>
      </c>
      <c r="B430" s="53">
        <v>92.2</v>
      </c>
    </row>
    <row r="431" spans="1:2">
      <c r="A431" s="7">
        <v>29830</v>
      </c>
      <c r="B431" s="53">
        <v>93.1</v>
      </c>
    </row>
    <row r="432" spans="1:2">
      <c r="A432" s="7">
        <v>29860</v>
      </c>
      <c r="B432" s="53">
        <v>93.4</v>
      </c>
    </row>
    <row r="433" spans="1:2">
      <c r="A433" s="7">
        <v>29891</v>
      </c>
      <c r="B433" s="53">
        <v>93.8</v>
      </c>
    </row>
    <row r="434" spans="1:2">
      <c r="A434" s="7">
        <v>29921</v>
      </c>
      <c r="B434" s="53">
        <v>94.1</v>
      </c>
    </row>
    <row r="435" spans="1:2">
      <c r="A435" s="7">
        <v>29952</v>
      </c>
      <c r="B435" s="53">
        <v>94.4</v>
      </c>
    </row>
    <row r="436" spans="1:2">
      <c r="A436" s="7">
        <v>29983</v>
      </c>
      <c r="B436" s="53">
        <v>94.7</v>
      </c>
    </row>
    <row r="437" spans="1:2">
      <c r="A437" s="7">
        <v>30011</v>
      </c>
      <c r="B437" s="53">
        <v>94.7</v>
      </c>
    </row>
    <row r="438" spans="1:2">
      <c r="A438" s="7">
        <v>30042</v>
      </c>
      <c r="B438" s="53">
        <v>95</v>
      </c>
    </row>
    <row r="439" spans="1:2">
      <c r="A439" s="7">
        <v>30072</v>
      </c>
      <c r="B439" s="53">
        <v>95.9</v>
      </c>
    </row>
    <row r="440" spans="1:2">
      <c r="A440" s="7">
        <v>30103</v>
      </c>
      <c r="B440" s="53">
        <v>97</v>
      </c>
    </row>
    <row r="441" spans="1:2">
      <c r="A441" s="7">
        <v>30133</v>
      </c>
      <c r="B441" s="53">
        <v>97.5</v>
      </c>
    </row>
    <row r="442" spans="1:2">
      <c r="A442" s="7">
        <v>30164</v>
      </c>
      <c r="B442" s="53">
        <v>97.7</v>
      </c>
    </row>
    <row r="443" spans="1:2">
      <c r="A443" s="7">
        <v>30195</v>
      </c>
      <c r="B443" s="53">
        <v>97.7</v>
      </c>
    </row>
    <row r="444" spans="1:2">
      <c r="A444" s="7">
        <v>30225</v>
      </c>
      <c r="B444" s="53">
        <v>98.1</v>
      </c>
    </row>
    <row r="445" spans="1:2">
      <c r="A445" s="7">
        <v>30256</v>
      </c>
      <c r="B445" s="53">
        <v>98</v>
      </c>
    </row>
    <row r="446" spans="1:2">
      <c r="A446" s="7">
        <v>30286</v>
      </c>
      <c r="B446" s="53">
        <v>97.7</v>
      </c>
    </row>
    <row r="447" spans="1:2">
      <c r="A447" s="7">
        <v>30317</v>
      </c>
      <c r="B447" s="53">
        <v>97.9</v>
      </c>
    </row>
    <row r="448" spans="1:2">
      <c r="A448" s="7">
        <v>30348</v>
      </c>
      <c r="B448" s="53">
        <v>98</v>
      </c>
    </row>
    <row r="449" spans="1:2">
      <c r="A449" s="7">
        <v>30376</v>
      </c>
      <c r="B449" s="53">
        <v>98.1</v>
      </c>
    </row>
    <row r="450" spans="1:2">
      <c r="A450" s="7">
        <v>30407</v>
      </c>
      <c r="B450" s="53">
        <v>98.8</v>
      </c>
    </row>
    <row r="451" spans="1:2">
      <c r="A451" s="7">
        <v>30437</v>
      </c>
      <c r="B451" s="53">
        <v>99.2</v>
      </c>
    </row>
    <row r="452" spans="1:2">
      <c r="A452" s="7">
        <v>30468</v>
      </c>
      <c r="B452" s="53">
        <v>99.4</v>
      </c>
    </row>
    <row r="453" spans="1:2">
      <c r="A453" s="7">
        <v>30498</v>
      </c>
      <c r="B453" s="53">
        <v>99.8</v>
      </c>
    </row>
    <row r="454" spans="1:2">
      <c r="A454" s="7">
        <v>30529</v>
      </c>
      <c r="B454" s="53">
        <v>100.1</v>
      </c>
    </row>
    <row r="455" spans="1:2">
      <c r="A455" s="7">
        <v>30560</v>
      </c>
      <c r="B455" s="53">
        <v>100.4</v>
      </c>
    </row>
    <row r="456" spans="1:2">
      <c r="A456" s="7">
        <v>30590</v>
      </c>
      <c r="B456" s="53">
        <v>100.8</v>
      </c>
    </row>
    <row r="457" spans="1:2">
      <c r="A457" s="7">
        <v>30621</v>
      </c>
      <c r="B457" s="53">
        <v>101.1</v>
      </c>
    </row>
    <row r="458" spans="1:2">
      <c r="A458" s="7">
        <v>30651</v>
      </c>
      <c r="B458" s="53">
        <v>101.4</v>
      </c>
    </row>
    <row r="459" spans="1:2">
      <c r="A459" s="7">
        <v>30682</v>
      </c>
      <c r="B459" s="53">
        <v>102.1</v>
      </c>
    </row>
    <row r="460" spans="1:2">
      <c r="A460" s="7">
        <v>30713</v>
      </c>
      <c r="B460" s="53">
        <v>102.6</v>
      </c>
    </row>
    <row r="461" spans="1:2">
      <c r="A461" s="7">
        <v>30742</v>
      </c>
      <c r="B461" s="53">
        <v>102.9</v>
      </c>
    </row>
    <row r="462" spans="1:2">
      <c r="A462" s="7">
        <v>30773</v>
      </c>
      <c r="B462" s="53">
        <v>103.3</v>
      </c>
    </row>
    <row r="463" spans="1:2">
      <c r="A463" s="7">
        <v>30803</v>
      </c>
      <c r="B463" s="53">
        <v>103.5</v>
      </c>
    </row>
    <row r="464" spans="1:2">
      <c r="A464" s="7">
        <v>30834</v>
      </c>
      <c r="B464" s="53">
        <v>103.7</v>
      </c>
    </row>
    <row r="465" spans="1:2">
      <c r="A465" s="7">
        <v>30864</v>
      </c>
      <c r="B465" s="53">
        <v>104.1</v>
      </c>
    </row>
    <row r="466" spans="1:2">
      <c r="A466" s="7">
        <v>30895</v>
      </c>
      <c r="B466" s="53">
        <v>104.4</v>
      </c>
    </row>
    <row r="467" spans="1:2">
      <c r="A467" s="7">
        <v>30926</v>
      </c>
      <c r="B467" s="53">
        <v>104.7</v>
      </c>
    </row>
    <row r="468" spans="1:2">
      <c r="A468" s="7">
        <v>30956</v>
      </c>
      <c r="B468" s="53">
        <v>105.1</v>
      </c>
    </row>
    <row r="469" spans="1:2">
      <c r="A469" s="7">
        <v>30987</v>
      </c>
      <c r="B469" s="53">
        <v>105.3</v>
      </c>
    </row>
    <row r="470" spans="1:2">
      <c r="A470" s="7">
        <v>31017</v>
      </c>
      <c r="B470" s="53">
        <v>105.5</v>
      </c>
    </row>
    <row r="471" spans="1:2">
      <c r="A471" s="7">
        <v>31048</v>
      </c>
      <c r="B471" s="53">
        <v>105.7</v>
      </c>
    </row>
    <row r="472" spans="1:2">
      <c r="A472" s="7">
        <v>31079</v>
      </c>
      <c r="B472" s="53">
        <v>106.3</v>
      </c>
    </row>
    <row r="473" spans="1:2">
      <c r="A473" s="7">
        <v>31107</v>
      </c>
      <c r="B473" s="53">
        <v>106.8</v>
      </c>
    </row>
    <row r="474" spans="1:2">
      <c r="A474" s="7">
        <v>31138</v>
      </c>
      <c r="B474" s="53">
        <v>107</v>
      </c>
    </row>
    <row r="475" spans="1:2">
      <c r="A475" s="7">
        <v>31168</v>
      </c>
      <c r="B475" s="53">
        <v>107.2</v>
      </c>
    </row>
    <row r="476" spans="1:2">
      <c r="A476" s="7">
        <v>31199</v>
      </c>
      <c r="B476" s="53">
        <v>107.5</v>
      </c>
    </row>
    <row r="477" spans="1:2">
      <c r="A477" s="7">
        <v>31229</v>
      </c>
      <c r="B477" s="53">
        <v>107.7</v>
      </c>
    </row>
    <row r="478" spans="1:2">
      <c r="A478" s="7">
        <v>31260</v>
      </c>
      <c r="B478" s="53">
        <v>107.9</v>
      </c>
    </row>
    <row r="479" spans="1:2">
      <c r="A479" s="7">
        <v>31291</v>
      </c>
      <c r="B479" s="53">
        <v>108.1</v>
      </c>
    </row>
    <row r="480" spans="1:2">
      <c r="A480" s="7">
        <v>31321</v>
      </c>
      <c r="B480" s="53">
        <v>108.5</v>
      </c>
    </row>
    <row r="481" spans="1:2">
      <c r="A481" s="7">
        <v>31352</v>
      </c>
      <c r="B481" s="53">
        <v>109</v>
      </c>
    </row>
    <row r="482" spans="1:2">
      <c r="A482" s="7">
        <v>31382</v>
      </c>
      <c r="B482" s="53">
        <v>109.5</v>
      </c>
    </row>
    <row r="483" spans="1:2">
      <c r="A483" s="7">
        <v>31413</v>
      </c>
      <c r="B483" s="53">
        <v>109.9</v>
      </c>
    </row>
    <row r="484" spans="1:2">
      <c r="A484" s="7">
        <v>31444</v>
      </c>
      <c r="B484" s="53">
        <v>109.7</v>
      </c>
    </row>
    <row r="485" spans="1:2">
      <c r="A485" s="7">
        <v>31472</v>
      </c>
      <c r="B485" s="53">
        <v>109.1</v>
      </c>
    </row>
    <row r="486" spans="1:2">
      <c r="A486" s="7">
        <v>31503</v>
      </c>
      <c r="B486" s="53">
        <v>108.7</v>
      </c>
    </row>
    <row r="487" spans="1:2">
      <c r="A487" s="7">
        <v>31533</v>
      </c>
      <c r="B487" s="53">
        <v>109</v>
      </c>
    </row>
    <row r="488" spans="1:2">
      <c r="A488" s="7">
        <v>31564</v>
      </c>
      <c r="B488" s="53">
        <v>109.4</v>
      </c>
    </row>
    <row r="489" spans="1:2">
      <c r="A489" s="7">
        <v>31594</v>
      </c>
      <c r="B489" s="53">
        <v>109.5</v>
      </c>
    </row>
    <row r="490" spans="1:2">
      <c r="A490" s="7">
        <v>31625</v>
      </c>
      <c r="B490" s="53">
        <v>109.6</v>
      </c>
    </row>
    <row r="491" spans="1:2">
      <c r="A491" s="7">
        <v>31656</v>
      </c>
      <c r="B491" s="53">
        <v>110</v>
      </c>
    </row>
    <row r="492" spans="1:2">
      <c r="A492" s="7">
        <v>31686</v>
      </c>
      <c r="B492" s="53">
        <v>110.2</v>
      </c>
    </row>
    <row r="493" spans="1:2">
      <c r="A493" s="7">
        <v>31717</v>
      </c>
      <c r="B493" s="53">
        <v>110.4</v>
      </c>
    </row>
    <row r="494" spans="1:2">
      <c r="A494" s="7">
        <v>31747</v>
      </c>
      <c r="B494" s="53">
        <v>110.8</v>
      </c>
    </row>
    <row r="495" spans="1:2">
      <c r="A495" s="7">
        <v>31778</v>
      </c>
      <c r="B495" s="53">
        <v>111.4</v>
      </c>
    </row>
    <row r="496" spans="1:2">
      <c r="A496" s="7">
        <v>31809</v>
      </c>
      <c r="B496" s="53">
        <v>111.8</v>
      </c>
    </row>
    <row r="497" spans="1:2">
      <c r="A497" s="7">
        <v>31837</v>
      </c>
      <c r="B497" s="53">
        <v>112.2</v>
      </c>
    </row>
    <row r="498" spans="1:2">
      <c r="A498" s="7">
        <v>31868</v>
      </c>
      <c r="B498" s="53">
        <v>112.7</v>
      </c>
    </row>
    <row r="499" spans="1:2">
      <c r="A499" s="7">
        <v>31898</v>
      </c>
      <c r="B499" s="53">
        <v>113</v>
      </c>
    </row>
    <row r="500" spans="1:2">
      <c r="A500" s="7">
        <v>31929</v>
      </c>
      <c r="B500" s="53">
        <v>113.5</v>
      </c>
    </row>
    <row r="501" spans="1:2">
      <c r="A501" s="7">
        <v>31959</v>
      </c>
      <c r="B501" s="53">
        <v>113.8</v>
      </c>
    </row>
    <row r="502" spans="1:2">
      <c r="A502" s="7">
        <v>31990</v>
      </c>
      <c r="B502" s="53">
        <v>114.3</v>
      </c>
    </row>
    <row r="503" spans="1:2">
      <c r="A503" s="7">
        <v>32021</v>
      </c>
      <c r="B503" s="53">
        <v>114.7</v>
      </c>
    </row>
    <row r="504" spans="1:2">
      <c r="A504" s="7">
        <v>32051</v>
      </c>
      <c r="B504" s="53">
        <v>115</v>
      </c>
    </row>
    <row r="505" spans="1:2">
      <c r="A505" s="7">
        <v>32082</v>
      </c>
      <c r="B505" s="53">
        <v>115.4</v>
      </c>
    </row>
    <row r="506" spans="1:2">
      <c r="A506" s="7">
        <v>32112</v>
      </c>
      <c r="B506" s="53">
        <v>115.6</v>
      </c>
    </row>
    <row r="507" spans="1:2">
      <c r="A507" s="7">
        <v>32143</v>
      </c>
      <c r="B507" s="53">
        <v>116</v>
      </c>
    </row>
    <row r="508" spans="1:2">
      <c r="A508" s="7">
        <v>32174</v>
      </c>
      <c r="B508" s="53">
        <v>116.2</v>
      </c>
    </row>
    <row r="509" spans="1:2">
      <c r="A509" s="7">
        <v>32203</v>
      </c>
      <c r="B509" s="53">
        <v>116.5</v>
      </c>
    </row>
    <row r="510" spans="1:2">
      <c r="A510" s="7">
        <v>32234</v>
      </c>
      <c r="B510" s="53">
        <v>117.2</v>
      </c>
    </row>
    <row r="511" spans="1:2">
      <c r="A511" s="7">
        <v>32264</v>
      </c>
      <c r="B511" s="53">
        <v>117.5</v>
      </c>
    </row>
    <row r="512" spans="1:2">
      <c r="A512" s="7">
        <v>32295</v>
      </c>
      <c r="B512" s="53">
        <v>118</v>
      </c>
    </row>
    <row r="513" spans="1:2">
      <c r="A513" s="7">
        <v>32325</v>
      </c>
      <c r="B513" s="53">
        <v>118.5</v>
      </c>
    </row>
    <row r="514" spans="1:2">
      <c r="A514" s="7">
        <v>32356</v>
      </c>
      <c r="B514" s="53">
        <v>119</v>
      </c>
    </row>
    <row r="515" spans="1:2">
      <c r="A515" s="7">
        <v>32387</v>
      </c>
      <c r="B515" s="53">
        <v>119.5</v>
      </c>
    </row>
    <row r="516" spans="1:2">
      <c r="A516" s="7">
        <v>32417</v>
      </c>
      <c r="B516" s="53">
        <v>119.9</v>
      </c>
    </row>
    <row r="517" spans="1:2">
      <c r="A517" s="7">
        <v>32448</v>
      </c>
      <c r="B517" s="53">
        <v>120.3</v>
      </c>
    </row>
    <row r="518" spans="1:2">
      <c r="A518" s="7">
        <v>32478</v>
      </c>
      <c r="B518" s="53">
        <v>120.7</v>
      </c>
    </row>
    <row r="519" spans="1:2">
      <c r="A519" s="7">
        <v>32509</v>
      </c>
      <c r="B519" s="53">
        <v>121.2</v>
      </c>
    </row>
    <row r="520" spans="1:2">
      <c r="A520" s="7">
        <v>32540</v>
      </c>
      <c r="B520" s="53">
        <v>121.6</v>
      </c>
    </row>
    <row r="521" spans="1:2">
      <c r="A521" s="7">
        <v>32568</v>
      </c>
      <c r="B521" s="53">
        <v>122.2</v>
      </c>
    </row>
    <row r="522" spans="1:2">
      <c r="A522" s="7">
        <v>32599</v>
      </c>
      <c r="B522" s="53">
        <v>123.1</v>
      </c>
    </row>
    <row r="523" spans="1:2">
      <c r="A523" s="7">
        <v>32629</v>
      </c>
      <c r="B523" s="53">
        <v>123.7</v>
      </c>
    </row>
    <row r="524" spans="1:2">
      <c r="A524" s="7">
        <v>32660</v>
      </c>
      <c r="B524" s="53">
        <v>124.1</v>
      </c>
    </row>
    <row r="525" spans="1:2">
      <c r="A525" s="7">
        <v>32690</v>
      </c>
      <c r="B525" s="53">
        <v>124.5</v>
      </c>
    </row>
    <row r="526" spans="1:2">
      <c r="A526" s="7">
        <v>32721</v>
      </c>
      <c r="B526" s="53">
        <v>124.5</v>
      </c>
    </row>
    <row r="527" spans="1:2">
      <c r="A527" s="7">
        <v>32752</v>
      </c>
      <c r="B527" s="53">
        <v>124.8</v>
      </c>
    </row>
    <row r="528" spans="1:2">
      <c r="A528" s="7">
        <v>32782</v>
      </c>
      <c r="B528" s="53">
        <v>125.4</v>
      </c>
    </row>
    <row r="529" spans="1:2">
      <c r="A529" s="7">
        <v>32813</v>
      </c>
      <c r="B529" s="53">
        <v>125.9</v>
      </c>
    </row>
    <row r="530" spans="1:2">
      <c r="A530" s="7">
        <v>32843</v>
      </c>
      <c r="B530" s="53">
        <v>126.3</v>
      </c>
    </row>
    <row r="531" spans="1:2">
      <c r="A531" s="7">
        <v>32874</v>
      </c>
      <c r="B531" s="53">
        <v>127.5</v>
      </c>
    </row>
    <row r="532" spans="1:2">
      <c r="A532" s="7">
        <v>32905</v>
      </c>
      <c r="B532" s="53">
        <v>128</v>
      </c>
    </row>
    <row r="533" spans="1:2">
      <c r="A533" s="7">
        <v>32933</v>
      </c>
      <c r="B533" s="53">
        <v>128.6</v>
      </c>
    </row>
    <row r="534" spans="1:2">
      <c r="A534" s="7">
        <v>32964</v>
      </c>
      <c r="B534" s="53">
        <v>128.9</v>
      </c>
    </row>
    <row r="535" spans="1:2">
      <c r="A535" s="7">
        <v>32994</v>
      </c>
      <c r="B535" s="53">
        <v>129.1</v>
      </c>
    </row>
    <row r="536" spans="1:2">
      <c r="A536" s="7">
        <v>33025</v>
      </c>
      <c r="B536" s="53">
        <v>129.9</v>
      </c>
    </row>
    <row r="537" spans="1:2">
      <c r="A537" s="7">
        <v>33055</v>
      </c>
      <c r="B537" s="53">
        <v>130.5</v>
      </c>
    </row>
    <row r="538" spans="1:2">
      <c r="A538" s="7">
        <v>33086</v>
      </c>
      <c r="B538" s="53">
        <v>131.6</v>
      </c>
    </row>
    <row r="539" spans="1:2">
      <c r="A539" s="7">
        <v>33117</v>
      </c>
      <c r="B539" s="53">
        <v>132.5</v>
      </c>
    </row>
    <row r="540" spans="1:2">
      <c r="A540" s="7">
        <v>33147</v>
      </c>
      <c r="B540" s="53">
        <v>133.4</v>
      </c>
    </row>
    <row r="541" spans="1:2">
      <c r="A541" s="7">
        <v>33178</v>
      </c>
      <c r="B541" s="53">
        <v>133.69999999999999</v>
      </c>
    </row>
    <row r="542" spans="1:2">
      <c r="A542" s="7">
        <v>33208</v>
      </c>
      <c r="B542" s="53">
        <v>134.19999999999999</v>
      </c>
    </row>
    <row r="543" spans="1:2">
      <c r="A543" s="7">
        <v>33239</v>
      </c>
      <c r="B543" s="53">
        <v>134.69999999999999</v>
      </c>
    </row>
    <row r="544" spans="1:2">
      <c r="A544" s="7">
        <v>33270</v>
      </c>
      <c r="B544" s="53">
        <v>134.80000000000001</v>
      </c>
    </row>
    <row r="545" spans="1:2">
      <c r="A545" s="7">
        <v>33298</v>
      </c>
      <c r="B545" s="53">
        <v>134.80000000000001</v>
      </c>
    </row>
    <row r="546" spans="1:2">
      <c r="A546" s="7">
        <v>33329</v>
      </c>
      <c r="B546" s="53">
        <v>135.1</v>
      </c>
    </row>
    <row r="547" spans="1:2">
      <c r="A547" s="7">
        <v>33359</v>
      </c>
      <c r="B547" s="53">
        <v>135.6</v>
      </c>
    </row>
    <row r="548" spans="1:2">
      <c r="A548" s="7">
        <v>33390</v>
      </c>
      <c r="B548" s="53">
        <v>136</v>
      </c>
    </row>
    <row r="549" spans="1:2">
      <c r="A549" s="7">
        <v>33420</v>
      </c>
      <c r="B549" s="53">
        <v>136.19999999999999</v>
      </c>
    </row>
    <row r="550" spans="1:2">
      <c r="A550" s="7">
        <v>33451</v>
      </c>
      <c r="B550" s="53">
        <v>136.6</v>
      </c>
    </row>
    <row r="551" spans="1:2">
      <c r="A551" s="7">
        <v>33482</v>
      </c>
      <c r="B551" s="53">
        <v>137</v>
      </c>
    </row>
    <row r="552" spans="1:2">
      <c r="A552" s="7">
        <v>33512</v>
      </c>
      <c r="B552" s="53">
        <v>137.19999999999999</v>
      </c>
    </row>
    <row r="553" spans="1:2">
      <c r="A553" s="7">
        <v>33543</v>
      </c>
      <c r="B553" s="53">
        <v>137.80000000000001</v>
      </c>
    </row>
    <row r="554" spans="1:2">
      <c r="A554" s="7">
        <v>33573</v>
      </c>
      <c r="B554" s="53">
        <v>138.19999999999999</v>
      </c>
    </row>
    <row r="555" spans="1:2">
      <c r="A555" s="7">
        <v>33604</v>
      </c>
      <c r="B555" s="53">
        <v>138.30000000000001</v>
      </c>
    </row>
    <row r="556" spans="1:2">
      <c r="A556" s="7">
        <v>33635</v>
      </c>
      <c r="B556" s="53">
        <v>138.6</v>
      </c>
    </row>
    <row r="557" spans="1:2">
      <c r="A557" s="7">
        <v>33664</v>
      </c>
      <c r="B557" s="53">
        <v>139.1</v>
      </c>
    </row>
    <row r="558" spans="1:2">
      <c r="A558" s="7">
        <v>33695</v>
      </c>
      <c r="B558" s="53">
        <v>139.4</v>
      </c>
    </row>
    <row r="559" spans="1:2">
      <c r="A559" s="7">
        <v>33725</v>
      </c>
      <c r="B559" s="53">
        <v>139.69999999999999</v>
      </c>
    </row>
    <row r="560" spans="1:2">
      <c r="A560" s="7">
        <v>33756</v>
      </c>
      <c r="B560" s="53">
        <v>140.1</v>
      </c>
    </row>
    <row r="561" spans="1:2">
      <c r="A561" s="7">
        <v>33786</v>
      </c>
      <c r="B561" s="53">
        <v>140.5</v>
      </c>
    </row>
    <row r="562" spans="1:2">
      <c r="A562" s="7">
        <v>33817</v>
      </c>
      <c r="B562" s="53">
        <v>140.80000000000001</v>
      </c>
    </row>
    <row r="563" spans="1:2">
      <c r="A563" s="7">
        <v>33848</v>
      </c>
      <c r="B563" s="53">
        <v>141.1</v>
      </c>
    </row>
    <row r="564" spans="1:2">
      <c r="A564" s="7">
        <v>33878</v>
      </c>
      <c r="B564" s="53">
        <v>141.69999999999999</v>
      </c>
    </row>
    <row r="565" spans="1:2">
      <c r="A565" s="7">
        <v>33909</v>
      </c>
      <c r="B565" s="53">
        <v>142.1</v>
      </c>
    </row>
    <row r="566" spans="1:2">
      <c r="A566" s="7">
        <v>33939</v>
      </c>
      <c r="B566" s="53">
        <v>142.30000000000001</v>
      </c>
    </row>
    <row r="567" spans="1:2">
      <c r="A567" s="7">
        <v>33970</v>
      </c>
      <c r="B567" s="53">
        <v>142.80000000000001</v>
      </c>
    </row>
    <row r="568" spans="1:2">
      <c r="A568" s="7">
        <v>34001</v>
      </c>
      <c r="B568" s="53">
        <v>143.1</v>
      </c>
    </row>
    <row r="569" spans="1:2">
      <c r="A569" s="7">
        <v>34029</v>
      </c>
      <c r="B569" s="53">
        <v>143.30000000000001</v>
      </c>
    </row>
    <row r="570" spans="1:2">
      <c r="A570" s="7">
        <v>34060</v>
      </c>
      <c r="B570" s="53">
        <v>143.80000000000001</v>
      </c>
    </row>
    <row r="571" spans="1:2">
      <c r="A571" s="7">
        <v>34090</v>
      </c>
      <c r="B571" s="53">
        <v>144.19999999999999</v>
      </c>
    </row>
    <row r="572" spans="1:2">
      <c r="A572" s="7">
        <v>34121</v>
      </c>
      <c r="B572" s="53">
        <v>144.30000000000001</v>
      </c>
    </row>
    <row r="573" spans="1:2">
      <c r="A573" s="7">
        <v>34151</v>
      </c>
      <c r="B573" s="53">
        <v>144.5</v>
      </c>
    </row>
    <row r="574" spans="1:2">
      <c r="A574" s="7">
        <v>34182</v>
      </c>
      <c r="B574" s="53">
        <v>144.80000000000001</v>
      </c>
    </row>
    <row r="575" spans="1:2">
      <c r="A575" s="7">
        <v>34213</v>
      </c>
      <c r="B575" s="53">
        <v>145</v>
      </c>
    </row>
    <row r="576" spans="1:2">
      <c r="A576" s="7">
        <v>34243</v>
      </c>
      <c r="B576" s="53">
        <v>145.6</v>
      </c>
    </row>
    <row r="577" spans="1:2">
      <c r="A577" s="7">
        <v>34274</v>
      </c>
      <c r="B577" s="53">
        <v>146</v>
      </c>
    </row>
    <row r="578" spans="1:2">
      <c r="A578" s="7">
        <v>34304</v>
      </c>
      <c r="B578" s="53">
        <v>146.30000000000001</v>
      </c>
    </row>
    <row r="579" spans="1:2">
      <c r="A579" s="7">
        <v>34335</v>
      </c>
      <c r="B579" s="53">
        <v>146.30000000000001</v>
      </c>
    </row>
    <row r="580" spans="1:2">
      <c r="A580" s="7">
        <v>34366</v>
      </c>
      <c r="B580" s="53">
        <v>146.69999999999999</v>
      </c>
    </row>
    <row r="581" spans="1:2">
      <c r="A581" s="7">
        <v>34394</v>
      </c>
      <c r="B581" s="53">
        <v>147.1</v>
      </c>
    </row>
    <row r="582" spans="1:2">
      <c r="A582" s="7">
        <v>34425</v>
      </c>
      <c r="B582" s="53">
        <v>147.19999999999999</v>
      </c>
    </row>
    <row r="583" spans="1:2">
      <c r="A583" s="7">
        <v>34455</v>
      </c>
      <c r="B583" s="53">
        <v>147.5</v>
      </c>
    </row>
    <row r="584" spans="1:2">
      <c r="A584" s="7">
        <v>34486</v>
      </c>
      <c r="B584" s="53">
        <v>147.9</v>
      </c>
    </row>
    <row r="585" spans="1:2">
      <c r="A585" s="7">
        <v>34516</v>
      </c>
      <c r="B585" s="53">
        <v>148.4</v>
      </c>
    </row>
    <row r="586" spans="1:2">
      <c r="A586" s="7">
        <v>34547</v>
      </c>
      <c r="B586" s="53">
        <v>149</v>
      </c>
    </row>
    <row r="587" spans="1:2">
      <c r="A587" s="7">
        <v>34578</v>
      </c>
      <c r="B587" s="53">
        <v>149.30000000000001</v>
      </c>
    </row>
    <row r="588" spans="1:2">
      <c r="A588" s="7">
        <v>34608</v>
      </c>
      <c r="B588" s="53">
        <v>149.4</v>
      </c>
    </row>
    <row r="589" spans="1:2">
      <c r="A589" s="7">
        <v>34639</v>
      </c>
      <c r="B589" s="53">
        <v>149.80000000000001</v>
      </c>
    </row>
    <row r="590" spans="1:2">
      <c r="A590" s="7">
        <v>34669</v>
      </c>
      <c r="B590" s="53">
        <v>150.1</v>
      </c>
    </row>
    <row r="591" spans="1:2">
      <c r="A591" s="7">
        <v>34700</v>
      </c>
      <c r="B591" s="53">
        <v>150.5</v>
      </c>
    </row>
    <row r="592" spans="1:2">
      <c r="A592" s="7">
        <v>34731</v>
      </c>
      <c r="B592" s="53">
        <v>150.9</v>
      </c>
    </row>
    <row r="593" spans="1:2">
      <c r="A593" s="7">
        <v>34759</v>
      </c>
      <c r="B593" s="53">
        <v>151.19999999999999</v>
      </c>
    </row>
    <row r="594" spans="1:2">
      <c r="A594" s="7">
        <v>34790</v>
      </c>
      <c r="B594" s="53">
        <v>151.80000000000001</v>
      </c>
    </row>
    <row r="595" spans="1:2">
      <c r="A595" s="7">
        <v>34820</v>
      </c>
      <c r="B595" s="53">
        <v>152.1</v>
      </c>
    </row>
    <row r="596" spans="1:2">
      <c r="A596" s="7">
        <v>34851</v>
      </c>
      <c r="B596" s="53">
        <v>152.4</v>
      </c>
    </row>
    <row r="597" spans="1:2">
      <c r="A597" s="7">
        <v>34881</v>
      </c>
      <c r="B597" s="53">
        <v>152.6</v>
      </c>
    </row>
    <row r="598" spans="1:2">
      <c r="A598" s="7">
        <v>34912</v>
      </c>
      <c r="B598" s="53">
        <v>152.9</v>
      </c>
    </row>
    <row r="599" spans="1:2">
      <c r="A599" s="7">
        <v>34943</v>
      </c>
      <c r="B599" s="53">
        <v>153.1</v>
      </c>
    </row>
    <row r="600" spans="1:2">
      <c r="A600" s="7">
        <v>34973</v>
      </c>
      <c r="B600" s="53">
        <v>153.5</v>
      </c>
    </row>
    <row r="601" spans="1:2">
      <c r="A601" s="7">
        <v>35004</v>
      </c>
      <c r="B601" s="53">
        <v>153.69999999999999</v>
      </c>
    </row>
    <row r="602" spans="1:2">
      <c r="A602" s="7">
        <v>35034</v>
      </c>
      <c r="B602" s="53">
        <v>153.9</v>
      </c>
    </row>
    <row r="603" spans="1:2">
      <c r="A603" s="7">
        <v>35065</v>
      </c>
      <c r="B603" s="53">
        <v>154.69999999999999</v>
      </c>
    </row>
    <row r="604" spans="1:2">
      <c r="A604" s="7">
        <v>35096</v>
      </c>
      <c r="B604" s="53">
        <v>155</v>
      </c>
    </row>
    <row r="605" spans="1:2">
      <c r="A605" s="7">
        <v>35125</v>
      </c>
      <c r="B605" s="53">
        <v>155.5</v>
      </c>
    </row>
    <row r="606" spans="1:2">
      <c r="A606" s="7">
        <v>35156</v>
      </c>
      <c r="B606" s="53">
        <v>156.1</v>
      </c>
    </row>
    <row r="607" spans="1:2">
      <c r="A607" s="7">
        <v>35186</v>
      </c>
      <c r="B607" s="53">
        <v>156.4</v>
      </c>
    </row>
    <row r="608" spans="1:2">
      <c r="A608" s="7">
        <v>35217</v>
      </c>
      <c r="B608" s="53">
        <v>156.69999999999999</v>
      </c>
    </row>
    <row r="609" spans="1:2">
      <c r="A609" s="7">
        <v>35247</v>
      </c>
      <c r="B609" s="53">
        <v>157</v>
      </c>
    </row>
    <row r="610" spans="1:2">
      <c r="A610" s="7">
        <v>35278</v>
      </c>
      <c r="B610" s="53">
        <v>157.19999999999999</v>
      </c>
    </row>
    <row r="611" spans="1:2">
      <c r="A611" s="7">
        <v>35309</v>
      </c>
      <c r="B611" s="53">
        <v>157.69999999999999</v>
      </c>
    </row>
    <row r="612" spans="1:2">
      <c r="A612" s="7">
        <v>35339</v>
      </c>
      <c r="B612" s="53">
        <v>158.19999999999999</v>
      </c>
    </row>
    <row r="613" spans="1:2">
      <c r="A613" s="7">
        <v>35370</v>
      </c>
      <c r="B613" s="53">
        <v>158.69999999999999</v>
      </c>
    </row>
    <row r="614" spans="1:2">
      <c r="A614" s="7">
        <v>35400</v>
      </c>
      <c r="B614" s="53">
        <v>159.1</v>
      </c>
    </row>
    <row r="615" spans="1:2">
      <c r="A615" s="7">
        <v>35431</v>
      </c>
      <c r="B615" s="53">
        <v>159.4</v>
      </c>
    </row>
    <row r="616" spans="1:2">
      <c r="A616" s="7">
        <v>35462</v>
      </c>
      <c r="B616" s="53">
        <v>159.69999999999999</v>
      </c>
    </row>
    <row r="617" spans="1:2">
      <c r="A617" s="7">
        <v>35490</v>
      </c>
      <c r="B617" s="53">
        <v>159.80000000000001</v>
      </c>
    </row>
    <row r="618" spans="1:2">
      <c r="A618" s="7">
        <v>35521</v>
      </c>
      <c r="B618" s="53">
        <v>159.9</v>
      </c>
    </row>
    <row r="619" spans="1:2">
      <c r="A619" s="7">
        <v>35551</v>
      </c>
      <c r="B619" s="53">
        <v>159.9</v>
      </c>
    </row>
    <row r="620" spans="1:2">
      <c r="A620" s="7">
        <v>35582</v>
      </c>
      <c r="B620" s="53">
        <v>160.19999999999999</v>
      </c>
    </row>
    <row r="621" spans="1:2">
      <c r="A621" s="7">
        <v>35612</v>
      </c>
      <c r="B621" s="53">
        <v>160.4</v>
      </c>
    </row>
    <row r="622" spans="1:2">
      <c r="A622" s="7">
        <v>35643</v>
      </c>
      <c r="B622" s="53">
        <v>160.80000000000001</v>
      </c>
    </row>
    <row r="623" spans="1:2">
      <c r="A623" s="7">
        <v>35674</v>
      </c>
      <c r="B623" s="53">
        <v>161.19999999999999</v>
      </c>
    </row>
    <row r="624" spans="1:2">
      <c r="A624" s="7">
        <v>35704</v>
      </c>
      <c r="B624" s="53">
        <v>161.5</v>
      </c>
    </row>
    <row r="625" spans="1:2">
      <c r="A625" s="7">
        <v>35735</v>
      </c>
      <c r="B625" s="53">
        <v>161.69999999999999</v>
      </c>
    </row>
    <row r="626" spans="1:2">
      <c r="A626" s="7">
        <v>35765</v>
      </c>
      <c r="B626" s="53">
        <v>161.80000000000001</v>
      </c>
    </row>
    <row r="627" spans="1:2">
      <c r="A627" s="7">
        <v>35796</v>
      </c>
      <c r="B627" s="53">
        <v>162</v>
      </c>
    </row>
    <row r="628" spans="1:2">
      <c r="A628" s="7">
        <v>35827</v>
      </c>
      <c r="B628" s="53">
        <v>162</v>
      </c>
    </row>
    <row r="629" spans="1:2">
      <c r="A629" s="7">
        <v>35855</v>
      </c>
      <c r="B629" s="53">
        <v>162</v>
      </c>
    </row>
    <row r="630" spans="1:2">
      <c r="A630" s="7">
        <v>35886</v>
      </c>
      <c r="B630" s="53">
        <v>162.19999999999999</v>
      </c>
    </row>
    <row r="631" spans="1:2">
      <c r="A631" s="7">
        <v>35916</v>
      </c>
      <c r="B631" s="53">
        <v>162.6</v>
      </c>
    </row>
    <row r="632" spans="1:2">
      <c r="A632" s="7">
        <v>35947</v>
      </c>
      <c r="B632" s="53">
        <v>162.80000000000001</v>
      </c>
    </row>
    <row r="633" spans="1:2">
      <c r="A633" s="7">
        <v>35977</v>
      </c>
      <c r="B633" s="53">
        <v>163.19999999999999</v>
      </c>
    </row>
    <row r="634" spans="1:2">
      <c r="A634" s="7">
        <v>36008</v>
      </c>
      <c r="B634" s="53">
        <v>163.4</v>
      </c>
    </row>
    <row r="635" spans="1:2">
      <c r="A635" s="7">
        <v>36039</v>
      </c>
      <c r="B635" s="53">
        <v>163.5</v>
      </c>
    </row>
    <row r="636" spans="1:2">
      <c r="A636" s="7">
        <v>36069</v>
      </c>
      <c r="B636" s="53">
        <v>163.9</v>
      </c>
    </row>
    <row r="637" spans="1:2">
      <c r="A637" s="7">
        <v>36100</v>
      </c>
      <c r="B637" s="53">
        <v>164.1</v>
      </c>
    </row>
    <row r="638" spans="1:2">
      <c r="A638" s="7">
        <v>36130</v>
      </c>
      <c r="B638" s="53">
        <v>164.4</v>
      </c>
    </row>
    <row r="639" spans="1:2">
      <c r="A639" s="7">
        <v>36161</v>
      </c>
      <c r="B639" s="53">
        <v>164.7</v>
      </c>
    </row>
    <row r="640" spans="1:2">
      <c r="A640" s="7">
        <v>36192</v>
      </c>
      <c r="B640" s="53">
        <v>164.7</v>
      </c>
    </row>
    <row r="641" spans="1:2">
      <c r="A641" s="7">
        <v>36220</v>
      </c>
      <c r="B641" s="53">
        <v>164.8</v>
      </c>
    </row>
    <row r="642" spans="1:2">
      <c r="A642" s="7">
        <v>36251</v>
      </c>
      <c r="B642" s="53">
        <v>165.9</v>
      </c>
    </row>
    <row r="643" spans="1:2">
      <c r="A643" s="7">
        <v>36281</v>
      </c>
      <c r="B643" s="53">
        <v>166</v>
      </c>
    </row>
    <row r="644" spans="1:2">
      <c r="A644" s="7">
        <v>36312</v>
      </c>
      <c r="B644" s="53">
        <v>166</v>
      </c>
    </row>
    <row r="645" spans="1:2">
      <c r="A645" s="7">
        <v>36342</v>
      </c>
      <c r="B645" s="53">
        <v>166.7</v>
      </c>
    </row>
    <row r="646" spans="1:2">
      <c r="A646" s="7">
        <v>36373</v>
      </c>
      <c r="B646" s="53">
        <v>167.1</v>
      </c>
    </row>
    <row r="647" spans="1:2">
      <c r="A647" s="7">
        <v>36404</v>
      </c>
      <c r="B647" s="53">
        <v>167.8</v>
      </c>
    </row>
    <row r="648" spans="1:2">
      <c r="A648" s="7">
        <v>36434</v>
      </c>
      <c r="B648" s="53">
        <v>168.1</v>
      </c>
    </row>
    <row r="649" spans="1:2">
      <c r="A649" s="7">
        <v>36465</v>
      </c>
      <c r="B649" s="53">
        <v>168.4</v>
      </c>
    </row>
    <row r="650" spans="1:2">
      <c r="A650" s="7">
        <v>36495</v>
      </c>
      <c r="B650" s="53">
        <v>168.8</v>
      </c>
    </row>
    <row r="651" spans="1:2">
      <c r="A651" s="7">
        <v>36526</v>
      </c>
      <c r="B651" s="53">
        <v>169.3</v>
      </c>
    </row>
    <row r="652" spans="1:2">
      <c r="A652" s="7">
        <v>36557</v>
      </c>
      <c r="B652" s="53">
        <v>170</v>
      </c>
    </row>
    <row r="653" spans="1:2">
      <c r="A653" s="7">
        <v>36586</v>
      </c>
      <c r="B653" s="53">
        <v>171</v>
      </c>
    </row>
    <row r="654" spans="1:2">
      <c r="A654" s="7">
        <v>36617</v>
      </c>
      <c r="B654" s="53">
        <v>170.9</v>
      </c>
    </row>
    <row r="655" spans="1:2">
      <c r="A655" s="7">
        <v>36647</v>
      </c>
      <c r="B655" s="53">
        <v>171.2</v>
      </c>
    </row>
    <row r="656" spans="1:2">
      <c r="A656" s="7">
        <v>36678</v>
      </c>
      <c r="B656" s="53">
        <v>172.2</v>
      </c>
    </row>
    <row r="657" spans="1:2">
      <c r="A657" s="7">
        <v>36708</v>
      </c>
      <c r="B657" s="53">
        <v>172.7</v>
      </c>
    </row>
    <row r="658" spans="1:2">
      <c r="A658" s="7">
        <v>36739</v>
      </c>
      <c r="B658" s="53">
        <v>172.7</v>
      </c>
    </row>
    <row r="659" spans="1:2">
      <c r="A659" s="7">
        <v>36770</v>
      </c>
      <c r="B659" s="53">
        <v>173.6</v>
      </c>
    </row>
    <row r="660" spans="1:2">
      <c r="A660" s="7">
        <v>36800</v>
      </c>
      <c r="B660" s="53">
        <v>173.9</v>
      </c>
    </row>
    <row r="661" spans="1:2">
      <c r="A661" s="7">
        <v>36831</v>
      </c>
      <c r="B661" s="53">
        <v>174.2</v>
      </c>
    </row>
    <row r="662" spans="1:2">
      <c r="A662" s="7">
        <v>36861</v>
      </c>
      <c r="B662" s="53">
        <v>174.6</v>
      </c>
    </row>
    <row r="663" spans="1:2">
      <c r="A663" s="7">
        <v>36892</v>
      </c>
      <c r="B663" s="53">
        <v>175.6</v>
      </c>
    </row>
    <row r="664" spans="1:2">
      <c r="A664" s="7">
        <v>36923</v>
      </c>
      <c r="B664" s="53">
        <v>176</v>
      </c>
    </row>
    <row r="665" spans="1:2">
      <c r="A665" s="7">
        <v>36951</v>
      </c>
      <c r="B665" s="53">
        <v>176.1</v>
      </c>
    </row>
    <row r="666" spans="1:2">
      <c r="A666" s="7">
        <v>36982</v>
      </c>
      <c r="B666" s="53">
        <v>176.4</v>
      </c>
    </row>
    <row r="667" spans="1:2">
      <c r="A667" s="7">
        <v>37012</v>
      </c>
      <c r="B667" s="53">
        <v>177.3</v>
      </c>
    </row>
    <row r="668" spans="1:2">
      <c r="A668" s="7">
        <v>37043</v>
      </c>
      <c r="B668" s="53">
        <v>177.7</v>
      </c>
    </row>
    <row r="669" spans="1:2">
      <c r="A669" s="7">
        <v>37073</v>
      </c>
      <c r="B669" s="53">
        <v>177.4</v>
      </c>
    </row>
    <row r="670" spans="1:2">
      <c r="A670" s="7">
        <v>37104</v>
      </c>
      <c r="B670" s="53">
        <v>177.4</v>
      </c>
    </row>
    <row r="671" spans="1:2">
      <c r="A671" s="7">
        <v>37135</v>
      </c>
      <c r="B671" s="53">
        <v>178.1</v>
      </c>
    </row>
    <row r="672" spans="1:2">
      <c r="A672" s="7">
        <v>37165</v>
      </c>
      <c r="B672" s="53">
        <v>177.6</v>
      </c>
    </row>
    <row r="673" spans="1:2">
      <c r="A673" s="7">
        <v>37196</v>
      </c>
      <c r="B673" s="53">
        <v>177.5</v>
      </c>
    </row>
    <row r="674" spans="1:2">
      <c r="A674" s="7">
        <v>37226</v>
      </c>
      <c r="B674" s="53">
        <v>177.4</v>
      </c>
    </row>
    <row r="675" spans="1:2">
      <c r="A675" s="7">
        <v>37257</v>
      </c>
      <c r="B675" s="53">
        <v>177.7</v>
      </c>
    </row>
    <row r="676" spans="1:2">
      <c r="A676" s="7">
        <v>37288</v>
      </c>
      <c r="B676" s="53">
        <v>178</v>
      </c>
    </row>
    <row r="677" spans="1:2">
      <c r="A677" s="7">
        <v>37316</v>
      </c>
      <c r="B677" s="53">
        <v>178.5</v>
      </c>
    </row>
    <row r="678" spans="1:2">
      <c r="A678" s="7">
        <v>37347</v>
      </c>
      <c r="B678" s="53">
        <v>179.3</v>
      </c>
    </row>
    <row r="679" spans="1:2">
      <c r="A679" s="7">
        <v>37377</v>
      </c>
      <c r="B679" s="53">
        <v>179.5</v>
      </c>
    </row>
    <row r="680" spans="1:2">
      <c r="A680" s="7">
        <v>37408</v>
      </c>
      <c r="B680" s="53">
        <v>179.6</v>
      </c>
    </row>
    <row r="681" spans="1:2">
      <c r="A681" s="7">
        <v>37438</v>
      </c>
      <c r="B681" s="53">
        <v>180</v>
      </c>
    </row>
    <row r="682" spans="1:2">
      <c r="A682" s="7">
        <v>37469</v>
      </c>
      <c r="B682" s="53">
        <v>180.5</v>
      </c>
    </row>
    <row r="683" spans="1:2">
      <c r="A683" s="7">
        <v>37500</v>
      </c>
      <c r="B683" s="53">
        <v>180.8</v>
      </c>
    </row>
    <row r="684" spans="1:2">
      <c r="A684" s="7">
        <v>37530</v>
      </c>
      <c r="B684" s="53">
        <v>181.2</v>
      </c>
    </row>
    <row r="685" spans="1:2">
      <c r="A685" s="7">
        <v>37561</v>
      </c>
      <c r="B685" s="53">
        <v>181.5</v>
      </c>
    </row>
    <row r="686" spans="1:2">
      <c r="A686" s="7">
        <v>37591</v>
      </c>
      <c r="B686" s="53">
        <v>181.8</v>
      </c>
    </row>
    <row r="687" spans="1:2">
      <c r="A687" s="7">
        <v>37622</v>
      </c>
      <c r="B687" s="53">
        <v>182.6</v>
      </c>
    </row>
    <row r="688" spans="1:2">
      <c r="A688" s="7">
        <v>37653</v>
      </c>
      <c r="B688" s="53">
        <v>183.6</v>
      </c>
    </row>
    <row r="689" spans="1:2">
      <c r="A689" s="7">
        <v>37681</v>
      </c>
      <c r="B689" s="53">
        <v>183.9</v>
      </c>
    </row>
    <row r="690" spans="1:2">
      <c r="A690" s="7">
        <v>37712</v>
      </c>
      <c r="B690" s="53">
        <v>183.2</v>
      </c>
    </row>
    <row r="691" spans="1:2">
      <c r="A691" s="7">
        <v>37742</v>
      </c>
      <c r="B691" s="53">
        <v>182.9</v>
      </c>
    </row>
    <row r="692" spans="1:2">
      <c r="A692" s="7">
        <v>37773</v>
      </c>
      <c r="B692" s="53">
        <v>183.1</v>
      </c>
    </row>
    <row r="693" spans="1:2">
      <c r="A693" s="7">
        <v>37803</v>
      </c>
      <c r="B693" s="53">
        <v>183.7</v>
      </c>
    </row>
    <row r="694" spans="1:2">
      <c r="A694" s="7">
        <v>37834</v>
      </c>
      <c r="B694" s="53">
        <v>184.5</v>
      </c>
    </row>
    <row r="695" spans="1:2">
      <c r="A695" s="7">
        <v>37865</v>
      </c>
      <c r="B695" s="53">
        <v>185.1</v>
      </c>
    </row>
    <row r="696" spans="1:2">
      <c r="A696" s="7">
        <v>37895</v>
      </c>
      <c r="B696" s="53">
        <v>184.9</v>
      </c>
    </row>
    <row r="697" spans="1:2">
      <c r="A697" s="7">
        <v>37926</v>
      </c>
      <c r="B697" s="53">
        <v>185</v>
      </c>
    </row>
    <row r="698" spans="1:2">
      <c r="A698" s="7">
        <v>37956</v>
      </c>
      <c r="B698" s="53">
        <v>185.5</v>
      </c>
    </row>
    <row r="699" spans="1:2">
      <c r="A699" s="7">
        <v>37987</v>
      </c>
      <c r="B699" s="53">
        <v>186.3</v>
      </c>
    </row>
    <row r="700" spans="1:2">
      <c r="A700" s="7">
        <v>38018</v>
      </c>
      <c r="B700" s="53">
        <v>186.7</v>
      </c>
    </row>
    <row r="701" spans="1:2">
      <c r="A701" s="7">
        <v>38047</v>
      </c>
      <c r="B701" s="53">
        <v>187.1</v>
      </c>
    </row>
    <row r="702" spans="1:2">
      <c r="A702" s="7">
        <v>38078</v>
      </c>
      <c r="B702" s="53">
        <v>187.4</v>
      </c>
    </row>
    <row r="703" spans="1:2">
      <c r="A703" s="7">
        <v>38108</v>
      </c>
      <c r="B703" s="53">
        <v>188.2</v>
      </c>
    </row>
    <row r="704" spans="1:2">
      <c r="A704" s="7">
        <v>38139</v>
      </c>
      <c r="B704" s="53">
        <v>188.9</v>
      </c>
    </row>
    <row r="705" spans="1:2">
      <c r="A705" s="7">
        <v>38169</v>
      </c>
      <c r="B705" s="53">
        <v>189.1</v>
      </c>
    </row>
    <row r="706" spans="1:2">
      <c r="A706" s="7">
        <v>38200</v>
      </c>
      <c r="B706" s="53">
        <v>189.2</v>
      </c>
    </row>
    <row r="707" spans="1:2">
      <c r="A707" s="7">
        <v>38231</v>
      </c>
      <c r="B707" s="53">
        <v>189.8</v>
      </c>
    </row>
    <row r="708" spans="1:2">
      <c r="A708" s="7">
        <v>38261</v>
      </c>
      <c r="B708" s="53">
        <v>190.8</v>
      </c>
    </row>
    <row r="709" spans="1:2">
      <c r="A709" s="7">
        <v>38292</v>
      </c>
      <c r="B709" s="53">
        <v>191.7</v>
      </c>
    </row>
    <row r="710" spans="1:2">
      <c r="A710" s="7">
        <v>38322</v>
      </c>
      <c r="B710" s="53">
        <v>191.7</v>
      </c>
    </row>
    <row r="711" spans="1:2">
      <c r="A711" s="7">
        <v>38353</v>
      </c>
      <c r="B711" s="53">
        <v>191.6</v>
      </c>
    </row>
    <row r="712" spans="1:2">
      <c r="A712" s="7">
        <v>38384</v>
      </c>
      <c r="B712" s="53">
        <v>192.4</v>
      </c>
    </row>
    <row r="713" spans="1:2">
      <c r="A713" s="7">
        <v>38412</v>
      </c>
      <c r="B713" s="53">
        <v>193.1</v>
      </c>
    </row>
    <row r="714" spans="1:2">
      <c r="A714" s="7">
        <v>38443</v>
      </c>
      <c r="B714" s="53">
        <v>193.7</v>
      </c>
    </row>
    <row r="715" spans="1:2">
      <c r="A715" s="7">
        <v>38473</v>
      </c>
      <c r="B715" s="53">
        <v>193.6</v>
      </c>
    </row>
    <row r="716" spans="1:2">
      <c r="A716" s="7">
        <v>38504</v>
      </c>
      <c r="B716" s="53">
        <v>193.7</v>
      </c>
    </row>
    <row r="717" spans="1:2">
      <c r="A717" s="7">
        <v>38534</v>
      </c>
      <c r="B717" s="53">
        <v>194.9</v>
      </c>
    </row>
    <row r="718" spans="1:2">
      <c r="A718" s="7">
        <v>38565</v>
      </c>
      <c r="B718" s="53">
        <v>196.1</v>
      </c>
    </row>
    <row r="719" spans="1:2">
      <c r="A719" s="7">
        <v>38596</v>
      </c>
      <c r="B719" s="53">
        <v>198.8</v>
      </c>
    </row>
    <row r="720" spans="1:2">
      <c r="A720" s="7">
        <v>38626</v>
      </c>
      <c r="B720" s="53">
        <v>199.1</v>
      </c>
    </row>
    <row r="721" spans="1:2">
      <c r="A721" s="7">
        <v>38657</v>
      </c>
      <c r="B721" s="53">
        <v>198.1</v>
      </c>
    </row>
    <row r="722" spans="1:2">
      <c r="A722" s="7">
        <v>38687</v>
      </c>
      <c r="B722" s="53">
        <v>198.1</v>
      </c>
    </row>
    <row r="723" spans="1:2">
      <c r="A723" s="7">
        <v>38718</v>
      </c>
      <c r="B723" s="53">
        <v>199.3</v>
      </c>
    </row>
    <row r="724" spans="1:2">
      <c r="A724" s="7">
        <v>38749</v>
      </c>
      <c r="B724" s="53">
        <v>199.4</v>
      </c>
    </row>
    <row r="725" spans="1:2">
      <c r="A725" s="7">
        <v>38777</v>
      </c>
      <c r="B725" s="53">
        <v>199.7</v>
      </c>
    </row>
    <row r="726" spans="1:2">
      <c r="A726" s="7">
        <v>38808</v>
      </c>
      <c r="B726" s="53">
        <v>200.7</v>
      </c>
    </row>
    <row r="727" spans="1:2">
      <c r="A727" s="7">
        <v>38838</v>
      </c>
      <c r="B727" s="53">
        <v>201.3</v>
      </c>
    </row>
    <row r="728" spans="1:2">
      <c r="A728" s="7">
        <v>38869</v>
      </c>
      <c r="B728" s="53">
        <v>201.8</v>
      </c>
    </row>
    <row r="729" spans="1:2">
      <c r="A729" s="7">
        <v>38899</v>
      </c>
      <c r="B729" s="53">
        <v>202.9</v>
      </c>
    </row>
    <row r="730" spans="1:2">
      <c r="A730" s="7">
        <v>38930</v>
      </c>
      <c r="B730" s="53">
        <v>203.8</v>
      </c>
    </row>
    <row r="731" spans="1:2">
      <c r="A731" s="7">
        <v>38961</v>
      </c>
      <c r="B731" s="53">
        <v>202.8</v>
      </c>
    </row>
    <row r="732" spans="1:2">
      <c r="A732" s="7">
        <v>38991</v>
      </c>
      <c r="B732" s="53">
        <v>201.9</v>
      </c>
    </row>
    <row r="733" spans="1:2">
      <c r="A733" s="7">
        <v>39022</v>
      </c>
      <c r="B733" s="53">
        <v>202</v>
      </c>
    </row>
    <row r="734" spans="1:2">
      <c r="A734" s="7">
        <v>39052</v>
      </c>
      <c r="B734" s="53">
        <v>203.1</v>
      </c>
    </row>
    <row r="735" spans="1:2">
      <c r="A735" s="7">
        <v>39083</v>
      </c>
      <c r="B735" s="53">
        <v>203.43700000000001</v>
      </c>
    </row>
    <row r="736" spans="1:2">
      <c r="A736" s="7">
        <v>39114</v>
      </c>
      <c r="B736" s="53">
        <v>204.226</v>
      </c>
    </row>
    <row r="737" spans="1:2">
      <c r="A737" s="7">
        <v>39142</v>
      </c>
      <c r="B737" s="53">
        <v>205.28800000000001</v>
      </c>
    </row>
    <row r="738" spans="1:2">
      <c r="A738" s="7">
        <v>39173</v>
      </c>
      <c r="B738" s="53">
        <v>205.904</v>
      </c>
    </row>
    <row r="739" spans="1:2">
      <c r="A739" s="7">
        <v>39203</v>
      </c>
      <c r="B739" s="53">
        <v>206.755</v>
      </c>
    </row>
    <row r="740" spans="1:2">
      <c r="A740" s="7">
        <v>39234</v>
      </c>
      <c r="B740" s="53">
        <v>207.23400000000001</v>
      </c>
    </row>
    <row r="741" spans="1:2">
      <c r="A741" s="7">
        <v>39264</v>
      </c>
      <c r="B741" s="53">
        <v>207.60300000000001</v>
      </c>
    </row>
    <row r="742" spans="1:2">
      <c r="A742" s="7">
        <v>39295</v>
      </c>
      <c r="B742" s="53">
        <v>207.667</v>
      </c>
    </row>
    <row r="743" spans="1:2">
      <c r="A743" s="7">
        <v>39326</v>
      </c>
      <c r="B743" s="53">
        <v>208.547</v>
      </c>
    </row>
    <row r="744" spans="1:2">
      <c r="A744" s="7">
        <v>39356</v>
      </c>
      <c r="B744" s="53">
        <v>209.19</v>
      </c>
    </row>
    <row r="745" spans="1:2">
      <c r="A745" s="7">
        <v>39387</v>
      </c>
      <c r="B745" s="53">
        <v>210.834</v>
      </c>
    </row>
    <row r="746" spans="1:2">
      <c r="A746" s="7">
        <v>39417</v>
      </c>
      <c r="B746" s="53">
        <v>211.44499999999999</v>
      </c>
    </row>
    <row r="747" spans="1:2">
      <c r="A747" s="7">
        <v>39448</v>
      </c>
      <c r="B747" s="53">
        <v>212.17400000000001</v>
      </c>
    </row>
    <row r="748" spans="1:2">
      <c r="A748" s="7">
        <v>39479</v>
      </c>
      <c r="B748" s="53">
        <v>212.68700000000001</v>
      </c>
    </row>
    <row r="749" spans="1:2">
      <c r="A749" s="7">
        <v>39508</v>
      </c>
      <c r="B749" s="53">
        <v>213.44800000000001</v>
      </c>
    </row>
    <row r="750" spans="1:2">
      <c r="A750" s="7">
        <v>39539</v>
      </c>
      <c r="B750" s="53">
        <v>213.94200000000001</v>
      </c>
    </row>
    <row r="751" spans="1:2">
      <c r="A751" s="7">
        <v>39569</v>
      </c>
      <c r="B751" s="53">
        <v>215.208</v>
      </c>
    </row>
    <row r="752" spans="1:2">
      <c r="A752" s="7">
        <v>39600</v>
      </c>
      <c r="B752" s="53">
        <v>217.46299999999999</v>
      </c>
    </row>
    <row r="753" spans="1:2">
      <c r="A753" s="7">
        <v>39630</v>
      </c>
      <c r="B753" s="53">
        <v>219.01599999999999</v>
      </c>
    </row>
    <row r="754" spans="1:2">
      <c r="A754" s="7">
        <v>39661</v>
      </c>
      <c r="B754" s="53">
        <v>218.69</v>
      </c>
    </row>
    <row r="755" spans="1:2">
      <c r="A755" s="7">
        <v>39692</v>
      </c>
      <c r="B755" s="53">
        <v>218.87700000000001</v>
      </c>
    </row>
    <row r="756" spans="1:2">
      <c r="A756" s="7">
        <v>39722</v>
      </c>
      <c r="B756" s="53">
        <v>216.995</v>
      </c>
    </row>
    <row r="757" spans="1:2">
      <c r="A757" s="7">
        <v>39753</v>
      </c>
      <c r="B757" s="53">
        <v>213.15299999999999</v>
      </c>
    </row>
    <row r="758" spans="1:2">
      <c r="A758" s="7">
        <v>39783</v>
      </c>
      <c r="B758" s="53">
        <v>211.398</v>
      </c>
    </row>
    <row r="759" spans="1:2">
      <c r="A759" s="7">
        <v>39814</v>
      </c>
      <c r="B759" s="53">
        <v>211.952</v>
      </c>
    </row>
    <row r="760" spans="1:2">
      <c r="A760" s="7">
        <v>39845</v>
      </c>
      <c r="B760" s="53">
        <v>212.82300000000001</v>
      </c>
    </row>
    <row r="761" spans="1:2">
      <c r="A761" s="7">
        <v>39873</v>
      </c>
      <c r="B761" s="53">
        <v>212.523</v>
      </c>
    </row>
    <row r="762" spans="1:2">
      <c r="A762" s="7">
        <v>39904</v>
      </c>
      <c r="B762" s="53">
        <v>212.65700000000001</v>
      </c>
    </row>
    <row r="763" spans="1:2">
      <c r="A763" s="7">
        <v>39934</v>
      </c>
      <c r="B763" s="53">
        <v>212.99799999999999</v>
      </c>
    </row>
    <row r="764" spans="1:2">
      <c r="A764" s="7">
        <v>39965</v>
      </c>
      <c r="B764" s="53">
        <v>214.791</v>
      </c>
    </row>
    <row r="765" spans="1:2">
      <c r="A765" s="7">
        <v>39995</v>
      </c>
      <c r="B765" s="53">
        <v>214.72</v>
      </c>
    </row>
    <row r="766" spans="1:2">
      <c r="A766" s="7">
        <v>40026</v>
      </c>
      <c r="B766" s="53">
        <v>215.44200000000001</v>
      </c>
    </row>
    <row r="767" spans="1:2">
      <c r="A767" s="7">
        <v>40057</v>
      </c>
      <c r="B767" s="53">
        <v>215.88</v>
      </c>
    </row>
    <row r="768" spans="1:2">
      <c r="A768" s="7">
        <v>40087</v>
      </c>
      <c r="B768" s="53">
        <v>216.482</v>
      </c>
    </row>
    <row r="769" spans="1:2">
      <c r="A769" s="7">
        <v>40118</v>
      </c>
      <c r="B769" s="53">
        <v>217.16499999999999</v>
      </c>
    </row>
    <row r="770" spans="1:2">
      <c r="A770" s="7">
        <v>40148</v>
      </c>
      <c r="B770" s="53">
        <v>217.36500000000001</v>
      </c>
    </row>
    <row r="771" spans="1:2">
      <c r="A771" s="7">
        <v>40179</v>
      </c>
      <c r="B771" s="53">
        <v>217.47800000000001</v>
      </c>
    </row>
    <row r="772" spans="1:2">
      <c r="A772" s="7">
        <v>40210</v>
      </c>
      <c r="B772" s="53">
        <v>217.35599999999999</v>
      </c>
    </row>
    <row r="773" spans="1:2">
      <c r="A773" s="7">
        <v>40238</v>
      </c>
      <c r="B773" s="53">
        <v>217.38</v>
      </c>
    </row>
    <row r="774" spans="1:2">
      <c r="A774" s="7">
        <v>40269</v>
      </c>
      <c r="B774" s="53">
        <v>217.28100000000001</v>
      </c>
    </row>
    <row r="775" spans="1:2">
      <c r="A775" s="7">
        <v>40299</v>
      </c>
      <c r="B775" s="53">
        <v>217.23</v>
      </c>
    </row>
    <row r="776" spans="1:2">
      <c r="A776" s="7">
        <v>40330</v>
      </c>
      <c r="B776" s="53">
        <v>217.32900000000001</v>
      </c>
    </row>
    <row r="777" spans="1:2">
      <c r="A777" s="7">
        <v>40360</v>
      </c>
      <c r="B777" s="53">
        <v>217.69</v>
      </c>
    </row>
    <row r="778" spans="1:2">
      <c r="A778" s="7">
        <v>40391</v>
      </c>
      <c r="B778" s="53">
        <v>218.02</v>
      </c>
    </row>
    <row r="779" spans="1:2">
      <c r="A779" s="7">
        <v>40422</v>
      </c>
      <c r="B779" s="53">
        <v>218.31899999999999</v>
      </c>
    </row>
    <row r="780" spans="1:2">
      <c r="A780" s="7">
        <v>40452</v>
      </c>
      <c r="B780" s="53">
        <v>218.99600000000001</v>
      </c>
    </row>
    <row r="781" spans="1:2">
      <c r="A781" s="7">
        <v>40483</v>
      </c>
      <c r="B781" s="53">
        <v>219.471</v>
      </c>
    </row>
    <row r="782" spans="1:2">
      <c r="A782" s="7">
        <v>40513</v>
      </c>
      <c r="B782" s="53">
        <v>220.46799999999999</v>
      </c>
    </row>
    <row r="783" spans="1:2">
      <c r="A783" s="7">
        <v>40544</v>
      </c>
      <c r="B783" s="53">
        <v>221.06700000000001</v>
      </c>
    </row>
    <row r="784" spans="1:2">
      <c r="A784" s="7">
        <v>40575</v>
      </c>
      <c r="B784" s="53">
        <v>221.90799999999999</v>
      </c>
    </row>
    <row r="785" spans="1:2">
      <c r="A785" s="7">
        <v>40603</v>
      </c>
      <c r="B785" s="53">
        <v>223.10599999999999</v>
      </c>
    </row>
    <row r="786" spans="1:2">
      <c r="A786" s="7">
        <v>40634</v>
      </c>
      <c r="B786" s="53">
        <v>223.87899999999999</v>
      </c>
    </row>
    <row r="787" spans="1:2">
      <c r="A787" s="7">
        <v>40664</v>
      </c>
      <c r="B787" s="53">
        <v>224.74700000000001</v>
      </c>
    </row>
    <row r="788" spans="1:2">
      <c r="A788" s="7">
        <v>40695</v>
      </c>
      <c r="B788" s="53">
        <v>225.07</v>
      </c>
    </row>
    <row r="789" spans="1:2">
      <c r="A789" s="7">
        <v>40725</v>
      </c>
      <c r="B789" s="53">
        <v>225.59399999999999</v>
      </c>
    </row>
    <row r="790" spans="1:2">
      <c r="A790" s="7">
        <v>40756</v>
      </c>
      <c r="B790" s="53">
        <v>226.18700000000001</v>
      </c>
    </row>
    <row r="791" spans="1:2">
      <c r="A791" s="7">
        <v>40787</v>
      </c>
      <c r="B791" s="53">
        <v>226.75299999999999</v>
      </c>
    </row>
    <row r="792" spans="1:2">
      <c r="A792" s="7">
        <v>40817</v>
      </c>
      <c r="B792" s="53">
        <v>226.72800000000001</v>
      </c>
    </row>
    <row r="793" spans="1:2">
      <c r="A793" s="7">
        <v>40848</v>
      </c>
      <c r="B793" s="53">
        <v>227.04900000000001</v>
      </c>
    </row>
    <row r="794" spans="1:2">
      <c r="A794" s="7">
        <v>40878</v>
      </c>
      <c r="B794" s="53">
        <v>227.137</v>
      </c>
    </row>
    <row r="795" spans="1:2">
      <c r="A795" s="7">
        <v>40909</v>
      </c>
      <c r="B795" s="53">
        <v>227.60499999999999</v>
      </c>
    </row>
    <row r="796" spans="1:2">
      <c r="A796" s="7">
        <v>40940</v>
      </c>
      <c r="B796" s="53">
        <v>228.25299999999999</v>
      </c>
    </row>
    <row r="797" spans="1:2">
      <c r="A797" s="7">
        <v>40969</v>
      </c>
      <c r="B797" s="53">
        <v>228.95</v>
      </c>
    </row>
    <row r="798" spans="1:2">
      <c r="A798" s="7">
        <v>41000</v>
      </c>
      <c r="B798" s="53">
        <v>228.95099999999999</v>
      </c>
    </row>
    <row r="799" spans="1:2">
      <c r="A799" s="7">
        <v>41030</v>
      </c>
      <c r="B799" s="53">
        <v>228.648</v>
      </c>
    </row>
    <row r="800" spans="1:2">
      <c r="A800" s="7">
        <v>41061</v>
      </c>
      <c r="B800" s="53">
        <v>228.92400000000001</v>
      </c>
    </row>
    <row r="801" spans="1:2">
      <c r="A801" s="7">
        <v>41091</v>
      </c>
      <c r="B801" s="53">
        <v>228.83600000000001</v>
      </c>
    </row>
    <row r="802" spans="1:2">
      <c r="A802" s="7">
        <v>41122</v>
      </c>
      <c r="B802" s="53">
        <v>230.02600000000001</v>
      </c>
    </row>
    <row r="803" spans="1:2">
      <c r="A803" s="7">
        <v>41153</v>
      </c>
      <c r="B803" s="53">
        <v>231.227</v>
      </c>
    </row>
    <row r="804" spans="1:2">
      <c r="A804" s="7">
        <v>41183</v>
      </c>
      <c r="B804" s="53">
        <v>231.62299999999999</v>
      </c>
    </row>
    <row r="805" spans="1:2">
      <c r="A805" s="7">
        <v>41214</v>
      </c>
      <c r="B805" s="53">
        <v>231.071</v>
      </c>
    </row>
    <row r="806" spans="1:2">
      <c r="A806" s="7">
        <v>41244</v>
      </c>
      <c r="B806" s="53">
        <v>231.137</v>
      </c>
    </row>
    <row r="807" spans="1:2">
      <c r="A807" s="7">
        <v>41275</v>
      </c>
      <c r="B807" s="53">
        <v>231.19800000000001</v>
      </c>
    </row>
    <row r="808" spans="1:2">
      <c r="A808" s="7">
        <v>41306</v>
      </c>
      <c r="B808" s="53">
        <v>232.77</v>
      </c>
    </row>
    <row r="809" spans="1:2">
      <c r="A809" s="7">
        <v>41334</v>
      </c>
      <c r="B809" s="53">
        <v>232.34</v>
      </c>
    </row>
  </sheetData>
  <pageMargins left="0.75" right="0.75" top="1" bottom="1" header="0.5" footer="0.5"/>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8"/>
  <sheetViews>
    <sheetView workbookViewId="0">
      <selection activeCell="G20" sqref="G20"/>
    </sheetView>
  </sheetViews>
  <sheetFormatPr baseColWidth="10" defaultRowHeight="15" x14ac:dyDescent="0"/>
  <cols>
    <col min="7" max="7" width="104" bestFit="1" customWidth="1"/>
  </cols>
  <sheetData>
    <row r="1" spans="1:7">
      <c r="A1" t="s">
        <v>25</v>
      </c>
      <c r="B1" t="s">
        <v>776</v>
      </c>
    </row>
    <row r="2" spans="1:7" ht="16">
      <c r="A2" s="174" t="s">
        <v>0</v>
      </c>
      <c r="B2" s="174" t="s">
        <v>235</v>
      </c>
      <c r="C2" s="171" t="s">
        <v>236</v>
      </c>
    </row>
    <row r="3" spans="1:7" ht="16">
      <c r="A3" s="174"/>
      <c r="B3" s="174"/>
      <c r="C3" s="171" t="s">
        <v>237</v>
      </c>
    </row>
    <row r="4" spans="1:7" ht="16">
      <c r="A4" s="172">
        <v>1800</v>
      </c>
      <c r="B4" s="172">
        <v>51</v>
      </c>
      <c r="C4" s="172"/>
      <c r="G4" s="172" t="s">
        <v>777</v>
      </c>
    </row>
    <row r="5" spans="1:7" ht="16">
      <c r="A5" s="172">
        <v>1801</v>
      </c>
      <c r="B5" s="172">
        <v>50</v>
      </c>
      <c r="C5" s="173">
        <v>-0.02</v>
      </c>
      <c r="G5" s="171" t="s">
        <v>778</v>
      </c>
    </row>
    <row r="6" spans="1:7" ht="16">
      <c r="A6" s="172">
        <v>1802</v>
      </c>
      <c r="B6" s="172">
        <v>43</v>
      </c>
      <c r="C6" s="173">
        <v>-0.14000000000000001</v>
      </c>
      <c r="G6" s="171" t="s">
        <v>779</v>
      </c>
    </row>
    <row r="7" spans="1:7" ht="16">
      <c r="A7" s="172">
        <v>1803</v>
      </c>
      <c r="B7" s="172">
        <v>45</v>
      </c>
      <c r="C7" s="173">
        <v>4.7E-2</v>
      </c>
      <c r="G7" s="171" t="s">
        <v>780</v>
      </c>
    </row>
    <row r="8" spans="1:7" ht="16">
      <c r="A8" s="172">
        <v>1804</v>
      </c>
      <c r="B8" s="172">
        <v>45</v>
      </c>
      <c r="C8" s="173">
        <v>0</v>
      </c>
      <c r="G8" s="171" t="s">
        <v>781</v>
      </c>
    </row>
    <row r="9" spans="1:7" ht="16">
      <c r="A9" s="172">
        <v>1805</v>
      </c>
      <c r="B9" s="172">
        <v>45</v>
      </c>
      <c r="C9" s="173">
        <v>0</v>
      </c>
      <c r="G9" s="171" t="s">
        <v>782</v>
      </c>
    </row>
    <row r="10" spans="1:7" ht="16">
      <c r="A10" s="172">
        <v>1806</v>
      </c>
      <c r="B10" s="172">
        <v>47</v>
      </c>
      <c r="C10" s="173">
        <v>4.3999999999999997E-2</v>
      </c>
      <c r="G10" s="172" t="s">
        <v>247</v>
      </c>
    </row>
    <row r="11" spans="1:7" ht="16">
      <c r="A11" s="172">
        <v>1807</v>
      </c>
      <c r="B11" s="172">
        <v>44</v>
      </c>
      <c r="C11" s="173">
        <v>-6.4000000000000001E-2</v>
      </c>
      <c r="G11" s="171" t="s">
        <v>783</v>
      </c>
    </row>
    <row r="12" spans="1:7" ht="16">
      <c r="A12" s="172">
        <v>1808</v>
      </c>
      <c r="B12" s="172">
        <v>48</v>
      </c>
      <c r="C12" s="173">
        <v>9.0999999999999998E-2</v>
      </c>
      <c r="G12" s="172" t="s">
        <v>784</v>
      </c>
    </row>
    <row r="13" spans="1:7" ht="16">
      <c r="A13" s="172">
        <v>1809</v>
      </c>
      <c r="B13" s="172">
        <v>47</v>
      </c>
      <c r="C13" s="173">
        <v>-2.1000000000000001E-2</v>
      </c>
      <c r="G13" s="172" t="s">
        <v>785</v>
      </c>
    </row>
    <row r="14" spans="1:7" ht="16">
      <c r="A14" s="172">
        <v>1810</v>
      </c>
      <c r="B14" s="172">
        <v>47</v>
      </c>
      <c r="C14" s="173">
        <v>0</v>
      </c>
      <c r="G14" s="172" t="s">
        <v>786</v>
      </c>
    </row>
    <row r="15" spans="1:7" ht="16">
      <c r="A15" s="172">
        <v>1811</v>
      </c>
      <c r="B15" s="172">
        <v>50</v>
      </c>
      <c r="C15" s="173">
        <v>6.4000000000000001E-2</v>
      </c>
      <c r="G15" s="172" t="s">
        <v>787</v>
      </c>
    </row>
    <row r="16" spans="1:7" ht="16">
      <c r="A16" s="172">
        <v>1812</v>
      </c>
      <c r="B16" s="172">
        <v>51</v>
      </c>
      <c r="C16" s="173">
        <v>0.02</v>
      </c>
      <c r="G16" s="171" t="s">
        <v>253</v>
      </c>
    </row>
    <row r="17" spans="1:7" ht="16">
      <c r="A17" s="172">
        <v>1813</v>
      </c>
      <c r="B17" s="172">
        <v>58</v>
      </c>
      <c r="C17" s="173">
        <v>0.13700000000000001</v>
      </c>
      <c r="G17" s="171" t="s">
        <v>254</v>
      </c>
    </row>
    <row r="18" spans="1:7" ht="16">
      <c r="A18" s="172">
        <v>1814</v>
      </c>
      <c r="B18" s="172">
        <v>63</v>
      </c>
      <c r="C18" s="173">
        <v>8.5999999999999993E-2</v>
      </c>
    </row>
    <row r="19" spans="1:7" ht="16">
      <c r="A19" s="172">
        <v>1815</v>
      </c>
      <c r="B19" s="172">
        <v>55</v>
      </c>
      <c r="C19" s="173">
        <v>-0.127</v>
      </c>
    </row>
    <row r="20" spans="1:7" ht="16">
      <c r="A20" s="172">
        <v>1816</v>
      </c>
      <c r="B20" s="172">
        <v>51</v>
      </c>
      <c r="C20" s="173">
        <v>-7.2999999999999995E-2</v>
      </c>
    </row>
    <row r="21" spans="1:7" ht="16">
      <c r="A21" s="172">
        <v>1817</v>
      </c>
      <c r="B21" s="172">
        <v>48</v>
      </c>
      <c r="C21" s="173">
        <v>-5.8999999999999997E-2</v>
      </c>
    </row>
    <row r="22" spans="1:7" ht="16">
      <c r="A22" s="172">
        <v>1818</v>
      </c>
      <c r="B22" s="172">
        <v>46</v>
      </c>
      <c r="C22" s="173">
        <v>-4.2000000000000003E-2</v>
      </c>
    </row>
    <row r="23" spans="1:7" ht="16">
      <c r="A23" s="172">
        <v>1819</v>
      </c>
      <c r="B23" s="172">
        <v>46</v>
      </c>
      <c r="C23" s="173">
        <v>0</v>
      </c>
    </row>
    <row r="24" spans="1:7" ht="16">
      <c r="A24" s="172">
        <v>1820</v>
      </c>
      <c r="B24" s="172">
        <v>42</v>
      </c>
      <c r="C24" s="173">
        <v>-8.6999999999999994E-2</v>
      </c>
    </row>
    <row r="25" spans="1:7" ht="16">
      <c r="A25" s="172">
        <v>1821</v>
      </c>
      <c r="B25" s="172">
        <v>40</v>
      </c>
      <c r="C25" s="173">
        <v>-4.8000000000000001E-2</v>
      </c>
    </row>
    <row r="26" spans="1:7" ht="16">
      <c r="A26" s="172">
        <v>1822</v>
      </c>
      <c r="B26" s="172">
        <v>40</v>
      </c>
      <c r="C26" s="173">
        <v>0</v>
      </c>
    </row>
    <row r="27" spans="1:7" ht="16">
      <c r="A27" s="172">
        <v>1823</v>
      </c>
      <c r="B27" s="172">
        <v>36</v>
      </c>
      <c r="C27" s="173">
        <v>-0.1</v>
      </c>
    </row>
    <row r="28" spans="1:7" ht="16">
      <c r="A28" s="172">
        <v>1824</v>
      </c>
      <c r="B28" s="172">
        <v>33</v>
      </c>
      <c r="C28" s="173">
        <v>-8.3000000000000004E-2</v>
      </c>
    </row>
    <row r="29" spans="1:7" ht="16">
      <c r="A29" s="172">
        <v>1825</v>
      </c>
      <c r="B29" s="172">
        <v>34</v>
      </c>
      <c r="C29" s="173">
        <v>0.03</v>
      </c>
    </row>
    <row r="30" spans="1:7" ht="16">
      <c r="A30" s="172">
        <v>1826</v>
      </c>
      <c r="B30" s="172">
        <v>34</v>
      </c>
      <c r="C30" s="173">
        <v>0</v>
      </c>
    </row>
    <row r="31" spans="1:7" ht="16">
      <c r="A31" s="172">
        <v>1827</v>
      </c>
      <c r="B31" s="172">
        <v>34</v>
      </c>
      <c r="C31" s="173">
        <v>0</v>
      </c>
    </row>
    <row r="32" spans="1:7" ht="16">
      <c r="A32" s="172">
        <v>1828</v>
      </c>
      <c r="B32" s="172">
        <v>33</v>
      </c>
      <c r="C32" s="173">
        <v>-2.9000000000000001E-2</v>
      </c>
    </row>
    <row r="33" spans="1:3" ht="16">
      <c r="A33" s="172">
        <v>1829</v>
      </c>
      <c r="B33" s="172">
        <v>32</v>
      </c>
      <c r="C33" s="173">
        <v>-0.03</v>
      </c>
    </row>
    <row r="34" spans="1:3" ht="16">
      <c r="A34" s="172">
        <v>1830</v>
      </c>
      <c r="B34" s="172">
        <v>32</v>
      </c>
      <c r="C34" s="173">
        <v>0</v>
      </c>
    </row>
    <row r="35" spans="1:3" ht="16">
      <c r="A35" s="172">
        <v>1831</v>
      </c>
      <c r="B35" s="172">
        <v>32</v>
      </c>
      <c r="C35" s="173">
        <v>0</v>
      </c>
    </row>
    <row r="36" spans="1:3" ht="16">
      <c r="A36" s="172">
        <v>1832</v>
      </c>
      <c r="B36" s="172">
        <v>30</v>
      </c>
      <c r="C36" s="173">
        <v>-6.3E-2</v>
      </c>
    </row>
    <row r="37" spans="1:3" ht="16">
      <c r="A37" s="172">
        <v>1833</v>
      </c>
      <c r="B37" s="172">
        <v>29</v>
      </c>
      <c r="C37" s="173">
        <v>-3.3000000000000002E-2</v>
      </c>
    </row>
    <row r="38" spans="1:3" ht="16">
      <c r="A38" s="172">
        <v>1834</v>
      </c>
      <c r="B38" s="172">
        <v>30</v>
      </c>
      <c r="C38" s="173">
        <v>3.4000000000000002E-2</v>
      </c>
    </row>
    <row r="39" spans="1:3" ht="16">
      <c r="A39" s="172">
        <v>1835</v>
      </c>
      <c r="B39" s="172">
        <v>31</v>
      </c>
      <c r="C39" s="173">
        <v>3.3000000000000002E-2</v>
      </c>
    </row>
    <row r="40" spans="1:3" ht="16">
      <c r="A40" s="172">
        <v>1836</v>
      </c>
      <c r="B40" s="172">
        <v>33</v>
      </c>
      <c r="C40" s="173">
        <v>6.5000000000000002E-2</v>
      </c>
    </row>
    <row r="41" spans="1:3" ht="16">
      <c r="A41" s="172">
        <v>1837</v>
      </c>
      <c r="B41" s="172">
        <v>34</v>
      </c>
      <c r="C41" s="173">
        <v>0.03</v>
      </c>
    </row>
    <row r="42" spans="1:3" ht="16">
      <c r="A42" s="172">
        <v>1838</v>
      </c>
      <c r="B42" s="172">
        <v>32</v>
      </c>
      <c r="C42" s="173">
        <v>-5.8999999999999997E-2</v>
      </c>
    </row>
    <row r="43" spans="1:3" ht="16">
      <c r="A43" s="172">
        <v>1839</v>
      </c>
      <c r="B43" s="172">
        <v>32</v>
      </c>
      <c r="C43" s="173">
        <v>0</v>
      </c>
    </row>
    <row r="44" spans="1:3" ht="16">
      <c r="A44" s="172">
        <v>1840</v>
      </c>
      <c r="B44" s="172">
        <v>30</v>
      </c>
      <c r="C44" s="173">
        <v>-6.3E-2</v>
      </c>
    </row>
    <row r="45" spans="1:3" ht="16">
      <c r="A45" s="172">
        <v>1841</v>
      </c>
      <c r="B45" s="172">
        <v>31</v>
      </c>
      <c r="C45" s="173">
        <v>3.3000000000000002E-2</v>
      </c>
    </row>
    <row r="46" spans="1:3" ht="16">
      <c r="A46" s="172">
        <v>1842</v>
      </c>
      <c r="B46" s="172">
        <v>29</v>
      </c>
      <c r="C46" s="173">
        <v>-6.5000000000000002E-2</v>
      </c>
    </row>
    <row r="47" spans="1:3" ht="16">
      <c r="A47" s="172">
        <v>1843</v>
      </c>
      <c r="B47" s="172">
        <v>28</v>
      </c>
      <c r="C47" s="173">
        <v>-3.4000000000000002E-2</v>
      </c>
    </row>
    <row r="48" spans="1:3" ht="16">
      <c r="A48" s="172">
        <v>1844</v>
      </c>
      <c r="B48" s="172">
        <v>28</v>
      </c>
      <c r="C48" s="173">
        <v>0</v>
      </c>
    </row>
    <row r="49" spans="1:3" ht="16">
      <c r="A49" s="172">
        <v>1845</v>
      </c>
      <c r="B49" s="172">
        <v>28</v>
      </c>
      <c r="C49" s="173">
        <v>0</v>
      </c>
    </row>
    <row r="50" spans="1:3" ht="16">
      <c r="A50" s="172">
        <v>1846</v>
      </c>
      <c r="B50" s="172">
        <v>27</v>
      </c>
      <c r="C50" s="173">
        <v>-3.5999999999999997E-2</v>
      </c>
    </row>
    <row r="51" spans="1:3" ht="16">
      <c r="A51" s="172">
        <v>1847</v>
      </c>
      <c r="B51" s="172">
        <v>28</v>
      </c>
      <c r="C51" s="173">
        <v>3.6999999999999998E-2</v>
      </c>
    </row>
    <row r="52" spans="1:3" ht="16">
      <c r="A52" s="172">
        <v>1848</v>
      </c>
      <c r="B52" s="172">
        <v>26</v>
      </c>
      <c r="C52" s="173">
        <v>-7.0999999999999994E-2</v>
      </c>
    </row>
    <row r="53" spans="1:3" ht="16">
      <c r="A53" s="172">
        <v>1849</v>
      </c>
      <c r="B53" s="172">
        <v>25</v>
      </c>
      <c r="C53" s="173">
        <v>-3.7999999999999999E-2</v>
      </c>
    </row>
    <row r="54" spans="1:3" ht="16">
      <c r="A54" s="172">
        <v>1850</v>
      </c>
      <c r="B54" s="172">
        <v>25</v>
      </c>
      <c r="C54" s="173">
        <v>0</v>
      </c>
    </row>
    <row r="55" spans="1:3" ht="16">
      <c r="A55" s="172">
        <v>1851</v>
      </c>
      <c r="B55" s="172">
        <v>25</v>
      </c>
      <c r="C55" s="173">
        <v>0</v>
      </c>
    </row>
    <row r="56" spans="1:3" ht="16">
      <c r="A56" s="172">
        <v>1852</v>
      </c>
      <c r="B56" s="172">
        <v>25</v>
      </c>
      <c r="C56" s="173">
        <v>0</v>
      </c>
    </row>
    <row r="57" spans="1:3" ht="16">
      <c r="A57" s="172">
        <v>1853</v>
      </c>
      <c r="B57" s="172">
        <v>25</v>
      </c>
      <c r="C57" s="173">
        <v>0</v>
      </c>
    </row>
    <row r="58" spans="1:3" ht="16">
      <c r="A58" s="172">
        <v>1854</v>
      </c>
      <c r="B58" s="172">
        <v>27</v>
      </c>
      <c r="C58" s="173">
        <v>0.08</v>
      </c>
    </row>
    <row r="59" spans="1:3" ht="16">
      <c r="A59" s="172">
        <v>1855</v>
      </c>
      <c r="B59" s="172">
        <v>28</v>
      </c>
      <c r="C59" s="173">
        <v>3.6999999999999998E-2</v>
      </c>
    </row>
    <row r="60" spans="1:3" ht="16">
      <c r="A60" s="172">
        <v>1856</v>
      </c>
      <c r="B60" s="172">
        <v>27</v>
      </c>
      <c r="C60" s="173">
        <v>-3.5999999999999997E-2</v>
      </c>
    </row>
    <row r="61" spans="1:3" ht="16">
      <c r="A61" s="172">
        <v>1857</v>
      </c>
      <c r="B61" s="172">
        <v>28</v>
      </c>
      <c r="C61" s="173">
        <v>3.6999999999999998E-2</v>
      </c>
    </row>
    <row r="62" spans="1:3" ht="16">
      <c r="A62" s="172">
        <v>1858</v>
      </c>
      <c r="B62" s="172">
        <v>26</v>
      </c>
      <c r="C62" s="173">
        <v>-7.0999999999999994E-2</v>
      </c>
    </row>
    <row r="63" spans="1:3" ht="16">
      <c r="A63" s="172">
        <v>1859</v>
      </c>
      <c r="B63" s="172">
        <v>27</v>
      </c>
      <c r="C63" s="173">
        <v>3.7999999999999999E-2</v>
      </c>
    </row>
    <row r="64" spans="1:3" ht="16">
      <c r="A64" s="172">
        <v>1860</v>
      </c>
      <c r="B64" s="172">
        <v>27</v>
      </c>
      <c r="C64" s="173">
        <v>0</v>
      </c>
    </row>
    <row r="65" spans="1:3" ht="16">
      <c r="A65" s="172">
        <v>1861</v>
      </c>
      <c r="B65" s="172">
        <v>27</v>
      </c>
      <c r="C65" s="173">
        <v>0</v>
      </c>
    </row>
    <row r="66" spans="1:3" ht="16">
      <c r="A66" s="172">
        <v>1862</v>
      </c>
      <c r="B66" s="172">
        <v>30</v>
      </c>
      <c r="C66" s="173">
        <v>0.111</v>
      </c>
    </row>
    <row r="67" spans="1:3" ht="16">
      <c r="A67" s="172">
        <v>1863</v>
      </c>
      <c r="B67" s="172">
        <v>37</v>
      </c>
      <c r="C67" s="173">
        <v>0.23300000000000001</v>
      </c>
    </row>
    <row r="68" spans="1:3" ht="16">
      <c r="A68" s="172">
        <v>1864</v>
      </c>
      <c r="B68" s="172">
        <v>47</v>
      </c>
      <c r="C68" s="173">
        <v>0.27</v>
      </c>
    </row>
    <row r="69" spans="1:3" ht="16">
      <c r="A69" s="172">
        <v>1865</v>
      </c>
      <c r="B69" s="172">
        <v>46</v>
      </c>
      <c r="C69" s="173">
        <v>-2.1000000000000001E-2</v>
      </c>
    </row>
    <row r="70" spans="1:3" ht="16">
      <c r="A70" s="172">
        <v>1866</v>
      </c>
      <c r="B70" s="172">
        <v>44</v>
      </c>
      <c r="C70" s="173">
        <v>-4.2999999999999997E-2</v>
      </c>
    </row>
    <row r="71" spans="1:3" ht="16">
      <c r="A71" s="172">
        <v>1867</v>
      </c>
      <c r="B71" s="172">
        <v>42</v>
      </c>
      <c r="C71" s="173">
        <v>-4.4999999999999998E-2</v>
      </c>
    </row>
    <row r="72" spans="1:3" ht="16">
      <c r="A72" s="172">
        <v>1868</v>
      </c>
      <c r="B72" s="172">
        <v>40</v>
      </c>
      <c r="C72" s="173">
        <v>-4.8000000000000001E-2</v>
      </c>
    </row>
    <row r="73" spans="1:3" ht="16">
      <c r="A73" s="172">
        <v>1869</v>
      </c>
      <c r="B73" s="172">
        <v>40</v>
      </c>
      <c r="C73" s="173">
        <v>0</v>
      </c>
    </row>
    <row r="74" spans="1:3" ht="16">
      <c r="A74" s="172">
        <v>1870</v>
      </c>
      <c r="B74" s="172">
        <v>38</v>
      </c>
      <c r="C74" s="173">
        <v>-0.05</v>
      </c>
    </row>
    <row r="75" spans="1:3" ht="16">
      <c r="A75" s="172">
        <v>1871</v>
      </c>
      <c r="B75" s="172">
        <v>36</v>
      </c>
      <c r="C75" s="173">
        <v>-5.2999999999999999E-2</v>
      </c>
    </row>
    <row r="76" spans="1:3" ht="16">
      <c r="A76" s="172">
        <v>1872</v>
      </c>
      <c r="B76" s="172">
        <v>36</v>
      </c>
      <c r="C76" s="173">
        <v>0</v>
      </c>
    </row>
    <row r="77" spans="1:3" ht="16">
      <c r="A77" s="172">
        <v>1873</v>
      </c>
      <c r="B77" s="172">
        <v>36</v>
      </c>
      <c r="C77" s="173">
        <v>0</v>
      </c>
    </row>
    <row r="78" spans="1:3" ht="16">
      <c r="A78" s="172">
        <v>1874</v>
      </c>
      <c r="B78" s="172">
        <v>34</v>
      </c>
      <c r="C78" s="173">
        <v>-5.6000000000000001E-2</v>
      </c>
    </row>
    <row r="79" spans="1:3" ht="16">
      <c r="A79" s="172">
        <v>1875</v>
      </c>
      <c r="B79" s="172">
        <v>33</v>
      </c>
      <c r="C79" s="173">
        <v>-2.9000000000000001E-2</v>
      </c>
    </row>
    <row r="80" spans="1:3" ht="16">
      <c r="A80" s="172">
        <v>1876</v>
      </c>
      <c r="B80" s="172">
        <v>32</v>
      </c>
      <c r="C80" s="173">
        <v>-0.03</v>
      </c>
    </row>
    <row r="81" spans="1:3" ht="16">
      <c r="A81" s="172">
        <v>1877</v>
      </c>
      <c r="B81" s="172">
        <v>32</v>
      </c>
      <c r="C81" s="173">
        <v>0</v>
      </c>
    </row>
    <row r="82" spans="1:3" ht="16">
      <c r="A82" s="172">
        <v>1878</v>
      </c>
      <c r="B82" s="172">
        <v>29</v>
      </c>
      <c r="C82" s="173">
        <v>-9.4E-2</v>
      </c>
    </row>
    <row r="83" spans="1:3" ht="16">
      <c r="A83" s="172">
        <v>1879</v>
      </c>
      <c r="B83" s="172">
        <v>28</v>
      </c>
      <c r="C83" s="173">
        <v>-3.4000000000000002E-2</v>
      </c>
    </row>
    <row r="84" spans="1:3" ht="16">
      <c r="A84" s="172">
        <v>1880</v>
      </c>
      <c r="B84" s="172">
        <v>29</v>
      </c>
      <c r="C84" s="173">
        <v>3.5999999999999997E-2</v>
      </c>
    </row>
    <row r="85" spans="1:3" ht="16">
      <c r="A85" s="172">
        <v>1881</v>
      </c>
      <c r="B85" s="172">
        <v>29</v>
      </c>
      <c r="C85" s="173">
        <v>0</v>
      </c>
    </row>
    <row r="86" spans="1:3" ht="16">
      <c r="A86" s="172">
        <v>1882</v>
      </c>
      <c r="B86" s="172">
        <v>29</v>
      </c>
      <c r="C86" s="173">
        <v>0</v>
      </c>
    </row>
    <row r="87" spans="1:3" ht="16">
      <c r="A87" s="172">
        <v>1883</v>
      </c>
      <c r="B87" s="172">
        <v>28</v>
      </c>
      <c r="C87" s="173">
        <v>-3.4000000000000002E-2</v>
      </c>
    </row>
    <row r="88" spans="1:3" ht="16">
      <c r="A88" s="172">
        <v>1884</v>
      </c>
      <c r="B88" s="172">
        <v>27</v>
      </c>
      <c r="C88" s="173">
        <v>-3.5999999999999997E-2</v>
      </c>
    </row>
    <row r="89" spans="1:3" ht="16">
      <c r="A89" s="172">
        <v>1885</v>
      </c>
      <c r="B89" s="172">
        <v>27</v>
      </c>
      <c r="C89" s="173">
        <v>0</v>
      </c>
    </row>
    <row r="90" spans="1:3" ht="16">
      <c r="A90" s="172">
        <v>1886</v>
      </c>
      <c r="B90" s="172">
        <v>27</v>
      </c>
      <c r="C90" s="173">
        <v>0</v>
      </c>
    </row>
    <row r="91" spans="1:3" ht="16">
      <c r="A91" s="172">
        <v>1887</v>
      </c>
      <c r="B91" s="172">
        <v>27</v>
      </c>
      <c r="C91" s="173">
        <v>0</v>
      </c>
    </row>
    <row r="92" spans="1:3" ht="16">
      <c r="A92" s="172">
        <v>1888</v>
      </c>
      <c r="B92" s="172">
        <v>27</v>
      </c>
      <c r="C92" s="173">
        <v>0</v>
      </c>
    </row>
    <row r="93" spans="1:3" ht="16">
      <c r="A93" s="172">
        <v>1889</v>
      </c>
      <c r="B93" s="172">
        <v>27</v>
      </c>
      <c r="C93" s="173">
        <v>0</v>
      </c>
    </row>
    <row r="94" spans="1:3" ht="16">
      <c r="A94" s="172">
        <v>1890</v>
      </c>
      <c r="B94" s="172">
        <v>27</v>
      </c>
      <c r="C94" s="173">
        <v>0</v>
      </c>
    </row>
    <row r="95" spans="1:3" ht="16">
      <c r="A95" s="172">
        <v>1891</v>
      </c>
      <c r="B95" s="172">
        <v>27</v>
      </c>
      <c r="C95" s="173">
        <v>0</v>
      </c>
    </row>
    <row r="96" spans="1:3" ht="16">
      <c r="A96" s="172">
        <v>1892</v>
      </c>
      <c r="B96" s="172">
        <v>27</v>
      </c>
      <c r="C96" s="173">
        <v>0</v>
      </c>
    </row>
    <row r="97" spans="1:3" ht="16">
      <c r="A97" s="172">
        <v>1893</v>
      </c>
      <c r="B97" s="172">
        <v>27</v>
      </c>
      <c r="C97" s="173">
        <v>0</v>
      </c>
    </row>
    <row r="98" spans="1:3" ht="16">
      <c r="A98" s="172">
        <v>1894</v>
      </c>
      <c r="B98" s="172">
        <v>26</v>
      </c>
      <c r="C98" s="173">
        <v>-3.6999999999999998E-2</v>
      </c>
    </row>
    <row r="99" spans="1:3" ht="16">
      <c r="A99" s="172">
        <v>1895</v>
      </c>
      <c r="B99" s="172">
        <v>25</v>
      </c>
      <c r="C99" s="173">
        <v>-3.7999999999999999E-2</v>
      </c>
    </row>
    <row r="100" spans="1:3" ht="16">
      <c r="A100" s="172">
        <v>1896</v>
      </c>
      <c r="B100" s="172">
        <v>25</v>
      </c>
      <c r="C100" s="173">
        <v>0</v>
      </c>
    </row>
    <row r="101" spans="1:3" ht="16">
      <c r="A101" s="172">
        <v>1897</v>
      </c>
      <c r="B101" s="172">
        <v>25</v>
      </c>
      <c r="C101" s="173">
        <v>0</v>
      </c>
    </row>
    <row r="102" spans="1:3" ht="16">
      <c r="A102" s="172">
        <v>1898</v>
      </c>
      <c r="B102" s="172">
        <v>25</v>
      </c>
      <c r="C102" s="173">
        <v>0</v>
      </c>
    </row>
    <row r="103" spans="1:3" ht="16">
      <c r="A103" s="172">
        <v>1899</v>
      </c>
      <c r="B103" s="172">
        <v>25</v>
      </c>
      <c r="C103" s="173">
        <v>0</v>
      </c>
    </row>
    <row r="104" spans="1:3" ht="16">
      <c r="A104" s="172">
        <v>1900</v>
      </c>
      <c r="B104" s="172">
        <v>25</v>
      </c>
      <c r="C104" s="173">
        <v>0</v>
      </c>
    </row>
    <row r="105" spans="1:3" ht="16">
      <c r="A105" s="172">
        <v>1901</v>
      </c>
      <c r="B105" s="172">
        <v>25</v>
      </c>
      <c r="C105" s="173">
        <v>0</v>
      </c>
    </row>
    <row r="106" spans="1:3" ht="16">
      <c r="A106" s="172">
        <v>1902</v>
      </c>
      <c r="B106" s="172">
        <v>26</v>
      </c>
      <c r="C106" s="173">
        <v>0.04</v>
      </c>
    </row>
    <row r="107" spans="1:3" ht="16">
      <c r="A107" s="172">
        <v>1903</v>
      </c>
      <c r="B107" s="172">
        <v>27</v>
      </c>
      <c r="C107" s="173">
        <v>3.7999999999999999E-2</v>
      </c>
    </row>
    <row r="108" spans="1:3" ht="16">
      <c r="A108" s="172">
        <v>1904</v>
      </c>
      <c r="B108" s="172">
        <v>27</v>
      </c>
      <c r="C108" s="173">
        <v>0</v>
      </c>
    </row>
    <row r="109" spans="1:3" ht="16">
      <c r="A109" s="172">
        <v>1905</v>
      </c>
      <c r="B109" s="172">
        <v>27</v>
      </c>
      <c r="C109" s="173">
        <v>0</v>
      </c>
    </row>
    <row r="110" spans="1:3" ht="16">
      <c r="A110" s="172">
        <v>1906</v>
      </c>
      <c r="B110" s="172">
        <v>27</v>
      </c>
      <c r="C110" s="173">
        <v>0</v>
      </c>
    </row>
    <row r="111" spans="1:3" ht="16">
      <c r="A111" s="172">
        <v>1907</v>
      </c>
      <c r="B111" s="172">
        <v>28</v>
      </c>
      <c r="C111" s="173">
        <v>3.6999999999999998E-2</v>
      </c>
    </row>
    <row r="112" spans="1:3" ht="16">
      <c r="A112" s="172">
        <v>1908</v>
      </c>
      <c r="B112" s="172">
        <v>27</v>
      </c>
      <c r="C112" s="173">
        <v>-3.5999999999999997E-2</v>
      </c>
    </row>
    <row r="113" spans="1:3" ht="16">
      <c r="A113" s="172">
        <v>1909</v>
      </c>
      <c r="B113" s="172">
        <v>27</v>
      </c>
      <c r="C113" s="173">
        <v>0</v>
      </c>
    </row>
    <row r="114" spans="1:3" ht="16">
      <c r="A114" s="172">
        <v>1910</v>
      </c>
      <c r="B114" s="172">
        <v>28</v>
      </c>
      <c r="C114" s="173">
        <v>3.6999999999999998E-2</v>
      </c>
    </row>
    <row r="115" spans="1:3" ht="16">
      <c r="A115" s="172">
        <v>1911</v>
      </c>
      <c r="B115" s="172">
        <v>28</v>
      </c>
      <c r="C115" s="173">
        <v>0</v>
      </c>
    </row>
    <row r="116" spans="1:3" ht="16">
      <c r="A116" s="172">
        <v>1912</v>
      </c>
      <c r="B116" s="172">
        <v>29</v>
      </c>
      <c r="C116" s="173">
        <v>3.5999999999999997E-2</v>
      </c>
    </row>
    <row r="117" spans="1:3" ht="16">
      <c r="A117" s="172">
        <v>1913</v>
      </c>
      <c r="B117" s="172">
        <v>29.7</v>
      </c>
      <c r="C117" s="173">
        <v>2.4E-2</v>
      </c>
    </row>
    <row r="118" spans="1:3" ht="16">
      <c r="A118" s="172">
        <v>1914</v>
      </c>
      <c r="B118" s="172">
        <v>30.1</v>
      </c>
      <c r="C118" s="173">
        <v>1.2999999999999999E-2</v>
      </c>
    </row>
    <row r="119" spans="1:3" ht="16">
      <c r="A119" s="172">
        <v>1915</v>
      </c>
      <c r="B119" s="172">
        <v>30.4</v>
      </c>
      <c r="C119" s="173">
        <v>8.9999999999999993E-3</v>
      </c>
    </row>
    <row r="120" spans="1:3" ht="16">
      <c r="A120" s="172">
        <v>1916</v>
      </c>
      <c r="B120" s="172">
        <v>32.700000000000003</v>
      </c>
      <c r="C120" s="173">
        <v>7.6999999999999999E-2</v>
      </c>
    </row>
    <row r="121" spans="1:3" ht="16">
      <c r="A121" s="172">
        <v>1917</v>
      </c>
      <c r="B121" s="172">
        <v>38.5</v>
      </c>
      <c r="C121" s="173">
        <v>0.17799999999999999</v>
      </c>
    </row>
    <row r="122" spans="1:3" ht="16">
      <c r="A122" s="172">
        <v>1918</v>
      </c>
      <c r="B122" s="172">
        <v>45.2</v>
      </c>
      <c r="C122" s="173">
        <v>0.17299999999999999</v>
      </c>
    </row>
    <row r="123" spans="1:3" ht="16">
      <c r="A123" s="172">
        <v>1919</v>
      </c>
      <c r="B123" s="172">
        <v>52.1</v>
      </c>
      <c r="C123" s="173">
        <v>0.152</v>
      </c>
    </row>
    <row r="124" spans="1:3" ht="16">
      <c r="A124" s="172">
        <v>1920</v>
      </c>
      <c r="B124" s="172">
        <v>60.2</v>
      </c>
      <c r="C124" s="173">
        <v>0.156</v>
      </c>
    </row>
    <row r="125" spans="1:3" ht="16">
      <c r="A125" s="172">
        <v>1921</v>
      </c>
      <c r="B125" s="172">
        <v>53.6</v>
      </c>
      <c r="C125" s="173">
        <v>-0.109</v>
      </c>
    </row>
    <row r="126" spans="1:3" ht="16">
      <c r="A126" s="172">
        <v>1922</v>
      </c>
      <c r="B126" s="172">
        <v>50.3</v>
      </c>
      <c r="C126" s="173">
        <v>-6.2E-2</v>
      </c>
    </row>
    <row r="127" spans="1:3" ht="16">
      <c r="A127" s="172">
        <v>1923</v>
      </c>
      <c r="B127" s="172">
        <v>51.2</v>
      </c>
      <c r="C127" s="173">
        <v>1.7999999999999999E-2</v>
      </c>
    </row>
    <row r="128" spans="1:3" ht="16">
      <c r="A128" s="172">
        <v>1924</v>
      </c>
      <c r="B128" s="172">
        <v>51.5</v>
      </c>
      <c r="C128" s="173">
        <v>4.0000000000000001E-3</v>
      </c>
    </row>
    <row r="129" spans="1:3" ht="16">
      <c r="A129" s="172">
        <v>1925</v>
      </c>
      <c r="B129" s="172">
        <v>52.7</v>
      </c>
      <c r="C129" s="173">
        <v>2.4E-2</v>
      </c>
    </row>
    <row r="130" spans="1:3" ht="16">
      <c r="A130" s="172">
        <v>1926</v>
      </c>
      <c r="B130" s="172">
        <v>53.2</v>
      </c>
      <c r="C130" s="173">
        <v>8.9999999999999993E-3</v>
      </c>
    </row>
    <row r="131" spans="1:3" ht="16">
      <c r="A131" s="172">
        <v>1927</v>
      </c>
      <c r="B131" s="172">
        <v>52.2</v>
      </c>
      <c r="C131" s="173">
        <v>-1.9E-2</v>
      </c>
    </row>
    <row r="132" spans="1:3" ht="16">
      <c r="A132" s="172">
        <v>1928</v>
      </c>
      <c r="B132" s="172">
        <v>51.6</v>
      </c>
      <c r="C132" s="173">
        <v>-1.2E-2</v>
      </c>
    </row>
    <row r="133" spans="1:3" ht="16">
      <c r="A133" s="172">
        <v>1929</v>
      </c>
      <c r="B133" s="172">
        <v>51.6</v>
      </c>
      <c r="C133" s="173">
        <v>0</v>
      </c>
    </row>
    <row r="134" spans="1:3" ht="16">
      <c r="A134" s="172">
        <v>1930</v>
      </c>
      <c r="B134" s="172">
        <v>50.2</v>
      </c>
      <c r="C134" s="173">
        <v>-2.7E-2</v>
      </c>
    </row>
    <row r="135" spans="1:3" ht="16">
      <c r="A135" s="172">
        <v>1931</v>
      </c>
      <c r="B135" s="172">
        <v>45.7</v>
      </c>
      <c r="C135" s="173">
        <v>-8.8999999999999996E-2</v>
      </c>
    </row>
    <row r="136" spans="1:3" ht="16">
      <c r="A136" s="172">
        <v>1932</v>
      </c>
      <c r="B136" s="172">
        <v>41</v>
      </c>
      <c r="C136" s="173">
        <v>-0.10299999999999999</v>
      </c>
    </row>
    <row r="137" spans="1:3" ht="16">
      <c r="A137" s="172">
        <v>1933</v>
      </c>
      <c r="B137" s="172">
        <v>38.9</v>
      </c>
      <c r="C137" s="173">
        <v>-5.1999999999999998E-2</v>
      </c>
    </row>
    <row r="138" spans="1:3" ht="16">
      <c r="A138" s="172">
        <v>1934</v>
      </c>
      <c r="B138" s="172">
        <v>40.200000000000003</v>
      </c>
      <c r="C138" s="173">
        <v>3.5000000000000003E-2</v>
      </c>
    </row>
    <row r="139" spans="1:3" ht="16">
      <c r="A139" s="172">
        <v>1935</v>
      </c>
      <c r="B139" s="172">
        <v>41.2</v>
      </c>
      <c r="C139" s="173">
        <v>2.5999999999999999E-2</v>
      </c>
    </row>
    <row r="140" spans="1:3" ht="16">
      <c r="A140" s="172">
        <v>1936</v>
      </c>
      <c r="B140" s="172">
        <v>41.7</v>
      </c>
      <c r="C140" s="173">
        <v>0.01</v>
      </c>
    </row>
    <row r="141" spans="1:3" ht="16">
      <c r="A141" s="172">
        <v>1937</v>
      </c>
      <c r="B141" s="172">
        <v>43.2</v>
      </c>
      <c r="C141" s="173">
        <v>3.6999999999999998E-2</v>
      </c>
    </row>
    <row r="142" spans="1:3" ht="16">
      <c r="A142" s="172">
        <v>1938</v>
      </c>
      <c r="B142" s="172">
        <v>42.3</v>
      </c>
      <c r="C142" s="173">
        <v>-0.02</v>
      </c>
    </row>
    <row r="143" spans="1:3" ht="16">
      <c r="A143" s="172">
        <v>1939</v>
      </c>
      <c r="B143" s="172">
        <v>41.8</v>
      </c>
      <c r="C143" s="173">
        <v>-1.2999999999999999E-2</v>
      </c>
    </row>
    <row r="144" spans="1:3" ht="16">
      <c r="A144" s="172">
        <v>1940</v>
      </c>
      <c r="B144" s="172">
        <v>42.1</v>
      </c>
      <c r="C144" s="173">
        <v>7.0000000000000001E-3</v>
      </c>
    </row>
    <row r="145" spans="1:3" ht="16">
      <c r="A145" s="172">
        <v>1941</v>
      </c>
      <c r="B145" s="172">
        <v>44.2</v>
      </c>
      <c r="C145" s="173">
        <v>5.0999999999999997E-2</v>
      </c>
    </row>
    <row r="146" spans="1:3" ht="16">
      <c r="A146" s="172">
        <v>1942</v>
      </c>
      <c r="B146" s="172">
        <v>49.1</v>
      </c>
      <c r="C146" s="173">
        <v>0.109</v>
      </c>
    </row>
    <row r="147" spans="1:3" ht="16">
      <c r="A147" s="172">
        <v>1943</v>
      </c>
      <c r="B147" s="172">
        <v>52</v>
      </c>
      <c r="C147" s="173">
        <v>0.06</v>
      </c>
    </row>
    <row r="148" spans="1:3" ht="16">
      <c r="A148" s="172">
        <v>1944</v>
      </c>
      <c r="B148" s="172">
        <v>52.9</v>
      </c>
      <c r="C148" s="173">
        <v>1.6E-2</v>
      </c>
    </row>
    <row r="149" spans="1:3" ht="16">
      <c r="A149" s="172">
        <v>1945</v>
      </c>
      <c r="B149" s="172">
        <v>54.1</v>
      </c>
      <c r="C149" s="173">
        <v>2.3E-2</v>
      </c>
    </row>
    <row r="150" spans="1:3" ht="16">
      <c r="A150" s="172">
        <v>1946</v>
      </c>
      <c r="B150" s="172">
        <v>58.6</v>
      </c>
      <c r="C150" s="173">
        <v>8.5000000000000006E-2</v>
      </c>
    </row>
    <row r="151" spans="1:3" ht="16">
      <c r="A151" s="172">
        <v>1947</v>
      </c>
      <c r="B151" s="172">
        <v>67.099999999999994</v>
      </c>
      <c r="C151" s="173">
        <v>0.14399999999999999</v>
      </c>
    </row>
    <row r="152" spans="1:3" ht="16">
      <c r="A152" s="172">
        <v>1948</v>
      </c>
      <c r="B152" s="172">
        <v>72.2</v>
      </c>
      <c r="C152" s="173">
        <v>7.6999999999999999E-2</v>
      </c>
    </row>
    <row r="153" spans="1:3" ht="16">
      <c r="A153" s="172">
        <v>1949</v>
      </c>
      <c r="B153" s="172">
        <v>71.5</v>
      </c>
      <c r="C153" s="173">
        <v>-0.01</v>
      </c>
    </row>
    <row r="154" spans="1:3" ht="16">
      <c r="A154" s="172">
        <v>1950</v>
      </c>
      <c r="B154" s="172">
        <v>72.3</v>
      </c>
      <c r="C154" s="173">
        <v>1.0999999999999999E-2</v>
      </c>
    </row>
    <row r="155" spans="1:3" ht="16">
      <c r="A155" s="172">
        <v>1951</v>
      </c>
      <c r="B155" s="172">
        <v>78</v>
      </c>
      <c r="C155" s="173">
        <v>7.9000000000000001E-2</v>
      </c>
    </row>
    <row r="156" spans="1:3" ht="16">
      <c r="A156" s="172">
        <v>1952</v>
      </c>
      <c r="B156" s="172">
        <v>79.8</v>
      </c>
      <c r="C156" s="173">
        <v>2.3E-2</v>
      </c>
    </row>
    <row r="157" spans="1:3" ht="16">
      <c r="A157" s="172">
        <v>1953</v>
      </c>
      <c r="B157" s="172">
        <v>80.400000000000006</v>
      </c>
      <c r="C157" s="173">
        <v>8.0000000000000002E-3</v>
      </c>
    </row>
    <row r="158" spans="1:3" ht="16">
      <c r="A158" s="172">
        <v>1954</v>
      </c>
      <c r="B158" s="172">
        <v>80.7</v>
      </c>
      <c r="C158" s="173">
        <v>3.0000000000000001E-3</v>
      </c>
    </row>
    <row r="159" spans="1:3" ht="16">
      <c r="A159" s="172">
        <v>1955</v>
      </c>
      <c r="B159" s="172">
        <v>80.5</v>
      </c>
      <c r="C159" s="173">
        <v>-3.0000000000000001E-3</v>
      </c>
    </row>
    <row r="160" spans="1:3" ht="16">
      <c r="A160" s="172">
        <v>1956</v>
      </c>
      <c r="B160" s="172">
        <v>81.7</v>
      </c>
      <c r="C160" s="173">
        <v>1.4999999999999999E-2</v>
      </c>
    </row>
    <row r="161" spans="1:3" ht="16">
      <c r="A161" s="172">
        <v>1957</v>
      </c>
      <c r="B161" s="172">
        <v>84.4</v>
      </c>
      <c r="C161" s="173">
        <v>3.3000000000000002E-2</v>
      </c>
    </row>
    <row r="162" spans="1:3" ht="16">
      <c r="A162" s="172">
        <v>1958</v>
      </c>
      <c r="B162" s="172">
        <v>86.7</v>
      </c>
      <c r="C162" s="173">
        <v>2.7E-2</v>
      </c>
    </row>
    <row r="163" spans="1:3" ht="16">
      <c r="A163" s="172">
        <v>1959</v>
      </c>
      <c r="B163" s="172">
        <v>87.6</v>
      </c>
      <c r="C163" s="173">
        <v>0.01</v>
      </c>
    </row>
    <row r="164" spans="1:3" ht="16">
      <c r="A164" s="172">
        <v>1960</v>
      </c>
      <c r="B164" s="172">
        <v>88.9</v>
      </c>
      <c r="C164" s="173">
        <v>1.4999999999999999E-2</v>
      </c>
    </row>
    <row r="165" spans="1:3" ht="16">
      <c r="A165" s="172">
        <v>1961</v>
      </c>
      <c r="B165" s="172">
        <v>89.8</v>
      </c>
      <c r="C165" s="173">
        <v>1.0999999999999999E-2</v>
      </c>
    </row>
    <row r="166" spans="1:3" ht="16">
      <c r="A166" s="172">
        <v>1962</v>
      </c>
      <c r="B166" s="172">
        <v>90.9</v>
      </c>
      <c r="C166" s="173">
        <v>1.2E-2</v>
      </c>
    </row>
    <row r="167" spans="1:3" ht="16">
      <c r="A167" s="172">
        <v>1963</v>
      </c>
      <c r="B167" s="172">
        <v>92</v>
      </c>
      <c r="C167" s="173">
        <v>1.2E-2</v>
      </c>
    </row>
    <row r="168" spans="1:3" ht="16">
      <c r="A168" s="172">
        <v>1964</v>
      </c>
      <c r="B168" s="172">
        <v>93.2</v>
      </c>
      <c r="C168" s="173">
        <v>1.2999999999999999E-2</v>
      </c>
    </row>
    <row r="169" spans="1:3" ht="16">
      <c r="A169" s="172">
        <v>1965</v>
      </c>
      <c r="B169" s="172">
        <v>94.7</v>
      </c>
      <c r="C169" s="173">
        <v>1.6E-2</v>
      </c>
    </row>
    <row r="170" spans="1:3" ht="16">
      <c r="A170" s="172">
        <v>1966</v>
      </c>
      <c r="B170" s="172">
        <v>97.5</v>
      </c>
      <c r="C170" s="173">
        <v>0.03</v>
      </c>
    </row>
    <row r="171" spans="1:3" ht="16">
      <c r="A171" s="172">
        <v>1967</v>
      </c>
      <c r="B171" s="172">
        <v>100.2</v>
      </c>
      <c r="C171" s="173">
        <v>2.8000000000000001E-2</v>
      </c>
    </row>
    <row r="172" spans="1:3" ht="16">
      <c r="A172" s="172">
        <v>1968</v>
      </c>
      <c r="B172" s="172">
        <v>104.5</v>
      </c>
      <c r="C172" s="173">
        <v>4.2999999999999997E-2</v>
      </c>
    </row>
    <row r="173" spans="1:3" ht="16">
      <c r="A173" s="172">
        <v>1969</v>
      </c>
      <c r="B173" s="172">
        <v>110.2</v>
      </c>
      <c r="C173" s="173">
        <v>5.5E-2</v>
      </c>
    </row>
    <row r="174" spans="1:3" ht="16">
      <c r="A174" s="172">
        <v>1970</v>
      </c>
      <c r="B174" s="172">
        <v>116.7</v>
      </c>
      <c r="C174" s="173">
        <v>5.8000000000000003E-2</v>
      </c>
    </row>
    <row r="175" spans="1:3" ht="16">
      <c r="A175" s="172">
        <v>1971</v>
      </c>
      <c r="B175" s="172">
        <v>121.7</v>
      </c>
      <c r="C175" s="173">
        <v>4.2999999999999997E-2</v>
      </c>
    </row>
    <row r="176" spans="1:3" ht="16">
      <c r="A176" s="172">
        <v>1972</v>
      </c>
      <c r="B176" s="172">
        <v>125.7</v>
      </c>
      <c r="C176" s="173">
        <v>3.3000000000000002E-2</v>
      </c>
    </row>
    <row r="177" spans="1:3" ht="16">
      <c r="A177" s="172">
        <v>1973</v>
      </c>
      <c r="B177" s="172">
        <v>133.4</v>
      </c>
      <c r="C177" s="173">
        <v>6.2E-2</v>
      </c>
    </row>
    <row r="178" spans="1:3" ht="16">
      <c r="A178" s="172">
        <v>1974</v>
      </c>
      <c r="B178" s="172">
        <v>148.19999999999999</v>
      </c>
      <c r="C178" s="173">
        <v>0.111</v>
      </c>
    </row>
    <row r="179" spans="1:3" ht="16">
      <c r="A179" s="172">
        <v>1975</v>
      </c>
      <c r="B179" s="172">
        <v>161.69999999999999</v>
      </c>
      <c r="C179" s="173">
        <v>9.0999999999999998E-2</v>
      </c>
    </row>
    <row r="180" spans="1:3" ht="16">
      <c r="A180" s="172">
        <v>1976</v>
      </c>
      <c r="B180" s="172">
        <v>171</v>
      </c>
      <c r="C180" s="173">
        <v>5.7000000000000002E-2</v>
      </c>
    </row>
    <row r="181" spans="1:3" ht="16">
      <c r="A181" s="172">
        <v>1977</v>
      </c>
      <c r="B181" s="172">
        <v>182.1</v>
      </c>
      <c r="C181" s="173">
        <v>6.5000000000000002E-2</v>
      </c>
    </row>
    <row r="182" spans="1:3" ht="16">
      <c r="A182" s="172">
        <v>1978</v>
      </c>
      <c r="B182" s="172">
        <v>196</v>
      </c>
      <c r="C182" s="173">
        <v>7.5999999999999998E-2</v>
      </c>
    </row>
    <row r="183" spans="1:3" ht="16">
      <c r="A183" s="172">
        <v>1979</v>
      </c>
      <c r="B183" s="172">
        <v>218.1</v>
      </c>
      <c r="C183" s="173">
        <v>0.113</v>
      </c>
    </row>
    <row r="184" spans="1:3" ht="16">
      <c r="A184" s="172">
        <v>1980</v>
      </c>
      <c r="B184" s="172">
        <v>247.6</v>
      </c>
      <c r="C184" s="173">
        <v>0.13500000000000001</v>
      </c>
    </row>
    <row r="185" spans="1:3" ht="16">
      <c r="A185" s="172">
        <v>1981</v>
      </c>
      <c r="B185" s="172">
        <v>273.2</v>
      </c>
      <c r="C185" s="173">
        <v>0.10299999999999999</v>
      </c>
    </row>
    <row r="186" spans="1:3" ht="16">
      <c r="A186" s="172">
        <v>1982</v>
      </c>
      <c r="B186" s="172">
        <v>290</v>
      </c>
      <c r="C186" s="173">
        <v>6.0999999999999999E-2</v>
      </c>
    </row>
    <row r="187" spans="1:3" ht="16">
      <c r="A187" s="172">
        <v>1983</v>
      </c>
      <c r="B187" s="172">
        <v>299.3</v>
      </c>
      <c r="C187" s="173">
        <v>3.2000000000000001E-2</v>
      </c>
    </row>
    <row r="188" spans="1:3" ht="16">
      <c r="A188" s="172">
        <v>1984</v>
      </c>
      <c r="B188" s="172">
        <v>312.2</v>
      </c>
      <c r="C188" s="173">
        <v>4.2999999999999997E-2</v>
      </c>
    </row>
    <row r="189" spans="1:3" ht="16">
      <c r="A189" s="172">
        <v>1985</v>
      </c>
      <c r="B189" s="172">
        <v>323.2</v>
      </c>
      <c r="C189" s="173">
        <v>3.5000000000000003E-2</v>
      </c>
    </row>
    <row r="190" spans="1:3" ht="16">
      <c r="A190" s="172">
        <v>1986</v>
      </c>
      <c r="B190" s="172">
        <v>329.4</v>
      </c>
      <c r="C190" s="173">
        <v>1.9E-2</v>
      </c>
    </row>
    <row r="191" spans="1:3" ht="16">
      <c r="A191" s="172">
        <v>1987</v>
      </c>
      <c r="B191" s="172">
        <v>341.4</v>
      </c>
      <c r="C191" s="173">
        <v>3.6999999999999998E-2</v>
      </c>
    </row>
    <row r="192" spans="1:3" ht="16">
      <c r="A192" s="172">
        <v>1988</v>
      </c>
      <c r="B192" s="172">
        <v>355.4</v>
      </c>
      <c r="C192" s="173">
        <v>4.1000000000000002E-2</v>
      </c>
    </row>
    <row r="193" spans="1:3" ht="16">
      <c r="A193" s="172">
        <v>1989</v>
      </c>
      <c r="B193" s="172">
        <v>372.5</v>
      </c>
      <c r="C193" s="173">
        <v>4.8000000000000001E-2</v>
      </c>
    </row>
    <row r="194" spans="1:3" ht="16">
      <c r="A194" s="172">
        <v>1990</v>
      </c>
      <c r="B194" s="172">
        <v>392.6</v>
      </c>
      <c r="C194" s="173">
        <v>5.3999999999999999E-2</v>
      </c>
    </row>
    <row r="195" spans="1:3" ht="16">
      <c r="A195" s="172">
        <v>1991</v>
      </c>
      <c r="B195" s="172">
        <v>409.3</v>
      </c>
      <c r="C195" s="173">
        <v>4.2000000000000003E-2</v>
      </c>
    </row>
    <row r="196" spans="1:3" ht="16">
      <c r="A196" s="172">
        <v>1992</v>
      </c>
      <c r="B196" s="172">
        <v>421.7</v>
      </c>
      <c r="C196" s="173">
        <v>0.03</v>
      </c>
    </row>
    <row r="197" spans="1:3" ht="16">
      <c r="A197" s="172">
        <v>1993</v>
      </c>
      <c r="B197" s="172">
        <v>434.1</v>
      </c>
      <c r="C197" s="173">
        <v>0.03</v>
      </c>
    </row>
    <row r="198" spans="1:3" ht="16">
      <c r="A198" s="172">
        <v>1994</v>
      </c>
      <c r="B198" s="172">
        <v>445.4</v>
      </c>
      <c r="C198" s="173">
        <v>2.5999999999999999E-2</v>
      </c>
    </row>
    <row r="199" spans="1:3" ht="16">
      <c r="A199" s="172">
        <v>1995</v>
      </c>
      <c r="B199" s="172">
        <v>457.9</v>
      </c>
      <c r="C199" s="173">
        <v>2.8000000000000001E-2</v>
      </c>
    </row>
    <row r="200" spans="1:3" ht="16">
      <c r="A200" s="172">
        <v>1996</v>
      </c>
      <c r="B200" s="172">
        <v>471.3</v>
      </c>
      <c r="C200" s="173">
        <v>2.9000000000000001E-2</v>
      </c>
    </row>
    <row r="201" spans="1:3" ht="16">
      <c r="A201" s="172">
        <v>1997</v>
      </c>
      <c r="B201" s="172">
        <v>482.4</v>
      </c>
      <c r="C201" s="173">
        <v>2.3E-2</v>
      </c>
    </row>
    <row r="202" spans="1:3" ht="16">
      <c r="A202" s="172">
        <v>1998</v>
      </c>
      <c r="B202" s="172">
        <v>489.8</v>
      </c>
      <c r="C202" s="173">
        <v>1.6E-2</v>
      </c>
    </row>
    <row r="203" spans="1:3" ht="16">
      <c r="A203" s="172">
        <v>1999</v>
      </c>
      <c r="B203" s="172">
        <v>500.6</v>
      </c>
      <c r="C203" s="173">
        <v>2.1999999999999999E-2</v>
      </c>
    </row>
    <row r="204" spans="1:3" ht="16">
      <c r="A204" s="172">
        <v>2000</v>
      </c>
      <c r="B204" s="172">
        <v>517.5</v>
      </c>
      <c r="C204" s="173">
        <v>3.4000000000000002E-2</v>
      </c>
    </row>
    <row r="205" spans="1:3" ht="16">
      <c r="A205" s="172">
        <v>2001</v>
      </c>
      <c r="B205" s="172">
        <v>532.1</v>
      </c>
      <c r="C205" s="173">
        <v>2.8000000000000001E-2</v>
      </c>
    </row>
    <row r="206" spans="1:3" ht="16">
      <c r="A206" s="172">
        <v>2002</v>
      </c>
      <c r="B206" s="172">
        <v>540.5</v>
      </c>
      <c r="C206" s="173">
        <v>1.6E-2</v>
      </c>
    </row>
    <row r="207" spans="1:3" ht="16">
      <c r="A207" s="172">
        <v>2003</v>
      </c>
      <c r="B207" s="172">
        <v>552.79999999999995</v>
      </c>
      <c r="C207" s="173">
        <v>2.3E-2</v>
      </c>
    </row>
    <row r="208" spans="1:3" ht="16">
      <c r="A208" s="172">
        <v>2004</v>
      </c>
      <c r="B208" s="172">
        <v>567.6</v>
      </c>
      <c r="C208" s="173">
        <v>2.7E-2</v>
      </c>
    </row>
    <row r="209" spans="1:3" ht="16">
      <c r="A209" s="172">
        <v>2005</v>
      </c>
      <c r="B209" s="172">
        <v>586.9</v>
      </c>
      <c r="C209" s="173">
        <v>3.4000000000000002E-2</v>
      </c>
    </row>
    <row r="210" spans="1:3" ht="16">
      <c r="A210" s="172">
        <v>2006</v>
      </c>
      <c r="B210" s="172">
        <v>605.79999999999995</v>
      </c>
      <c r="C210" s="173">
        <v>3.2000000000000001E-2</v>
      </c>
    </row>
    <row r="211" spans="1:3" ht="16">
      <c r="A211" s="172">
        <v>2007</v>
      </c>
      <c r="B211" s="172">
        <v>623.1</v>
      </c>
      <c r="C211" s="173">
        <v>2.9000000000000001E-2</v>
      </c>
    </row>
    <row r="212" spans="1:3" ht="16">
      <c r="A212" s="172">
        <v>2008</v>
      </c>
      <c r="B212" s="172">
        <v>647</v>
      </c>
      <c r="C212" s="173">
        <v>3.7999999999999999E-2</v>
      </c>
    </row>
    <row r="213" spans="1:3" ht="16">
      <c r="A213" s="172">
        <v>2009</v>
      </c>
      <c r="B213" s="172">
        <v>644.70000000000005</v>
      </c>
      <c r="C213" s="173">
        <v>-4.0000000000000001E-3</v>
      </c>
    </row>
    <row r="214" spans="1:3" ht="16">
      <c r="A214" s="172">
        <v>2010</v>
      </c>
      <c r="B214" s="172">
        <v>655.29999999999995</v>
      </c>
      <c r="C214" s="173">
        <v>1.6E-2</v>
      </c>
    </row>
    <row r="215" spans="1:3" ht="16">
      <c r="A215" s="172">
        <v>2011</v>
      </c>
      <c r="B215" s="172">
        <v>676</v>
      </c>
      <c r="C215" s="173">
        <v>3.2000000000000001E-2</v>
      </c>
    </row>
    <row r="216" spans="1:3" ht="16">
      <c r="A216" s="172">
        <v>2012</v>
      </c>
      <c r="B216" s="172">
        <v>689.9</v>
      </c>
      <c r="C216" s="173">
        <v>2.1000000000000001E-2</v>
      </c>
    </row>
    <row r="217" spans="1:3" ht="16">
      <c r="A217" s="172" t="s">
        <v>774</v>
      </c>
      <c r="B217" s="172">
        <v>700</v>
      </c>
      <c r="C217" s="173">
        <v>1.4999999999999999E-2</v>
      </c>
    </row>
    <row r="218" spans="1:3" ht="16">
      <c r="A218" s="172" t="s">
        <v>775</v>
      </c>
      <c r="B218" s="172">
        <v>712.5</v>
      </c>
      <c r="C218" s="173">
        <v>1.7999999999999999E-2</v>
      </c>
    </row>
  </sheetData>
  <mergeCells count="2">
    <mergeCell ref="A2:A3"/>
    <mergeCell ref="B2:B3"/>
  </mergeCells>
  <pageMargins left="0.75" right="0.75" top="1" bottom="1" header="0.5" footer="0.5"/>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8"/>
  <sheetViews>
    <sheetView topLeftCell="A13" workbookViewId="0">
      <selection activeCell="B2" sqref="B2"/>
    </sheetView>
  </sheetViews>
  <sheetFormatPr baseColWidth="10" defaultRowHeight="15" x14ac:dyDescent="0"/>
  <sheetData>
    <row r="1" spans="1:2">
      <c r="A1" t="s">
        <v>25</v>
      </c>
      <c r="B1" t="s">
        <v>1023</v>
      </c>
    </row>
    <row r="2" spans="1:2">
      <c r="A2" s="175" t="s">
        <v>788</v>
      </c>
    </row>
    <row r="4" spans="1:2">
      <c r="A4" s="175" t="s">
        <v>789</v>
      </c>
    </row>
    <row r="6" spans="1:2">
      <c r="A6" s="175" t="s">
        <v>790</v>
      </c>
    </row>
    <row r="8" spans="1:2">
      <c r="A8" s="175" t="s">
        <v>788</v>
      </c>
    </row>
    <row r="14" spans="1:2">
      <c r="A14" s="175" t="s">
        <v>791</v>
      </c>
    </row>
    <row r="16" spans="1:2">
      <c r="A16" s="175" t="s">
        <v>792</v>
      </c>
    </row>
    <row r="18" spans="1:1">
      <c r="A18" s="175" t="s">
        <v>793</v>
      </c>
    </row>
    <row r="20" spans="1:1">
      <c r="A20" s="175" t="s">
        <v>794</v>
      </c>
    </row>
    <row r="22" spans="1:1">
      <c r="A22" s="175" t="s">
        <v>795</v>
      </c>
    </row>
    <row r="24" spans="1:1">
      <c r="A24" s="175" t="s">
        <v>796</v>
      </c>
    </row>
    <row r="26" spans="1:1">
      <c r="A26" s="175" t="s">
        <v>797</v>
      </c>
    </row>
    <row r="30" spans="1:1">
      <c r="A30" s="175" t="s">
        <v>798</v>
      </c>
    </row>
    <row r="32" spans="1:1">
      <c r="A32" s="175" t="s">
        <v>799</v>
      </c>
    </row>
    <row r="34" spans="1:1">
      <c r="A34" s="175" t="s">
        <v>800</v>
      </c>
    </row>
    <row r="36" spans="1:1">
      <c r="A36" s="175" t="s">
        <v>801</v>
      </c>
    </row>
    <row r="38" spans="1:1">
      <c r="A38" s="175" t="s">
        <v>802</v>
      </c>
    </row>
    <row r="40" spans="1:1">
      <c r="A40" s="175" t="s">
        <v>803</v>
      </c>
    </row>
    <row r="42" spans="1:1">
      <c r="A42" s="175" t="s">
        <v>804</v>
      </c>
    </row>
    <row r="44" spans="1:1">
      <c r="A44" s="175" t="s">
        <v>805</v>
      </c>
    </row>
    <row r="46" spans="1:1">
      <c r="A46" s="175" t="s">
        <v>806</v>
      </c>
    </row>
    <row r="48" spans="1:1">
      <c r="A48" s="175" t="s">
        <v>807</v>
      </c>
    </row>
    <row r="50" spans="1:1">
      <c r="A50" s="175" t="s">
        <v>808</v>
      </c>
    </row>
    <row r="52" spans="1:1">
      <c r="A52" s="175" t="s">
        <v>809</v>
      </c>
    </row>
    <row r="54" spans="1:1">
      <c r="A54" s="175" t="s">
        <v>810</v>
      </c>
    </row>
    <row r="56" spans="1:1">
      <c r="A56" s="175" t="s">
        <v>811</v>
      </c>
    </row>
    <row r="58" spans="1:1">
      <c r="A58" s="175" t="s">
        <v>812</v>
      </c>
    </row>
    <row r="60" spans="1:1">
      <c r="A60" s="175" t="s">
        <v>813</v>
      </c>
    </row>
    <row r="62" spans="1:1">
      <c r="A62" s="175" t="s">
        <v>814</v>
      </c>
    </row>
    <row r="64" spans="1:1">
      <c r="A64" s="175" t="s">
        <v>815</v>
      </c>
    </row>
    <row r="66" spans="1:1">
      <c r="A66" s="175" t="s">
        <v>816</v>
      </c>
    </row>
    <row r="68" spans="1:1">
      <c r="A68" s="175" t="s">
        <v>817</v>
      </c>
    </row>
    <row r="70" spans="1:1">
      <c r="A70" s="175" t="s">
        <v>818</v>
      </c>
    </row>
    <row r="72" spans="1:1">
      <c r="A72" s="175" t="s">
        <v>819</v>
      </c>
    </row>
    <row r="74" spans="1:1">
      <c r="A74" s="175" t="s">
        <v>820</v>
      </c>
    </row>
    <row r="76" spans="1:1">
      <c r="A76" s="175" t="s">
        <v>821</v>
      </c>
    </row>
    <row r="78" spans="1:1">
      <c r="A78" s="175" t="s">
        <v>822</v>
      </c>
    </row>
    <row r="80" spans="1:1">
      <c r="A80" s="175" t="s">
        <v>823</v>
      </c>
    </row>
    <row r="82" spans="1:1">
      <c r="A82" s="175" t="s">
        <v>824</v>
      </c>
    </row>
    <row r="84" spans="1:1">
      <c r="A84" s="175" t="s">
        <v>825</v>
      </c>
    </row>
    <row r="86" spans="1:1">
      <c r="A86" s="175" t="s">
        <v>826</v>
      </c>
    </row>
    <row r="88" spans="1:1">
      <c r="A88" s="175" t="s">
        <v>827</v>
      </c>
    </row>
    <row r="90" spans="1:1">
      <c r="A90" s="175" t="s">
        <v>828</v>
      </c>
    </row>
    <row r="92" spans="1:1">
      <c r="A92" s="175" t="s">
        <v>829</v>
      </c>
    </row>
    <row r="94" spans="1:1">
      <c r="A94" s="175" t="s">
        <v>830</v>
      </c>
    </row>
    <row r="96" spans="1:1">
      <c r="A96" s="175" t="s">
        <v>831</v>
      </c>
    </row>
    <row r="98" spans="1:1">
      <c r="A98" s="175" t="s">
        <v>832</v>
      </c>
    </row>
    <row r="100" spans="1:1">
      <c r="A100" s="175" t="s">
        <v>833</v>
      </c>
    </row>
    <row r="102" spans="1:1">
      <c r="A102" s="175" t="s">
        <v>834</v>
      </c>
    </row>
    <row r="104" spans="1:1">
      <c r="A104" s="175" t="s">
        <v>835</v>
      </c>
    </row>
    <row r="106" spans="1:1">
      <c r="A106" s="175" t="s">
        <v>836</v>
      </c>
    </row>
    <row r="108" spans="1:1">
      <c r="A108" s="175" t="s">
        <v>837</v>
      </c>
    </row>
    <row r="110" spans="1:1">
      <c r="A110" s="175" t="s">
        <v>838</v>
      </c>
    </row>
    <row r="112" spans="1:1">
      <c r="A112" s="175" t="s">
        <v>839</v>
      </c>
    </row>
    <row r="114" spans="1:1">
      <c r="A114" s="175" t="s">
        <v>840</v>
      </c>
    </row>
    <row r="116" spans="1:1">
      <c r="A116" s="175" t="s">
        <v>841</v>
      </c>
    </row>
    <row r="118" spans="1:1">
      <c r="A118" s="175" t="s">
        <v>842</v>
      </c>
    </row>
    <row r="120" spans="1:1">
      <c r="A120" s="175" t="s">
        <v>843</v>
      </c>
    </row>
    <row r="122" spans="1:1">
      <c r="A122" s="175" t="s">
        <v>844</v>
      </c>
    </row>
    <row r="124" spans="1:1">
      <c r="A124" s="175" t="s">
        <v>845</v>
      </c>
    </row>
    <row r="126" spans="1:1">
      <c r="A126" s="175" t="s">
        <v>846</v>
      </c>
    </row>
    <row r="128" spans="1:1">
      <c r="A128" s="175" t="s">
        <v>847</v>
      </c>
    </row>
    <row r="130" spans="1:1">
      <c r="A130" s="175" t="s">
        <v>848</v>
      </c>
    </row>
    <row r="132" spans="1:1">
      <c r="A132" s="175" t="s">
        <v>849</v>
      </c>
    </row>
    <row r="134" spans="1:1">
      <c r="A134" s="175" t="s">
        <v>850</v>
      </c>
    </row>
    <row r="136" spans="1:1">
      <c r="A136" s="175" t="s">
        <v>851</v>
      </c>
    </row>
    <row r="138" spans="1:1">
      <c r="A138" s="175" t="s">
        <v>852</v>
      </c>
    </row>
    <row r="140" spans="1:1">
      <c r="A140" s="175" t="s">
        <v>853</v>
      </c>
    </row>
    <row r="142" spans="1:1">
      <c r="A142" s="175" t="s">
        <v>854</v>
      </c>
    </row>
    <row r="144" spans="1:1">
      <c r="A144" s="175" t="s">
        <v>855</v>
      </c>
    </row>
    <row r="146" spans="1:1">
      <c r="A146" s="175" t="s">
        <v>856</v>
      </c>
    </row>
    <row r="148" spans="1:1">
      <c r="A148" s="175" t="s">
        <v>857</v>
      </c>
    </row>
    <row r="150" spans="1:1">
      <c r="A150" s="175" t="s">
        <v>858</v>
      </c>
    </row>
    <row r="152" spans="1:1">
      <c r="A152" s="175" t="s">
        <v>859</v>
      </c>
    </row>
    <row r="154" spans="1:1">
      <c r="A154" s="175" t="s">
        <v>860</v>
      </c>
    </row>
    <row r="156" spans="1:1">
      <c r="A156" s="175" t="s">
        <v>861</v>
      </c>
    </row>
    <row r="158" spans="1:1">
      <c r="A158" s="175" t="s">
        <v>862</v>
      </c>
    </row>
    <row r="160" spans="1:1">
      <c r="A160" s="175" t="s">
        <v>863</v>
      </c>
    </row>
    <row r="162" spans="1:1">
      <c r="A162" s="175" t="s">
        <v>864</v>
      </c>
    </row>
    <row r="164" spans="1:1">
      <c r="A164" s="175" t="s">
        <v>865</v>
      </c>
    </row>
    <row r="166" spans="1:1">
      <c r="A166" s="175" t="s">
        <v>866</v>
      </c>
    </row>
    <row r="168" spans="1:1">
      <c r="A168" s="175" t="s">
        <v>867</v>
      </c>
    </row>
    <row r="170" spans="1:1">
      <c r="A170" s="175" t="s">
        <v>868</v>
      </c>
    </row>
    <row r="172" spans="1:1">
      <c r="A172" s="175" t="s">
        <v>869</v>
      </c>
    </row>
    <row r="174" spans="1:1">
      <c r="A174" s="175" t="s">
        <v>870</v>
      </c>
    </row>
    <row r="176" spans="1:1">
      <c r="A176" s="175" t="s">
        <v>871</v>
      </c>
    </row>
    <row r="178" spans="1:1">
      <c r="A178" s="175" t="s">
        <v>872</v>
      </c>
    </row>
    <row r="180" spans="1:1">
      <c r="A180" s="175" t="s">
        <v>873</v>
      </c>
    </row>
    <row r="182" spans="1:1">
      <c r="A182" s="175" t="s">
        <v>874</v>
      </c>
    </row>
    <row r="184" spans="1:1">
      <c r="A184" s="175" t="s">
        <v>875</v>
      </c>
    </row>
    <row r="186" spans="1:1">
      <c r="A186" s="175" t="s">
        <v>876</v>
      </c>
    </row>
    <row r="188" spans="1:1">
      <c r="A188" s="175" t="s">
        <v>877</v>
      </c>
    </row>
    <row r="190" spans="1:1">
      <c r="A190" s="175" t="s">
        <v>878</v>
      </c>
    </row>
    <row r="192" spans="1:1">
      <c r="A192" s="175" t="s">
        <v>879</v>
      </c>
    </row>
    <row r="194" spans="1:1">
      <c r="A194" s="175" t="s">
        <v>880</v>
      </c>
    </row>
    <row r="196" spans="1:1">
      <c r="A196" s="175" t="s">
        <v>881</v>
      </c>
    </row>
    <row r="198" spans="1:1">
      <c r="A198" s="175" t="s">
        <v>882</v>
      </c>
    </row>
    <row r="200" spans="1:1">
      <c r="A200" s="175" t="s">
        <v>883</v>
      </c>
    </row>
    <row r="202" spans="1:1">
      <c r="A202" s="175" t="s">
        <v>884</v>
      </c>
    </row>
    <row r="204" spans="1:1">
      <c r="A204" s="175" t="s">
        <v>885</v>
      </c>
    </row>
    <row r="206" spans="1:1">
      <c r="A206" s="175" t="s">
        <v>886</v>
      </c>
    </row>
    <row r="208" spans="1:1">
      <c r="A208" s="175" t="s">
        <v>887</v>
      </c>
    </row>
    <row r="210" spans="1:1">
      <c r="A210" s="175" t="s">
        <v>888</v>
      </c>
    </row>
    <row r="212" spans="1:1">
      <c r="A212" s="175" t="s">
        <v>889</v>
      </c>
    </row>
    <row r="214" spans="1:1">
      <c r="A214" s="175" t="s">
        <v>890</v>
      </c>
    </row>
    <row r="216" spans="1:1">
      <c r="A216" s="175" t="s">
        <v>891</v>
      </c>
    </row>
    <row r="218" spans="1:1">
      <c r="A218" s="175" t="s">
        <v>892</v>
      </c>
    </row>
    <row r="220" spans="1:1">
      <c r="A220" s="175" t="s">
        <v>893</v>
      </c>
    </row>
    <row r="222" spans="1:1">
      <c r="A222" s="175" t="s">
        <v>894</v>
      </c>
    </row>
    <row r="224" spans="1:1">
      <c r="A224" s="175" t="s">
        <v>895</v>
      </c>
    </row>
    <row r="226" spans="1:1">
      <c r="A226" s="175" t="s">
        <v>896</v>
      </c>
    </row>
    <row r="228" spans="1:1">
      <c r="A228" s="175" t="s">
        <v>897</v>
      </c>
    </row>
    <row r="230" spans="1:1">
      <c r="A230" s="175" t="s">
        <v>898</v>
      </c>
    </row>
    <row r="232" spans="1:1">
      <c r="A232" s="175" t="s">
        <v>899</v>
      </c>
    </row>
    <row r="234" spans="1:1">
      <c r="A234" s="175" t="s">
        <v>900</v>
      </c>
    </row>
    <row r="236" spans="1:1">
      <c r="A236" s="175" t="s">
        <v>901</v>
      </c>
    </row>
    <row r="238" spans="1:1">
      <c r="A238" s="175" t="s">
        <v>902</v>
      </c>
    </row>
    <row r="240" spans="1:1">
      <c r="A240" s="175" t="s">
        <v>903</v>
      </c>
    </row>
    <row r="242" spans="1:1">
      <c r="A242" s="175" t="s">
        <v>904</v>
      </c>
    </row>
    <row r="244" spans="1:1">
      <c r="A244" s="175" t="s">
        <v>905</v>
      </c>
    </row>
    <row r="246" spans="1:1">
      <c r="A246" s="175" t="s">
        <v>906</v>
      </c>
    </row>
    <row r="248" spans="1:1">
      <c r="A248" s="175" t="s">
        <v>907</v>
      </c>
    </row>
    <row r="250" spans="1:1">
      <c r="A250" s="175" t="s">
        <v>908</v>
      </c>
    </row>
    <row r="252" spans="1:1">
      <c r="A252" s="175" t="s">
        <v>909</v>
      </c>
    </row>
    <row r="254" spans="1:1">
      <c r="A254" s="175" t="s">
        <v>910</v>
      </c>
    </row>
    <row r="256" spans="1:1">
      <c r="A256" s="175" t="s">
        <v>911</v>
      </c>
    </row>
    <row r="258" spans="1:1">
      <c r="A258" s="175" t="s">
        <v>912</v>
      </c>
    </row>
    <row r="260" spans="1:1">
      <c r="A260" s="175" t="s">
        <v>913</v>
      </c>
    </row>
    <row r="262" spans="1:1">
      <c r="A262" s="175" t="s">
        <v>914</v>
      </c>
    </row>
    <row r="264" spans="1:1">
      <c r="A264" s="175" t="s">
        <v>915</v>
      </c>
    </row>
    <row r="266" spans="1:1">
      <c r="A266" s="175" t="s">
        <v>916</v>
      </c>
    </row>
    <row r="268" spans="1:1">
      <c r="A268" s="175" t="s">
        <v>917</v>
      </c>
    </row>
    <row r="270" spans="1:1">
      <c r="A270" s="175" t="s">
        <v>918</v>
      </c>
    </row>
    <row r="272" spans="1:1">
      <c r="A272" s="175" t="s">
        <v>919</v>
      </c>
    </row>
    <row r="274" spans="1:1">
      <c r="A274" s="175" t="s">
        <v>920</v>
      </c>
    </row>
    <row r="276" spans="1:1">
      <c r="A276" s="175" t="s">
        <v>921</v>
      </c>
    </row>
    <row r="278" spans="1:1">
      <c r="A278" s="175" t="s">
        <v>922</v>
      </c>
    </row>
    <row r="280" spans="1:1">
      <c r="A280" s="175" t="s">
        <v>923</v>
      </c>
    </row>
    <row r="282" spans="1:1">
      <c r="A282" s="175" t="s">
        <v>924</v>
      </c>
    </row>
    <row r="284" spans="1:1">
      <c r="A284" s="175" t="s">
        <v>925</v>
      </c>
    </row>
    <row r="286" spans="1:1">
      <c r="A286" s="175" t="s">
        <v>926</v>
      </c>
    </row>
    <row r="288" spans="1:1">
      <c r="A288" s="175" t="s">
        <v>927</v>
      </c>
    </row>
    <row r="290" spans="1:1">
      <c r="A290" s="175" t="s">
        <v>928</v>
      </c>
    </row>
    <row r="292" spans="1:1">
      <c r="A292" s="175" t="s">
        <v>929</v>
      </c>
    </row>
    <row r="294" spans="1:1">
      <c r="A294" s="175" t="s">
        <v>930</v>
      </c>
    </row>
    <row r="296" spans="1:1">
      <c r="A296" s="175" t="s">
        <v>931</v>
      </c>
    </row>
    <row r="298" spans="1:1">
      <c r="A298" s="175" t="s">
        <v>932</v>
      </c>
    </row>
    <row r="300" spans="1:1">
      <c r="A300" s="175" t="s">
        <v>933</v>
      </c>
    </row>
    <row r="302" spans="1:1">
      <c r="A302" s="175" t="s">
        <v>934</v>
      </c>
    </row>
    <row r="304" spans="1:1">
      <c r="A304" s="175" t="s">
        <v>935</v>
      </c>
    </row>
    <row r="306" spans="1:1">
      <c r="A306" s="175" t="s">
        <v>936</v>
      </c>
    </row>
    <row r="308" spans="1:1">
      <c r="A308" s="175" t="s">
        <v>937</v>
      </c>
    </row>
    <row r="310" spans="1:1">
      <c r="A310" s="175" t="s">
        <v>938</v>
      </c>
    </row>
    <row r="312" spans="1:1">
      <c r="A312" s="175" t="s">
        <v>939</v>
      </c>
    </row>
    <row r="314" spans="1:1">
      <c r="A314" s="175" t="s">
        <v>940</v>
      </c>
    </row>
    <row r="316" spans="1:1">
      <c r="A316" s="175" t="s">
        <v>941</v>
      </c>
    </row>
    <row r="318" spans="1:1">
      <c r="A318" s="175" t="s">
        <v>942</v>
      </c>
    </row>
    <row r="320" spans="1:1">
      <c r="A320" s="175" t="s">
        <v>943</v>
      </c>
    </row>
    <row r="322" spans="1:1">
      <c r="A322" s="175" t="s">
        <v>944</v>
      </c>
    </row>
    <row r="324" spans="1:1">
      <c r="A324" s="175" t="s">
        <v>945</v>
      </c>
    </row>
    <row r="326" spans="1:1">
      <c r="A326" s="175" t="s">
        <v>946</v>
      </c>
    </row>
    <row r="328" spans="1:1">
      <c r="A328" s="175" t="s">
        <v>947</v>
      </c>
    </row>
    <row r="330" spans="1:1">
      <c r="A330" s="175" t="s">
        <v>948</v>
      </c>
    </row>
    <row r="332" spans="1:1">
      <c r="A332" s="175" t="s">
        <v>949</v>
      </c>
    </row>
    <row r="334" spans="1:1">
      <c r="A334" s="175" t="s">
        <v>950</v>
      </c>
    </row>
    <row r="336" spans="1:1">
      <c r="A336" s="175" t="s">
        <v>951</v>
      </c>
    </row>
    <row r="338" spans="1:1">
      <c r="A338" s="175" t="s">
        <v>952</v>
      </c>
    </row>
    <row r="340" spans="1:1">
      <c r="A340" s="175" t="s">
        <v>953</v>
      </c>
    </row>
    <row r="342" spans="1:1">
      <c r="A342" s="175" t="s">
        <v>954</v>
      </c>
    </row>
    <row r="344" spans="1:1">
      <c r="A344" s="175" t="s">
        <v>955</v>
      </c>
    </row>
    <row r="346" spans="1:1">
      <c r="A346" s="175" t="s">
        <v>956</v>
      </c>
    </row>
    <row r="348" spans="1:1">
      <c r="A348" s="175" t="s">
        <v>957</v>
      </c>
    </row>
    <row r="350" spans="1:1">
      <c r="A350" s="175" t="s">
        <v>958</v>
      </c>
    </row>
    <row r="352" spans="1:1">
      <c r="A352" s="175" t="s">
        <v>959</v>
      </c>
    </row>
    <row r="354" spans="1:1">
      <c r="A354" s="175" t="s">
        <v>960</v>
      </c>
    </row>
    <row r="356" spans="1:1">
      <c r="A356" s="175" t="s">
        <v>961</v>
      </c>
    </row>
    <row r="358" spans="1:1">
      <c r="A358" s="175" t="s">
        <v>962</v>
      </c>
    </row>
    <row r="360" spans="1:1">
      <c r="A360" s="175" t="s">
        <v>963</v>
      </c>
    </row>
    <row r="362" spans="1:1">
      <c r="A362" s="175" t="s">
        <v>964</v>
      </c>
    </row>
    <row r="364" spans="1:1">
      <c r="A364" s="175" t="s">
        <v>965</v>
      </c>
    </row>
    <row r="366" spans="1:1">
      <c r="A366" s="175" t="s">
        <v>966</v>
      </c>
    </row>
    <row r="368" spans="1:1">
      <c r="A368" s="175" t="s">
        <v>967</v>
      </c>
    </row>
    <row r="370" spans="1:1">
      <c r="A370" s="175" t="s">
        <v>968</v>
      </c>
    </row>
    <row r="372" spans="1:1">
      <c r="A372" s="175" t="s">
        <v>969</v>
      </c>
    </row>
    <row r="374" spans="1:1">
      <c r="A374" s="175" t="s">
        <v>970</v>
      </c>
    </row>
    <row r="376" spans="1:1">
      <c r="A376" s="175" t="s">
        <v>971</v>
      </c>
    </row>
    <row r="378" spans="1:1">
      <c r="A378" s="175" t="s">
        <v>972</v>
      </c>
    </row>
    <row r="380" spans="1:1">
      <c r="A380" s="175" t="s">
        <v>973</v>
      </c>
    </row>
    <row r="382" spans="1:1">
      <c r="A382" s="175" t="s">
        <v>974</v>
      </c>
    </row>
    <row r="384" spans="1:1">
      <c r="A384" s="175" t="s">
        <v>975</v>
      </c>
    </row>
    <row r="386" spans="1:1">
      <c r="A386" s="175" t="s">
        <v>976</v>
      </c>
    </row>
    <row r="388" spans="1:1">
      <c r="A388" s="175" t="s">
        <v>977</v>
      </c>
    </row>
    <row r="390" spans="1:1">
      <c r="A390" s="175" t="s">
        <v>978</v>
      </c>
    </row>
    <row r="392" spans="1:1">
      <c r="A392" s="175" t="s">
        <v>979</v>
      </c>
    </row>
    <row r="394" spans="1:1">
      <c r="A394" s="175" t="s">
        <v>980</v>
      </c>
    </row>
    <row r="396" spans="1:1">
      <c r="A396" s="175" t="s">
        <v>981</v>
      </c>
    </row>
    <row r="398" spans="1:1">
      <c r="A398" s="175" t="s">
        <v>982</v>
      </c>
    </row>
    <row r="400" spans="1:1">
      <c r="A400" s="175" t="s">
        <v>983</v>
      </c>
    </row>
    <row r="402" spans="1:1">
      <c r="A402" s="175" t="s">
        <v>984</v>
      </c>
    </row>
    <row r="404" spans="1:1">
      <c r="A404" s="175" t="s">
        <v>985</v>
      </c>
    </row>
    <row r="406" spans="1:1">
      <c r="A406" s="175" t="s">
        <v>986</v>
      </c>
    </row>
    <row r="408" spans="1:1">
      <c r="A408" s="175" t="s">
        <v>987</v>
      </c>
    </row>
    <row r="410" spans="1:1">
      <c r="A410" s="175" t="s">
        <v>988</v>
      </c>
    </row>
    <row r="412" spans="1:1">
      <c r="A412" s="175" t="s">
        <v>989</v>
      </c>
    </row>
    <row r="414" spans="1:1">
      <c r="A414" s="175" t="s">
        <v>990</v>
      </c>
    </row>
    <row r="416" spans="1:1">
      <c r="A416" s="175" t="s">
        <v>991</v>
      </c>
    </row>
    <row r="418" spans="1:1">
      <c r="A418" s="175" t="s">
        <v>992</v>
      </c>
    </row>
    <row r="420" spans="1:1">
      <c r="A420" s="175" t="s">
        <v>993</v>
      </c>
    </row>
    <row r="422" spans="1:1">
      <c r="A422" s="175" t="s">
        <v>994</v>
      </c>
    </row>
    <row r="424" spans="1:1">
      <c r="A424" s="175" t="s">
        <v>995</v>
      </c>
    </row>
    <row r="426" spans="1:1">
      <c r="A426" s="175" t="s">
        <v>996</v>
      </c>
    </row>
    <row r="428" spans="1:1">
      <c r="A428" s="175" t="s">
        <v>997</v>
      </c>
    </row>
    <row r="430" spans="1:1">
      <c r="A430" s="175" t="s">
        <v>998</v>
      </c>
    </row>
    <row r="432" spans="1:1">
      <c r="A432" s="175" t="s">
        <v>999</v>
      </c>
    </row>
    <row r="434" spans="1:1">
      <c r="A434" s="175" t="s">
        <v>1000</v>
      </c>
    </row>
    <row r="436" spans="1:1">
      <c r="A436" s="175" t="s">
        <v>1001</v>
      </c>
    </row>
    <row r="438" spans="1:1">
      <c r="A438" s="175" t="s">
        <v>1002</v>
      </c>
    </row>
    <row r="440" spans="1:1">
      <c r="A440" s="175" t="s">
        <v>1003</v>
      </c>
    </row>
    <row r="442" spans="1:1">
      <c r="A442" s="175" t="s">
        <v>1004</v>
      </c>
    </row>
    <row r="444" spans="1:1">
      <c r="A444" s="175" t="s">
        <v>1005</v>
      </c>
    </row>
    <row r="446" spans="1:1">
      <c r="A446" s="175" t="s">
        <v>1006</v>
      </c>
    </row>
    <row r="448" spans="1:1">
      <c r="A448" s="175" t="s">
        <v>1007</v>
      </c>
    </row>
    <row r="450" spans="1:1">
      <c r="A450" s="175" t="s">
        <v>1008</v>
      </c>
    </row>
    <row r="452" spans="1:1">
      <c r="A452" s="175" t="s">
        <v>1009</v>
      </c>
    </row>
    <row r="454" spans="1:1">
      <c r="A454" s="175" t="s">
        <v>1010</v>
      </c>
    </row>
    <row r="456" spans="1:1">
      <c r="A456" s="175" t="s">
        <v>1011</v>
      </c>
    </row>
    <row r="458" spans="1:1">
      <c r="A458" s="175" t="s">
        <v>1012</v>
      </c>
    </row>
    <row r="460" spans="1:1">
      <c r="A460" s="175" t="s">
        <v>1013</v>
      </c>
    </row>
    <row r="462" spans="1:1">
      <c r="A462" s="175" t="s">
        <v>1014</v>
      </c>
    </row>
    <row r="464" spans="1:1">
      <c r="A464" s="175" t="s">
        <v>1015</v>
      </c>
    </row>
    <row r="466" spans="1:1">
      <c r="A466" s="175" t="s">
        <v>1016</v>
      </c>
    </row>
    <row r="468" spans="1:1">
      <c r="A468" s="175" t="s">
        <v>1017</v>
      </c>
    </row>
    <row r="470" spans="1:1">
      <c r="A470" s="175" t="s">
        <v>1018</v>
      </c>
    </row>
    <row r="472" spans="1:1">
      <c r="A472" s="175" t="s">
        <v>1019</v>
      </c>
    </row>
    <row r="474" spans="1:1">
      <c r="A474" s="175" t="s">
        <v>1020</v>
      </c>
    </row>
    <row r="476" spans="1:1">
      <c r="A476" s="175" t="s">
        <v>1021</v>
      </c>
    </row>
    <row r="478" spans="1:1">
      <c r="A478" s="175" t="s">
        <v>1022</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Warren &amp; Pearson WPI</vt:lpstr>
      <vt:lpstr>NBER WPI 1899</vt:lpstr>
      <vt:lpstr>BLS PPI 1913 NSA</vt:lpstr>
      <vt:lpstr>PPI Mo 1947 SA</vt:lpstr>
      <vt:lpstr>McCusker Yr CPI 1665</vt:lpstr>
      <vt:lpstr>McCusker Yr CPI 1700</vt:lpstr>
      <vt:lpstr>McCluskey vs. BLS Yr CPI 1774</vt:lpstr>
      <vt:lpstr>Mitchell Yr CPI 1800</vt:lpstr>
      <vt:lpstr>Measuring Worth Yr CPI 1774</vt:lpstr>
      <vt:lpstr>Fed Yr CPI 1800</vt:lpstr>
      <vt:lpstr>US Mo General Price Level 1860</vt:lpstr>
      <vt:lpstr>Nelson and Plosser Yr CPI 1860</vt:lpstr>
      <vt:lpstr>BLS Mo CPI 1913 NSA</vt:lpstr>
      <vt:lpstr>BLS Mo CPI 1947 SA</vt:lpstr>
      <vt:lpstr>Minniapolis Fed CPI 1800</vt:lpstr>
      <vt:lpstr>David-Solar CPI</vt:lpstr>
    </vt:vector>
  </TitlesOfParts>
  <Company>James Kostohryz</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Kostohryz</dc:creator>
  <cp:lastModifiedBy>James Kostohryz</cp:lastModifiedBy>
  <dcterms:created xsi:type="dcterms:W3CDTF">2013-04-13T14:57:31Z</dcterms:created>
  <dcterms:modified xsi:type="dcterms:W3CDTF">2014-12-08T07:50:14Z</dcterms:modified>
</cp:coreProperties>
</file>